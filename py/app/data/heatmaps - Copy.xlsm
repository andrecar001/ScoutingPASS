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dan\Documents\code\javascript\FRC\ScoutingPASS\py\app\data\"/>
    </mc:Choice>
  </mc:AlternateContent>
  <xr:revisionPtr revIDLastSave="0" documentId="13_ncr:1_{934B656D-19C6-4488-AD10-FB005566F74C}" xr6:coauthVersionLast="47" xr6:coauthVersionMax="47" xr10:uidLastSave="{00000000-0000-0000-0000-000000000000}"/>
  <bookViews>
    <workbookView xWindow="-98" yWindow="503" windowWidth="22695" windowHeight="14595" tabRatio="675" firstSheet="1" activeTab="4" xr2:uid="{00000000-000D-0000-FFFF-FFFF00000000}"/>
  </bookViews>
  <sheets>
    <sheet name="HeatMap" sheetId="2" state="hidden" r:id="rId1"/>
    <sheet name="AutoStartPosition" sheetId="3" r:id="rId2"/>
    <sheet name="AutoStartPreference" sheetId="1" r:id="rId3"/>
    <sheet name="ShootingPosition" sheetId="4" r:id="rId4"/>
    <sheet name="ScoutingInfo" sheetId="7" r:id="rId5"/>
    <sheet name="PitScoutingInfo" sheetId="6" r:id="rId6"/>
  </sheets>
  <externalReferences>
    <externalReference r:id="rId7"/>
  </externalReferences>
  <definedNames>
    <definedName name="amp_points">[1]ReformatedData!$B$2:$B$998</definedName>
    <definedName name="AS_POS_1">AutoStartPosition!$E$3</definedName>
    <definedName name="AS_POS_10">AutoStartPosition!$N$3</definedName>
    <definedName name="AS_POS_11">AutoStartPosition!$O$3</definedName>
    <definedName name="AS_POS_12">AutoStartPosition!$P$3</definedName>
    <definedName name="AS_POS_13">AutoStartPosition!$E$4</definedName>
    <definedName name="AS_POS_14">AutoStartPosition!$F$4</definedName>
    <definedName name="AS_POS_15">AutoStartPosition!$G$4</definedName>
    <definedName name="AS_POS_16">AutoStartPosition!$H$4</definedName>
    <definedName name="AS_POS_17">AutoStartPosition!$I$4</definedName>
    <definedName name="AS_POS_18">AutoStartPosition!$J$4</definedName>
    <definedName name="AS_POS_19">AutoStartPosition!$K$4</definedName>
    <definedName name="AS_POS_2">AutoStartPosition!$F$3</definedName>
    <definedName name="AS_POS_20">AutoStartPosition!$L$4</definedName>
    <definedName name="AS_POS_21">AutoStartPosition!$M$4</definedName>
    <definedName name="AS_POS_22">AutoStartPosition!$N$4</definedName>
    <definedName name="AS_POS_23">AutoStartPosition!$O$4</definedName>
    <definedName name="AS_POS_24">AutoStartPosition!$P$4</definedName>
    <definedName name="AS_POS_25">AutoStartPosition!$E$5</definedName>
    <definedName name="AS_POS_26">AutoStartPosition!$F$5</definedName>
    <definedName name="AS_POS_27">AutoStartPosition!$G$5</definedName>
    <definedName name="AS_POS_28">AutoStartPosition!$H$5</definedName>
    <definedName name="AS_POS_29">AutoStartPosition!$I$5</definedName>
    <definedName name="AS_POS_3">AutoStartPosition!$G$3</definedName>
    <definedName name="AS_POS_30">AutoStartPosition!$J$5</definedName>
    <definedName name="AS_POS_31">AutoStartPosition!$K$5</definedName>
    <definedName name="AS_POS_32">AutoStartPosition!$L$5</definedName>
    <definedName name="AS_POS_33">AutoStartPosition!$M$5</definedName>
    <definedName name="AS_POS_34">AutoStartPosition!$N$5</definedName>
    <definedName name="AS_POS_35">AutoStartPosition!$O$5</definedName>
    <definedName name="AS_POS_36">AutoStartPosition!$P$5</definedName>
    <definedName name="AS_POS_37">AutoStartPosition!$E$6</definedName>
    <definedName name="AS_POS_38">AutoStartPosition!$F$6</definedName>
    <definedName name="AS_POS_39">AutoStartPosition!$G$6</definedName>
    <definedName name="AS_POS_4">AutoStartPosition!$H$3</definedName>
    <definedName name="AS_POS_40">AutoStartPosition!$H$6</definedName>
    <definedName name="AS_POS_41">AutoStartPosition!$I$6</definedName>
    <definedName name="AS_POS_42">AutoStartPosition!$J$6</definedName>
    <definedName name="AS_POS_43">AutoStartPosition!$K$6</definedName>
    <definedName name="AS_POS_44">AutoStartPosition!$L$6</definedName>
    <definedName name="AS_POS_45">AutoStartPosition!$M$6</definedName>
    <definedName name="AS_POS_46">AutoStartPosition!$N$6</definedName>
    <definedName name="AS_POS_47">AutoStartPosition!$O$6</definedName>
    <definedName name="AS_POS_48">AutoStartPosition!$P$6</definedName>
    <definedName name="AS_POS_49">AutoStartPosition!$E$7</definedName>
    <definedName name="AS_POS_5">AutoStartPosition!$I$3</definedName>
    <definedName name="AS_POS_50">AutoStartPosition!$F$7</definedName>
    <definedName name="AS_POS_51">AutoStartPosition!$G$7</definedName>
    <definedName name="AS_POS_52">AutoStartPosition!$H$7</definedName>
    <definedName name="AS_POS_53">AutoStartPosition!$I$7</definedName>
    <definedName name="AS_POS_54">AutoStartPosition!$J$7</definedName>
    <definedName name="AS_POS_55">AutoStartPosition!$K$7</definedName>
    <definedName name="AS_POS_56">AutoStartPosition!$L$7</definedName>
    <definedName name="AS_POS_57">AutoStartPosition!$M$7</definedName>
    <definedName name="AS_POS_58">AutoStartPosition!$N$7</definedName>
    <definedName name="AS_POS_59">AutoStartPosition!$O$7</definedName>
    <definedName name="AS_POS_6">AutoStartPosition!$J$3</definedName>
    <definedName name="AS_POS_60">AutoStartPosition!$P$7</definedName>
    <definedName name="AS_POS_61">AutoStartPosition!$E$8</definedName>
    <definedName name="AS_POS_62">AutoStartPosition!$F$8</definedName>
    <definedName name="AS_POS_63">AutoStartPosition!$G$8</definedName>
    <definedName name="AS_POS_64">AutoStartPosition!$H$8</definedName>
    <definedName name="AS_POS_65">AutoStartPosition!$I$8</definedName>
    <definedName name="AS_POS_66">AutoStartPosition!$J$8</definedName>
    <definedName name="AS_POS_67">AutoStartPosition!$K$8</definedName>
    <definedName name="AS_POS_68">AutoStartPosition!$L$8</definedName>
    <definedName name="AS_POS_69">AutoStartPosition!$M$8</definedName>
    <definedName name="AS_POS_7">AutoStartPosition!$K$3</definedName>
    <definedName name="AS_POS_70">AutoStartPosition!$N$8</definedName>
    <definedName name="AS_POS_71">AutoStartPosition!$O$8</definedName>
    <definedName name="AS_POS_72">AutoStartPosition!$P$8</definedName>
    <definedName name="AS_POS_8">AutoStartPosition!$L$3</definedName>
    <definedName name="AS_POS_9">AutoStartPosition!$M$3</definedName>
    <definedName name="AS_PREF_1">AutoStartPreference!$E$3</definedName>
    <definedName name="AS_PREF_10">AutoStartPreference!$N$3</definedName>
    <definedName name="AS_PREF_11">AutoStartPreference!$O$3</definedName>
    <definedName name="AS_PREF_12">AutoStartPreference!$P$3</definedName>
    <definedName name="AS_PREF_13">AutoStartPreference!$E$4</definedName>
    <definedName name="AS_PREF_14">AutoStartPreference!$F$4</definedName>
    <definedName name="AS_PREF_15">AutoStartPreference!$G$4</definedName>
    <definedName name="AS_PREF_16">AutoStartPreference!$H$4</definedName>
    <definedName name="AS_PREF_17">AutoStartPreference!$I$4</definedName>
    <definedName name="AS_PREF_18">AutoStartPreference!$J$4</definedName>
    <definedName name="AS_PREF_19">AutoStartPreference!$K$4</definedName>
    <definedName name="AS_PREF_2">AutoStartPreference!$F$3</definedName>
    <definedName name="AS_PREF_20">AutoStartPreference!$L$4</definedName>
    <definedName name="AS_PREF_21">AutoStartPreference!$M$4</definedName>
    <definedName name="AS_PREF_22">AutoStartPreference!$N$4</definedName>
    <definedName name="AS_PREF_23">AutoStartPreference!$O$4</definedName>
    <definedName name="AS_PREF_24">AutoStartPreference!$P$4</definedName>
    <definedName name="AS_PREF_25">AutoStartPreference!$E$5</definedName>
    <definedName name="AS_PREF_26">AutoStartPreference!$F$5</definedName>
    <definedName name="AS_PREF_27">AutoStartPreference!$G$5</definedName>
    <definedName name="AS_PREF_28">AutoStartPreference!$H$5</definedName>
    <definedName name="AS_PREF_29">AutoStartPreference!$I$5</definedName>
    <definedName name="AS_PREF_3">AutoStartPreference!$G$3</definedName>
    <definedName name="AS_PREF_30">AutoStartPreference!$J$5</definedName>
    <definedName name="AS_PREF_31">AutoStartPreference!$K$5</definedName>
    <definedName name="AS_PREF_32">AutoStartPreference!$L$5</definedName>
    <definedName name="AS_PREF_33">AutoStartPreference!$M$5</definedName>
    <definedName name="AS_PREF_34">AutoStartPreference!$N$5</definedName>
    <definedName name="AS_PREF_35">AutoStartPreference!$O$5</definedName>
    <definedName name="AS_PREF_36">AutoStartPreference!$P$5</definedName>
    <definedName name="AS_PREF_37">AutoStartPreference!$E$6</definedName>
    <definedName name="AS_PREF_38">AutoStartPreference!$F$6</definedName>
    <definedName name="AS_PREF_39">AutoStartPreference!$G$6</definedName>
    <definedName name="AS_PREF_4">AutoStartPreference!$H$3</definedName>
    <definedName name="AS_PREF_40">AutoStartPreference!$H$6</definedName>
    <definedName name="AS_PREF_41">AutoStartPreference!$I$6</definedName>
    <definedName name="AS_PREF_42">AutoStartPreference!$J$6</definedName>
    <definedName name="AS_PREF_43">AutoStartPreference!$K$6</definedName>
    <definedName name="AS_PREF_44">AutoStartPreference!$L$6</definedName>
    <definedName name="AS_PREF_45">AutoStartPreference!$M$6</definedName>
    <definedName name="AS_PREF_46">AutoStartPreference!$N$6</definedName>
    <definedName name="AS_PREF_47">AutoStartPreference!$O$6</definedName>
    <definedName name="AS_PREF_48">AutoStartPreference!$P$6</definedName>
    <definedName name="AS_PREF_49">AutoStartPreference!$E$7</definedName>
    <definedName name="AS_PREF_5">AutoStartPreference!$I$3</definedName>
    <definedName name="AS_PREF_50">AutoStartPreference!$F$7</definedName>
    <definedName name="AS_PREF_51">AutoStartPreference!$G$7</definedName>
    <definedName name="AS_PREF_52">AutoStartPreference!$H$7</definedName>
    <definedName name="AS_PREF_53">AutoStartPreference!$I$7</definedName>
    <definedName name="AS_PREF_54">AutoStartPreference!$J$7</definedName>
    <definedName name="AS_PREF_55">AutoStartPreference!$K$7</definedName>
    <definedName name="AS_PREF_56">AutoStartPreference!$L$7</definedName>
    <definedName name="AS_PREF_57">AutoStartPreference!$M$7</definedName>
    <definedName name="AS_PREF_58">AutoStartPreference!$N$7</definedName>
    <definedName name="AS_PREF_59">AutoStartPreference!$O$7</definedName>
    <definedName name="AS_PREF_6">AutoStartPreference!$J$3</definedName>
    <definedName name="AS_PREF_60">AutoStartPreference!$P$7</definedName>
    <definedName name="AS_PREF_61">AutoStartPreference!$E$8</definedName>
    <definedName name="AS_PREF_62">AutoStartPreference!$F$8</definedName>
    <definedName name="AS_PREF_63">AutoStartPreference!$G$8</definedName>
    <definedName name="AS_PREF_64">AutoStartPreference!$H$8</definedName>
    <definedName name="AS_PREF_65">AutoStartPreference!$I$8</definedName>
    <definedName name="AS_PREF_66">AutoStartPreference!$J$8</definedName>
    <definedName name="AS_PREF_67">AutoStartPreference!$K$8</definedName>
    <definedName name="AS_PREF_68">AutoStartPreference!$L$8</definedName>
    <definedName name="AS_PREF_69">AutoStartPreference!$M$8</definedName>
    <definedName name="AS_PREF_7">AutoStartPreference!$K$3</definedName>
    <definedName name="AS_PREF_70">AutoStartPreference!$N$8</definedName>
    <definedName name="AS_PREF_71">AutoStartPreference!$O$8</definedName>
    <definedName name="AS_PREF_72">AutoStartPreference!$P$8</definedName>
    <definedName name="AS_PREF_8">AutoStartPreference!$L$3</definedName>
    <definedName name="AS_PREF_9">AutoStartPreference!$M$3</definedName>
    <definedName name="climb_time">[1]ReformatedData!$E$2:$E$998</definedName>
    <definedName name="climbing_status">[1]ReformatedData!$D$2:$D$998</definedName>
    <definedName name="comments">[1]ScoutingInfo!$Y$2:$Y$999</definedName>
    <definedName name="curr_team_name">"TextBox 13"</definedName>
    <definedName name="CURRENT_TEAM">[1]IndividualTeam!$A$1</definedName>
    <definedName name="direction">[1]ScoutingInfo!#REF!</definedName>
    <definedName name="driver_skill">[1]ScoutingInfo!$R$2:$R$999</definedName>
    <definedName name="getTeamName">#N/A</definedName>
    <definedName name="HeatMap" localSheetId="0">HeatMap!$B$2:$M$7</definedName>
    <definedName name="HEATMAP_TEAM_NUM">HeatMap!$B$1</definedName>
    <definedName name="HM_1">HeatMap!$B$2</definedName>
    <definedName name="HM_10">HeatMap!$K$2</definedName>
    <definedName name="HM_11">HeatMap!$L$2</definedName>
    <definedName name="HM_12">HeatMap!$M$2</definedName>
    <definedName name="HM_13">HeatMap!$B$3</definedName>
    <definedName name="HM_14">HeatMap!$C$3</definedName>
    <definedName name="HM_15">HeatMap!$D$3</definedName>
    <definedName name="HM_16">HeatMap!$E$3</definedName>
    <definedName name="HM_17">HeatMap!$F$3</definedName>
    <definedName name="HM_18">HeatMap!$G$3</definedName>
    <definedName name="HM_19">HeatMap!$H$3</definedName>
    <definedName name="HM_2">HeatMap!$C$2</definedName>
    <definedName name="HM_20">HeatMap!$I$3</definedName>
    <definedName name="HM_21">HeatMap!$J$3</definedName>
    <definedName name="HM_22">HeatMap!$K$3</definedName>
    <definedName name="HM_23">HeatMap!$L$3</definedName>
    <definedName name="HM_24">HeatMap!$M$3</definedName>
    <definedName name="HM_25">HeatMap!$B$4</definedName>
    <definedName name="HM_26">HeatMap!$C$4</definedName>
    <definedName name="HM_27">HeatMap!$D$4</definedName>
    <definedName name="HM_28">HeatMap!$E$4</definedName>
    <definedName name="HM_29">HeatMap!$F$4</definedName>
    <definedName name="HM_3">HeatMap!$D$2</definedName>
    <definedName name="HM_30">HeatMap!$G$4</definedName>
    <definedName name="HM_31">HeatMap!$H$4</definedName>
    <definedName name="HM_32">HeatMap!$I$4</definedName>
    <definedName name="HM_33">HeatMap!$J$4</definedName>
    <definedName name="HM_34">HeatMap!$K$4</definedName>
    <definedName name="HM_35">HeatMap!$L$4</definedName>
    <definedName name="HM_36">HeatMap!$M$4</definedName>
    <definedName name="HM_37">HeatMap!$B$5</definedName>
    <definedName name="HM_38">HeatMap!$C$5</definedName>
    <definedName name="HM_39">HeatMap!$D$5</definedName>
    <definedName name="HM_4">HeatMap!$E$2</definedName>
    <definedName name="HM_40">HeatMap!$E$5</definedName>
    <definedName name="HM_41">HeatMap!$F$5</definedName>
    <definedName name="HM_42">HeatMap!$G$5</definedName>
    <definedName name="HM_43">HeatMap!$H$5</definedName>
    <definedName name="HM_44">HeatMap!$I$5</definedName>
    <definedName name="HM_45">HeatMap!$J$5</definedName>
    <definedName name="HM_46">HeatMap!$K$5</definedName>
    <definedName name="HM_47">HeatMap!$L$5</definedName>
    <definedName name="HM_48">HeatMap!$M$5</definedName>
    <definedName name="HM_49">HeatMap!$B$6</definedName>
    <definedName name="HM_5">HeatMap!$F$2</definedName>
    <definedName name="HM_50">HeatMap!$C$6</definedName>
    <definedName name="HM_51">HeatMap!$D$6</definedName>
    <definedName name="HM_52">HeatMap!$E$6</definedName>
    <definedName name="HM_53">HeatMap!$F$6</definedName>
    <definedName name="HM_54">HeatMap!$G$6</definedName>
    <definedName name="HM_55">HeatMap!$H$6</definedName>
    <definedName name="HM_56">HeatMap!$I$6</definedName>
    <definedName name="HM_57">HeatMap!$J$6</definedName>
    <definedName name="HM_58">HeatMap!$K$6</definedName>
    <definedName name="HM_59">HeatMap!$L$6</definedName>
    <definedName name="HM_6">HeatMap!$G$2</definedName>
    <definedName name="HM_60">HeatMap!$M$6</definedName>
    <definedName name="HM_61">HeatMap!$B$7</definedName>
    <definedName name="HM_62">HeatMap!$C$7</definedName>
    <definedName name="HM_63">HeatMap!$D$7</definedName>
    <definedName name="HM_64">HeatMap!$E$7</definedName>
    <definedName name="HM_65">HeatMap!$F$7</definedName>
    <definedName name="HM_66">HeatMap!$G$7</definedName>
    <definedName name="HM_67">HeatMap!$H$7</definedName>
    <definedName name="HM_68">HeatMap!$I$7</definedName>
    <definedName name="HM_69">HeatMap!$J$7</definedName>
    <definedName name="HM_7">HeatMap!$H$2</definedName>
    <definedName name="HM_70">HeatMap!$K$7</definedName>
    <definedName name="HM_71">HeatMap!$L$7</definedName>
    <definedName name="HM_72">HeatMap!$M$7</definedName>
    <definedName name="HM_8">HeatMap!$I$2</definedName>
    <definedName name="HM_9">HeatMap!$J$2</definedName>
    <definedName name="initials">[1]ScoutingInfo!$A$2:$A$999</definedName>
    <definedName name="matchNumber">[1]ScoutingInfo!$D$2:$D$999</definedName>
    <definedName name="PAM_23">HeatMap!$B$9</definedName>
    <definedName name="PM_1">HeatMap!$O$2</definedName>
    <definedName name="PM_10">HeatMap!$X$2</definedName>
    <definedName name="PM_11">HeatMap!$Y$2</definedName>
    <definedName name="PM_12">HeatMap!$Z$2</definedName>
    <definedName name="PM_13">HeatMap!$O$3</definedName>
    <definedName name="PM_14">HeatMap!$P$3</definedName>
    <definedName name="PM_15">HeatMap!$Q$3</definedName>
    <definedName name="PM_16">HeatMap!$R$3</definedName>
    <definedName name="PM_17">HeatMap!$S$3</definedName>
    <definedName name="PM_18">HeatMap!$T$3</definedName>
    <definedName name="PM_19">HeatMap!$U$3</definedName>
    <definedName name="PM_2">HeatMap!$P$2</definedName>
    <definedName name="PM_20">HeatMap!$V$3</definedName>
    <definedName name="PM_21">HeatMap!$W$3</definedName>
    <definedName name="PM_22">HeatMap!$X$3</definedName>
    <definedName name="PM_23">HeatMap!$Y$3</definedName>
    <definedName name="PM_24">HeatMap!$Z$3</definedName>
    <definedName name="PM_25">HeatMap!$O$4</definedName>
    <definedName name="PM_26">HeatMap!$P$4</definedName>
    <definedName name="PM_27">HeatMap!$Q$4</definedName>
    <definedName name="PM_28">HeatMap!$R$4</definedName>
    <definedName name="PM_29">HeatMap!$S$4</definedName>
    <definedName name="PM_3">HeatMap!$Q$2</definedName>
    <definedName name="PM_30">HeatMap!$T$4</definedName>
    <definedName name="PM_31">HeatMap!$U$4</definedName>
    <definedName name="PM_32">HeatMap!$V$4</definedName>
    <definedName name="PM_33">HeatMap!$W$4</definedName>
    <definedName name="PM_34">HeatMap!$X$4</definedName>
    <definedName name="PM_35">HeatMap!$Y$4</definedName>
    <definedName name="PM_36">HeatMap!$Z$4</definedName>
    <definedName name="PM_37">HeatMap!$O$5</definedName>
    <definedName name="PM_38">HeatMap!$P$5</definedName>
    <definedName name="PM_39">HeatMap!$Q$5</definedName>
    <definedName name="PM_4">HeatMap!$R$2</definedName>
    <definedName name="PM_40">HeatMap!$R$5</definedName>
    <definedName name="PM_41">HeatMap!$S$5</definedName>
    <definedName name="PM_42">HeatMap!$T$5</definedName>
    <definedName name="PM_43">HeatMap!$U$5</definedName>
    <definedName name="PM_44">HeatMap!$V$5</definedName>
    <definedName name="PM_45">HeatMap!$W$5</definedName>
    <definedName name="PM_46">HeatMap!$X$5</definedName>
    <definedName name="PM_47">HeatMap!$Y$5</definedName>
    <definedName name="PM_48">HeatMap!$Z$5</definedName>
    <definedName name="PM_49">HeatMap!$O$6</definedName>
    <definedName name="PM_5">HeatMap!$S$2</definedName>
    <definedName name="PM_50">HeatMap!$P$6</definedName>
    <definedName name="PM_51">HeatMap!$Q$6</definedName>
    <definedName name="PM_52">HeatMap!$R$6</definedName>
    <definedName name="PM_53">HeatMap!$S$6</definedName>
    <definedName name="PM_54">HeatMap!$T$6</definedName>
    <definedName name="PM_55">HeatMap!$U$6</definedName>
    <definedName name="PM_56">HeatMap!$V$6</definedName>
    <definedName name="PM_57">HeatMap!$W$6</definedName>
    <definedName name="PM_58">HeatMap!$X$6</definedName>
    <definedName name="PM_59">HeatMap!$Y$6</definedName>
    <definedName name="PM_6">HeatMap!$T$2</definedName>
    <definedName name="PM_60">HeatMap!$Z$6</definedName>
    <definedName name="PM_61">HeatMap!$O$7</definedName>
    <definedName name="PM_62">HeatMap!$P$7</definedName>
    <definedName name="PM_63">HeatMap!$Q$7</definedName>
    <definedName name="PM_64">HeatMap!$R$7</definedName>
    <definedName name="PM_65">HeatMap!$S$7</definedName>
    <definedName name="PM_66">HeatMap!$T$7</definedName>
    <definedName name="PM_67">HeatMap!$U$7</definedName>
    <definedName name="PM_68">HeatMap!$V$7</definedName>
    <definedName name="PM_69">HeatMap!$W$7</definedName>
    <definedName name="PM_7">HeatMap!$U$2</definedName>
    <definedName name="PM_70">HeatMap!$X$7</definedName>
    <definedName name="PM_71">HeatMap!$Y$7</definedName>
    <definedName name="PM_72">HeatMap!$Z$7</definedName>
    <definedName name="PM_8">HeatMap!$V$2</definedName>
    <definedName name="PM_9">HeatMap!$W$2</definedName>
    <definedName name="PM_99">HeatMap!$W$2</definedName>
    <definedName name="robot_image">[1]AllTeams!$G$2:$G$100</definedName>
    <definedName name="SH_POS_1">ShootingPosition!$E$3</definedName>
    <definedName name="SH_POS_10">ShootingPosition!$N$3</definedName>
    <definedName name="SH_POS_11">ShootingPosition!$O$3</definedName>
    <definedName name="SH_POS_12">ShootingPosition!$P$3</definedName>
    <definedName name="SH_POS_13">ShootingPosition!$E$4</definedName>
    <definedName name="SH_POS_14">ShootingPosition!$F$4</definedName>
    <definedName name="SH_POS_15">ShootingPosition!$G$4</definedName>
    <definedName name="SH_POS_16">ShootingPosition!$H$4</definedName>
    <definedName name="SH_POS_17">ShootingPosition!$I$4</definedName>
    <definedName name="SH_POS_18">ShootingPosition!$J$4</definedName>
    <definedName name="SH_POS_19">ShootingPosition!$K$4</definedName>
    <definedName name="SH_POS_2">ShootingPosition!$F$3</definedName>
    <definedName name="SH_POS_20">ShootingPosition!$L$4</definedName>
    <definedName name="SH_POS_21">ShootingPosition!$M$4</definedName>
    <definedName name="SH_POS_22">ShootingPosition!$N$4</definedName>
    <definedName name="SH_POS_23">ShootingPosition!$O$4</definedName>
    <definedName name="SH_POS_24">ShootingPosition!$P$4</definedName>
    <definedName name="SH_POS_25">ShootingPosition!$E$5</definedName>
    <definedName name="SH_POS_26">ShootingPosition!$F$5</definedName>
    <definedName name="SH_POS_27">ShootingPosition!$G$5</definedName>
    <definedName name="SH_POS_28">ShootingPosition!$H$5</definedName>
    <definedName name="SH_POS_29">ShootingPosition!$I$5</definedName>
    <definedName name="SH_POS_3">ShootingPosition!$G$3</definedName>
    <definedName name="SH_POS_30">ShootingPosition!$J$5</definedName>
    <definedName name="SH_POS_31">ShootingPosition!$K$5</definedName>
    <definedName name="SH_POS_32">ShootingPosition!$L$5</definedName>
    <definedName name="SH_POS_33">ShootingPosition!$M$5</definedName>
    <definedName name="SH_POS_34">ShootingPosition!$N$5</definedName>
    <definedName name="SH_POS_35">ShootingPosition!$O$5</definedName>
    <definedName name="SH_POS_36">ShootingPosition!$P$5</definedName>
    <definedName name="SH_POS_37">ShootingPosition!$E$6</definedName>
    <definedName name="SH_POS_38">ShootingPosition!$F$6</definedName>
    <definedName name="SH_POS_39">ShootingPosition!$G$6</definedName>
    <definedName name="SH_POS_4">ShootingPosition!$H$3</definedName>
    <definedName name="SH_POS_40">ShootingPosition!$H$6</definedName>
    <definedName name="SH_POS_41">ShootingPosition!$I$6</definedName>
    <definedName name="SH_POS_42">ShootingPosition!$J$6</definedName>
    <definedName name="SH_POS_43">ShootingPosition!$K$6</definedName>
    <definedName name="SH_POS_44">ShootingPosition!$L$6</definedName>
    <definedName name="SH_POS_45">ShootingPosition!$M$6</definedName>
    <definedName name="SH_POS_46">ShootingPosition!$N$6</definedName>
    <definedName name="SH_POS_47">ShootingPosition!$O$6</definedName>
    <definedName name="SH_POS_48">ShootingPosition!$P$6</definedName>
    <definedName name="SH_POS_49">ShootingPosition!$E$7</definedName>
    <definedName name="SH_POS_5">ShootingPosition!$I$3</definedName>
    <definedName name="SH_POS_50">ShootingPosition!$F$7</definedName>
    <definedName name="SH_POS_51">ShootingPosition!$G$7</definedName>
    <definedName name="SH_POS_52">ShootingPosition!$H$7</definedName>
    <definedName name="SH_POS_53">ShootingPosition!$I$7</definedName>
    <definedName name="SH_POS_54">ShootingPosition!$J$7</definedName>
    <definedName name="SH_POS_55">ShootingPosition!$K$7</definedName>
    <definedName name="SH_POS_56">ShootingPosition!$L$7</definedName>
    <definedName name="SH_POS_57">ShootingPosition!$M$7</definedName>
    <definedName name="SH_POS_58">ShootingPosition!$N$7</definedName>
    <definedName name="SH_POS_59">ShootingPosition!$O$7</definedName>
    <definedName name="SH_POS_6">ShootingPosition!$J$3</definedName>
    <definedName name="SH_POS_60">ShootingPosition!$P$7</definedName>
    <definedName name="SH_POS_61">ShootingPosition!$E$8</definedName>
    <definedName name="SH_POS_62">ShootingPosition!$F$8</definedName>
    <definedName name="SH_POS_63">ShootingPosition!$G$8</definedName>
    <definedName name="SH_POS_64">ShootingPosition!$H$8</definedName>
    <definedName name="SH_POS_65">ShootingPosition!$I$8</definedName>
    <definedName name="SH_POS_66">ShootingPosition!$J$8</definedName>
    <definedName name="SH_POS_67">ShootingPosition!$K$8</definedName>
    <definedName name="SH_POS_68">ShootingPosition!$L$8</definedName>
    <definedName name="SH_POS_69">ShootingPosition!$M$8</definedName>
    <definedName name="SH_POS_7">ShootingPosition!$K$3</definedName>
    <definedName name="SH_POS_70">ShootingPosition!$N$8</definedName>
    <definedName name="SH_POS_71">ShootingPosition!$O$8</definedName>
    <definedName name="SH_POS_72">ShootingPosition!$P$8</definedName>
    <definedName name="SH_POS_8">ShootingPosition!$L$3</definedName>
    <definedName name="SH_POS_9">ShootingPosition!$M$3</definedName>
    <definedName name="ShowLogo">#N/A</definedName>
    <definedName name="ShowRobot">#N/A</definedName>
    <definedName name="SM_1">HeatMap!$O$9</definedName>
    <definedName name="SM_10">HeatMap!$X$9</definedName>
    <definedName name="SM_11">HeatMap!$Y$9</definedName>
    <definedName name="SM_12">HeatMap!$Z$9</definedName>
    <definedName name="SM_13">HeatMap!$O$10</definedName>
    <definedName name="SM_14">HeatMap!$P$10</definedName>
    <definedName name="SM_15">HeatMap!$Q$10</definedName>
    <definedName name="SM_16">HeatMap!$R$10</definedName>
    <definedName name="SM_17">HeatMap!$S$10</definedName>
    <definedName name="SM_18">HeatMap!$T$10</definedName>
    <definedName name="SM_19">HeatMap!$U$10</definedName>
    <definedName name="SM_2">HeatMap!$P$9</definedName>
    <definedName name="SM_20">HeatMap!$V$10</definedName>
    <definedName name="SM_21">HeatMap!$W$10</definedName>
    <definedName name="SM_22">HeatMap!$X$10</definedName>
    <definedName name="SM_23">HeatMap!$Y$10</definedName>
    <definedName name="SM_24">HeatMap!$Z$10</definedName>
    <definedName name="SM_25">HeatMap!$O$11</definedName>
    <definedName name="SM_26">HeatMap!$P$11</definedName>
    <definedName name="SM_27">HeatMap!$Q$11</definedName>
    <definedName name="SM_28">HeatMap!$R$11</definedName>
    <definedName name="SM_29">HeatMap!$S$11</definedName>
    <definedName name="SM_3">HeatMap!$Q$9</definedName>
    <definedName name="SM_30">HeatMap!$T$11</definedName>
    <definedName name="SM_31">HeatMap!$U$11</definedName>
    <definedName name="SM_32">HeatMap!$V$11</definedName>
    <definedName name="SM_33">HeatMap!$W$11</definedName>
    <definedName name="SM_34">HeatMap!$X$11</definedName>
    <definedName name="SM_35">HeatMap!$Y$11</definedName>
    <definedName name="SM_36">HeatMap!$Z$11</definedName>
    <definedName name="SM_37">HeatMap!$O$12</definedName>
    <definedName name="SM_38">HeatMap!$P$12</definedName>
    <definedName name="SM_39">HeatMap!$Q$12</definedName>
    <definedName name="SM_4">HeatMap!$R$9</definedName>
    <definedName name="SM_40">HeatMap!$R$12</definedName>
    <definedName name="SM_41">HeatMap!$S$12</definedName>
    <definedName name="SM_42">HeatMap!$T$12</definedName>
    <definedName name="SM_43">HeatMap!$U$12</definedName>
    <definedName name="SM_44">HeatMap!$V$12</definedName>
    <definedName name="SM_45">HeatMap!$W$12</definedName>
    <definedName name="SM_46">HeatMap!$X$12</definedName>
    <definedName name="SM_47">HeatMap!$Y$12</definedName>
    <definedName name="SM_48">HeatMap!$Z$12</definedName>
    <definedName name="SM_49">HeatMap!$O$13</definedName>
    <definedName name="SM_5">HeatMap!$S$9</definedName>
    <definedName name="SM_50">HeatMap!$P$13</definedName>
    <definedName name="SM_51">HeatMap!$Q$13</definedName>
    <definedName name="SM_52">HeatMap!$R$13</definedName>
    <definedName name="SM_53">HeatMap!$S$13</definedName>
    <definedName name="SM_54">HeatMap!$T$13</definedName>
    <definedName name="SM_55">HeatMap!$U$13</definedName>
    <definedName name="SM_56">HeatMap!$V$13</definedName>
    <definedName name="SM_57">HeatMap!$W$13</definedName>
    <definedName name="SM_58">HeatMap!$X$13</definedName>
    <definedName name="SM_59">HeatMap!$Y$13</definedName>
    <definedName name="SM_6">HeatMap!$T$9</definedName>
    <definedName name="SM_60">HeatMap!$Z$13</definedName>
    <definedName name="SM_61">HeatMap!$O$14</definedName>
    <definedName name="SM_62">HeatMap!$P$14</definedName>
    <definedName name="SM_63">HeatMap!$Q$14</definedName>
    <definedName name="SM_64">HeatMap!$R$14</definedName>
    <definedName name="SM_65">HeatMap!$S$14</definedName>
    <definedName name="SM_66">HeatMap!$T$14</definedName>
    <definedName name="SM_67">HeatMap!$U$14</definedName>
    <definedName name="SM_68">HeatMap!$V$14</definedName>
    <definedName name="SM_69">HeatMap!$W$14</definedName>
    <definedName name="SM_7">HeatMap!$U$9</definedName>
    <definedName name="SM_70">HeatMap!$X$14</definedName>
    <definedName name="SM_71">HeatMap!$Y$14</definedName>
    <definedName name="SM_72">HeatMap!$Z$14</definedName>
    <definedName name="SM_8">HeatMap!$V$9</definedName>
    <definedName name="SM_9">HeatMap!$W$9</definedName>
    <definedName name="speaker_points">[1]ReformatedData!$C$2:$C$998</definedName>
    <definedName name="speed_rating">[1]ScoutingInfo!$T$2:$T$999</definedName>
    <definedName name="stage_timer">[1]ScoutingInfo!$O$2:$O$999</definedName>
    <definedName name="team_logo">[1]AllTeams!$F$2:$F$100</definedName>
    <definedName name="team_name">[1]AllTeams!$B$2:$B$100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H705" i="7"/>
  <c r="H971" i="7"/>
  <c r="H837" i="7"/>
  <c r="H973" i="7"/>
  <c r="H788" i="7"/>
  <c r="H806" i="7"/>
  <c r="H720" i="7"/>
  <c r="H926" i="7"/>
  <c r="H825" i="7"/>
  <c r="H786" i="7"/>
  <c r="H719" i="7"/>
  <c r="H870" i="7"/>
  <c r="H703" i="7"/>
  <c r="H864" i="7"/>
  <c r="H997" i="7"/>
  <c r="H901" i="7"/>
  <c r="H673" i="7"/>
  <c r="H947" i="7"/>
  <c r="H968" i="7"/>
  <c r="H946" i="7"/>
  <c r="H689" i="7"/>
  <c r="H776" i="7"/>
  <c r="H999" i="7"/>
  <c r="H884" i="7"/>
  <c r="H868" i="7"/>
  <c r="H854" i="7"/>
  <c r="H905" i="7"/>
  <c r="H662" i="7"/>
  <c r="H795" i="7"/>
  <c r="H724" i="7"/>
  <c r="H892" i="7"/>
  <c r="H793" i="7"/>
  <c r="H808" i="7"/>
  <c r="H943" i="7"/>
  <c r="H708" i="7"/>
  <c r="H754" i="7"/>
  <c r="H844" i="7"/>
  <c r="H679" i="7"/>
  <c r="H726" i="7"/>
  <c r="H659" i="7"/>
  <c r="H876" i="7"/>
  <c r="H735" i="7"/>
  <c r="H874" i="7"/>
  <c r="H766" i="7"/>
  <c r="H929" i="7"/>
  <c r="H891" i="7"/>
  <c r="H834" i="7"/>
  <c r="H959" i="7"/>
  <c r="H685" i="7"/>
  <c r="H900" i="7"/>
  <c r="H841" i="7"/>
  <c r="H762" i="7"/>
  <c r="H763" i="7"/>
  <c r="H869" i="7"/>
  <c r="H669" i="7"/>
  <c r="H872" i="7"/>
  <c r="H761" i="7"/>
  <c r="H692" i="7"/>
  <c r="H738" i="7"/>
  <c r="H823" i="7"/>
  <c r="H975" i="7"/>
  <c r="H713" i="7"/>
  <c r="H855" i="7"/>
  <c r="H863" i="7"/>
  <c r="H898" i="7"/>
  <c r="H684" i="7"/>
  <c r="H813" i="7"/>
  <c r="H676" i="7"/>
  <c r="H769" i="7"/>
  <c r="H753" i="7"/>
  <c r="H867" i="7"/>
  <c r="H765" i="7"/>
  <c r="H798" i="7"/>
  <c r="H967" i="7"/>
  <c r="H983" i="7"/>
  <c r="H803" i="7"/>
  <c r="H665" i="7"/>
  <c r="H877" i="7"/>
  <c r="H667" i="7"/>
  <c r="H852" i="7"/>
  <c r="H711" i="7"/>
  <c r="H683" i="7"/>
  <c r="H680" i="7"/>
  <c r="H779" i="7"/>
  <c r="H899" i="7"/>
  <c r="H757" i="7"/>
  <c r="H714" i="7"/>
  <c r="H777" i="7"/>
  <c r="H909" i="7"/>
  <c r="H934" i="7"/>
  <c r="H695" i="7"/>
  <c r="H832" i="7"/>
  <c r="H984" i="7"/>
  <c r="H750" i="7"/>
  <c r="H802" i="7"/>
  <c r="H851" i="7"/>
  <c r="H664" i="7"/>
  <c r="H979" i="7"/>
  <c r="H962" i="7"/>
  <c r="H672" i="7"/>
  <c r="H896" i="7"/>
  <c r="H904" i="7"/>
  <c r="H915" i="7"/>
  <c r="H728" i="7"/>
  <c r="H745" i="7"/>
  <c r="H742" i="7"/>
  <c r="H737" i="7"/>
  <c r="H816" i="7"/>
  <c r="H781" i="7"/>
  <c r="H830" i="7"/>
  <c r="H925" i="7"/>
  <c r="H775" i="7"/>
  <c r="H882" i="7"/>
  <c r="H965" i="7"/>
  <c r="H995" i="7"/>
  <c r="H952" i="7"/>
  <c r="H992" i="7"/>
  <c r="H764" i="7"/>
  <c r="H978" i="7"/>
  <c r="H924" i="7"/>
  <c r="H908" i="7"/>
  <c r="H733" i="7"/>
  <c r="H833" i="7"/>
  <c r="H674" i="7"/>
  <c r="H698" i="7"/>
  <c r="H699" i="7"/>
  <c r="H858" i="7"/>
  <c r="H953" i="7"/>
  <c r="H928" i="7"/>
  <c r="H807" i="7"/>
  <c r="H942" i="7"/>
  <c r="H966" i="7"/>
  <c r="H930" i="7"/>
  <c r="H897" i="7"/>
  <c r="H913" i="7"/>
  <c r="H960" i="7"/>
  <c r="H950" i="7"/>
  <c r="H964" i="7"/>
  <c r="H751" i="7"/>
  <c r="H846" i="7"/>
  <c r="H845" i="7"/>
  <c r="H819" i="7"/>
  <c r="H796" i="7"/>
  <c r="H809" i="7"/>
  <c r="H658" i="7"/>
  <c r="H988" i="7"/>
  <c r="H755" i="7"/>
  <c r="H886" i="7"/>
  <c r="H856" i="7"/>
  <c r="H955" i="7"/>
  <c r="H759" i="7"/>
  <c r="H885" i="7"/>
  <c r="H982" i="7"/>
  <c r="H790" i="7"/>
  <c r="H704" i="7"/>
  <c r="H772" i="7"/>
  <c r="H865" i="7"/>
  <c r="H939" i="7"/>
  <c r="H817" i="7"/>
  <c r="H787" i="7"/>
  <c r="H994" i="7"/>
  <c r="H722" i="7"/>
  <c r="H675" i="7"/>
  <c r="H690" i="7"/>
  <c r="H986" i="7"/>
  <c r="H663" i="7"/>
  <c r="H668" i="7"/>
  <c r="H866" i="7"/>
  <c r="H768" i="7"/>
  <c r="H849" i="7"/>
  <c r="H940" i="7"/>
  <c r="H873" i="7"/>
  <c r="H822" i="7"/>
  <c r="H935" i="7"/>
  <c r="H937" i="7"/>
  <c r="H709" i="7"/>
  <c r="H875" i="7"/>
  <c r="H734" i="7"/>
  <c r="H671" i="7"/>
  <c r="H820" i="7"/>
  <c r="H972" i="7"/>
  <c r="H740" i="7"/>
  <c r="H902" i="7"/>
  <c r="H758" i="7"/>
  <c r="H990" i="7"/>
  <c r="H748" i="7"/>
  <c r="H801" i="7"/>
  <c r="H919" i="7"/>
  <c r="H785" i="7"/>
  <c r="H860" i="7"/>
  <c r="H861" i="7"/>
  <c r="H818" i="7"/>
  <c r="H957" i="7"/>
  <c r="H760" i="7"/>
  <c r="H974" i="7"/>
  <c r="H784" i="7"/>
  <c r="H792" i="7"/>
  <c r="H752" i="7"/>
  <c r="H767" i="7"/>
  <c r="H878" i="7"/>
  <c r="H812" i="7"/>
  <c r="H880" i="7"/>
  <c r="H827" i="7"/>
  <c r="H756" i="7"/>
  <c r="H800" i="7"/>
  <c r="H938" i="7"/>
  <c r="H677" i="7"/>
  <c r="H847" i="7"/>
  <c r="H773" i="7"/>
  <c r="H931" i="7"/>
  <c r="H702" i="7"/>
  <c r="H791" i="7"/>
  <c r="H666" i="7"/>
  <c r="H969" i="7"/>
  <c r="H911" i="7"/>
  <c r="H932" i="7"/>
  <c r="H706" i="7"/>
  <c r="H936" i="7"/>
  <c r="H963" i="7"/>
  <c r="H889" i="7"/>
  <c r="H980" i="7"/>
  <c r="H732" i="7"/>
  <c r="H723" i="7"/>
  <c r="H688" i="7"/>
  <c r="H838" i="7"/>
  <c r="H681" i="7"/>
  <c r="H805" i="7"/>
  <c r="H907" i="7"/>
  <c r="H949" i="7"/>
  <c r="H835" i="7"/>
  <c r="H804" i="7"/>
  <c r="H727" i="7"/>
  <c r="H814" i="7"/>
  <c r="H810" i="7"/>
  <c r="H887" i="7"/>
  <c r="H829" i="7"/>
  <c r="H989" i="7"/>
  <c r="H797" i="7"/>
  <c r="H917" i="7"/>
  <c r="H881" i="7"/>
  <c r="H701" i="7"/>
  <c r="H945" i="7"/>
  <c r="H815" i="7"/>
  <c r="H783" i="7"/>
  <c r="H857" i="7"/>
  <c r="H906" i="7"/>
  <c r="H660" i="7"/>
  <c r="H747" i="7"/>
  <c r="H821" i="7"/>
  <c r="H730" i="7"/>
  <c r="H771" i="7"/>
  <c r="H921" i="7"/>
  <c r="H824" i="7"/>
  <c r="H718" i="7"/>
  <c r="H912" i="7"/>
  <c r="H780" i="7"/>
  <c r="H682" i="7"/>
  <c r="H789" i="7"/>
  <c r="H951" i="7"/>
  <c r="H716" i="7"/>
  <c r="H918" i="7"/>
  <c r="H691" i="7"/>
  <c r="H922" i="7"/>
  <c r="H879" i="7"/>
  <c r="H970" i="7"/>
  <c r="H985" i="7"/>
  <c r="H956" i="7"/>
  <c r="H700" i="7"/>
  <c r="H743" i="7"/>
  <c r="H923" i="7"/>
  <c r="H893" i="7"/>
  <c r="H903" i="7"/>
  <c r="H941" i="7"/>
  <c r="H770" i="7"/>
  <c r="H717" i="7"/>
  <c r="H826" i="7"/>
  <c r="H944" i="7"/>
  <c r="H729" i="7"/>
  <c r="H998" i="7"/>
  <c r="H890" i="7"/>
  <c r="H794" i="7"/>
  <c r="H828" i="7"/>
  <c r="H731" i="7"/>
  <c r="H811" i="7"/>
  <c r="H853" i="7"/>
  <c r="H910" i="7"/>
  <c r="H836" i="7"/>
  <c r="H850" i="7"/>
  <c r="H739" i="7"/>
  <c r="H710" i="7"/>
  <c r="H686" i="7"/>
  <c r="H712" i="7"/>
  <c r="H839" i="7"/>
  <c r="H744" i="7"/>
  <c r="H697" i="7"/>
  <c r="H976" i="7"/>
  <c r="H848" i="7"/>
  <c r="H961" i="7"/>
  <c r="H948" i="7"/>
  <c r="H721" i="7"/>
  <c r="H696" i="7"/>
  <c r="H694" i="7"/>
  <c r="H843" i="7"/>
  <c r="H746" i="7"/>
  <c r="H749" i="7"/>
  <c r="H996" i="7"/>
  <c r="H661" i="7"/>
  <c r="H987" i="7"/>
  <c r="H871" i="7"/>
  <c r="H914" i="7"/>
  <c r="H927" i="7"/>
  <c r="H778" i="7"/>
  <c r="H993" i="7"/>
  <c r="H687" i="7"/>
  <c r="H894" i="7"/>
  <c r="H981" i="7"/>
  <c r="H991" i="7"/>
  <c r="H977" i="7"/>
  <c r="H840" i="7"/>
  <c r="H842" i="7"/>
  <c r="H782" i="7"/>
  <c r="H725" i="7"/>
  <c r="H741" i="7"/>
  <c r="H895" i="7"/>
  <c r="H736" i="7"/>
  <c r="H920" i="7"/>
  <c r="H888" i="7"/>
  <c r="H678" i="7"/>
  <c r="H862" i="7"/>
  <c r="H859" i="7"/>
  <c r="H831" i="7"/>
  <c r="H958" i="7"/>
  <c r="H707" i="7"/>
  <c r="H693" i="7"/>
  <c r="H916" i="7"/>
  <c r="H883" i="7"/>
  <c r="H670" i="7"/>
  <c r="H774" i="7"/>
  <c r="H933" i="7"/>
  <c r="H799" i="7"/>
  <c r="H954" i="7"/>
  <c r="H715" i="7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G971" i="7"/>
  <c r="G837" i="7"/>
  <c r="G705" i="7"/>
  <c r="G973" i="7"/>
  <c r="G788" i="7"/>
  <c r="G806" i="7"/>
  <c r="G720" i="7"/>
  <c r="G926" i="7"/>
  <c r="G825" i="7"/>
  <c r="G786" i="7"/>
  <c r="G719" i="7"/>
  <c r="G870" i="7"/>
  <c r="G703" i="7"/>
  <c r="G864" i="7"/>
  <c r="G997" i="7"/>
  <c r="G901" i="7"/>
  <c r="G673" i="7"/>
  <c r="G947" i="7"/>
  <c r="G968" i="7"/>
  <c r="G946" i="7"/>
  <c r="G689" i="7"/>
  <c r="G776" i="7"/>
  <c r="G999" i="7"/>
  <c r="G884" i="7"/>
  <c r="G868" i="7"/>
  <c r="G854" i="7"/>
  <c r="G905" i="7"/>
  <c r="G662" i="7"/>
  <c r="G795" i="7"/>
  <c r="G724" i="7"/>
  <c r="G892" i="7"/>
  <c r="G793" i="7"/>
  <c r="G808" i="7"/>
  <c r="G943" i="7"/>
  <c r="G708" i="7"/>
  <c r="G754" i="7"/>
  <c r="G844" i="7"/>
  <c r="G679" i="7"/>
  <c r="G726" i="7"/>
  <c r="G659" i="7"/>
  <c r="G876" i="7"/>
  <c r="G735" i="7"/>
  <c r="G874" i="7"/>
  <c r="G766" i="7"/>
  <c r="G929" i="7"/>
  <c r="G891" i="7"/>
  <c r="G834" i="7"/>
  <c r="G959" i="7"/>
  <c r="G685" i="7"/>
  <c r="G900" i="7"/>
  <c r="G841" i="7"/>
  <c r="G762" i="7"/>
  <c r="G763" i="7"/>
  <c r="G869" i="7"/>
  <c r="G669" i="7"/>
  <c r="G872" i="7"/>
  <c r="G761" i="7"/>
  <c r="G692" i="7"/>
  <c r="G738" i="7"/>
  <c r="G823" i="7"/>
  <c r="G975" i="7"/>
  <c r="G713" i="7"/>
  <c r="G855" i="7"/>
  <c r="G863" i="7"/>
  <c r="G898" i="7"/>
  <c r="G684" i="7"/>
  <c r="G813" i="7"/>
  <c r="G676" i="7"/>
  <c r="G769" i="7"/>
  <c r="G753" i="7"/>
  <c r="G867" i="7"/>
  <c r="G765" i="7"/>
  <c r="G798" i="7"/>
  <c r="G967" i="7"/>
  <c r="G983" i="7"/>
  <c r="G803" i="7"/>
  <c r="G665" i="7"/>
  <c r="G877" i="7"/>
  <c r="G667" i="7"/>
  <c r="G852" i="7"/>
  <c r="G711" i="7"/>
  <c r="G683" i="7"/>
  <c r="G680" i="7"/>
  <c r="G779" i="7"/>
  <c r="G899" i="7"/>
  <c r="G757" i="7"/>
  <c r="G714" i="7"/>
  <c r="G777" i="7"/>
  <c r="G909" i="7"/>
  <c r="G934" i="7"/>
  <c r="G695" i="7"/>
  <c r="G832" i="7"/>
  <c r="G984" i="7"/>
  <c r="G750" i="7"/>
  <c r="G802" i="7"/>
  <c r="G851" i="7"/>
  <c r="G664" i="7"/>
  <c r="G979" i="7"/>
  <c r="G962" i="7"/>
  <c r="G672" i="7"/>
  <c r="G896" i="7"/>
  <c r="G904" i="7"/>
  <c r="G915" i="7"/>
  <c r="G728" i="7"/>
  <c r="G745" i="7"/>
  <c r="G742" i="7"/>
  <c r="G737" i="7"/>
  <c r="G816" i="7"/>
  <c r="G781" i="7"/>
  <c r="G830" i="7"/>
  <c r="G925" i="7"/>
  <c r="G775" i="7"/>
  <c r="G882" i="7"/>
  <c r="G965" i="7"/>
  <c r="G995" i="7"/>
  <c r="G952" i="7"/>
  <c r="G992" i="7"/>
  <c r="G764" i="7"/>
  <c r="G978" i="7"/>
  <c r="G924" i="7"/>
  <c r="G908" i="7"/>
  <c r="G733" i="7"/>
  <c r="G833" i="7"/>
  <c r="G674" i="7"/>
  <c r="G698" i="7"/>
  <c r="G699" i="7"/>
  <c r="G858" i="7"/>
  <c r="G953" i="7"/>
  <c r="G928" i="7"/>
  <c r="G807" i="7"/>
  <c r="G942" i="7"/>
  <c r="G966" i="7"/>
  <c r="G930" i="7"/>
  <c r="G897" i="7"/>
  <c r="G913" i="7"/>
  <c r="G960" i="7"/>
  <c r="G950" i="7"/>
  <c r="G964" i="7"/>
  <c r="G751" i="7"/>
  <c r="G846" i="7"/>
  <c r="G845" i="7"/>
  <c r="G819" i="7"/>
  <c r="G796" i="7"/>
  <c r="G809" i="7"/>
  <c r="G658" i="7"/>
  <c r="G988" i="7"/>
  <c r="G755" i="7"/>
  <c r="G886" i="7"/>
  <c r="G856" i="7"/>
  <c r="G955" i="7"/>
  <c r="G759" i="7"/>
  <c r="G885" i="7"/>
  <c r="G982" i="7"/>
  <c r="G790" i="7"/>
  <c r="G704" i="7"/>
  <c r="G772" i="7"/>
  <c r="G865" i="7"/>
  <c r="G939" i="7"/>
  <c r="G817" i="7"/>
  <c r="G787" i="7"/>
  <c r="G994" i="7"/>
  <c r="G722" i="7"/>
  <c r="G675" i="7"/>
  <c r="G690" i="7"/>
  <c r="G986" i="7"/>
  <c r="G663" i="7"/>
  <c r="G668" i="7"/>
  <c r="G866" i="7"/>
  <c r="G768" i="7"/>
  <c r="G849" i="7"/>
  <c r="G940" i="7"/>
  <c r="G873" i="7"/>
  <c r="G822" i="7"/>
  <c r="G935" i="7"/>
  <c r="G937" i="7"/>
  <c r="G709" i="7"/>
  <c r="G875" i="7"/>
  <c r="G734" i="7"/>
  <c r="G671" i="7"/>
  <c r="G820" i="7"/>
  <c r="G972" i="7"/>
  <c r="G740" i="7"/>
  <c r="G902" i="7"/>
  <c r="G758" i="7"/>
  <c r="G990" i="7"/>
  <c r="G748" i="7"/>
  <c r="G801" i="7"/>
  <c r="G919" i="7"/>
  <c r="G785" i="7"/>
  <c r="G860" i="7"/>
  <c r="G861" i="7"/>
  <c r="G818" i="7"/>
  <c r="G957" i="7"/>
  <c r="G760" i="7"/>
  <c r="G974" i="7"/>
  <c r="G784" i="7"/>
  <c r="G792" i="7"/>
  <c r="G752" i="7"/>
  <c r="G767" i="7"/>
  <c r="G878" i="7"/>
  <c r="G812" i="7"/>
  <c r="G880" i="7"/>
  <c r="G827" i="7"/>
  <c r="G756" i="7"/>
  <c r="G800" i="7"/>
  <c r="G938" i="7"/>
  <c r="G677" i="7"/>
  <c r="G847" i="7"/>
  <c r="G773" i="7"/>
  <c r="G931" i="7"/>
  <c r="G702" i="7"/>
  <c r="G791" i="7"/>
  <c r="G666" i="7"/>
  <c r="G969" i="7"/>
  <c r="G911" i="7"/>
  <c r="G932" i="7"/>
  <c r="G706" i="7"/>
  <c r="G936" i="7"/>
  <c r="G963" i="7"/>
  <c r="G889" i="7"/>
  <c r="G980" i="7"/>
  <c r="G732" i="7"/>
  <c r="G723" i="7"/>
  <c r="G688" i="7"/>
  <c r="G838" i="7"/>
  <c r="G681" i="7"/>
  <c r="G805" i="7"/>
  <c r="G907" i="7"/>
  <c r="G949" i="7"/>
  <c r="G835" i="7"/>
  <c r="G804" i="7"/>
  <c r="G727" i="7"/>
  <c r="G814" i="7"/>
  <c r="G810" i="7"/>
  <c r="G887" i="7"/>
  <c r="G829" i="7"/>
  <c r="G989" i="7"/>
  <c r="G797" i="7"/>
  <c r="G917" i="7"/>
  <c r="G881" i="7"/>
  <c r="G701" i="7"/>
  <c r="G945" i="7"/>
  <c r="G815" i="7"/>
  <c r="G783" i="7"/>
  <c r="G857" i="7"/>
  <c r="G906" i="7"/>
  <c r="G660" i="7"/>
  <c r="G747" i="7"/>
  <c r="G821" i="7"/>
  <c r="G730" i="7"/>
  <c r="G771" i="7"/>
  <c r="G921" i="7"/>
  <c r="G824" i="7"/>
  <c r="G718" i="7"/>
  <c r="G912" i="7"/>
  <c r="G780" i="7"/>
  <c r="G682" i="7"/>
  <c r="G789" i="7"/>
  <c r="G951" i="7"/>
  <c r="G716" i="7"/>
  <c r="G918" i="7"/>
  <c r="G691" i="7"/>
  <c r="G922" i="7"/>
  <c r="G879" i="7"/>
  <c r="G970" i="7"/>
  <c r="G985" i="7"/>
  <c r="G956" i="7"/>
  <c r="G700" i="7"/>
  <c r="G743" i="7"/>
  <c r="G923" i="7"/>
  <c r="G893" i="7"/>
  <c r="G903" i="7"/>
  <c r="G941" i="7"/>
  <c r="G770" i="7"/>
  <c r="G717" i="7"/>
  <c r="G826" i="7"/>
  <c r="G944" i="7"/>
  <c r="G729" i="7"/>
  <c r="G998" i="7"/>
  <c r="G890" i="7"/>
  <c r="G794" i="7"/>
  <c r="G828" i="7"/>
  <c r="G731" i="7"/>
  <c r="G811" i="7"/>
  <c r="G853" i="7"/>
  <c r="G910" i="7"/>
  <c r="G836" i="7"/>
  <c r="G850" i="7"/>
  <c r="G739" i="7"/>
  <c r="G710" i="7"/>
  <c r="G686" i="7"/>
  <c r="G712" i="7"/>
  <c r="G839" i="7"/>
  <c r="G744" i="7"/>
  <c r="G697" i="7"/>
  <c r="G976" i="7"/>
  <c r="G848" i="7"/>
  <c r="G961" i="7"/>
  <c r="G948" i="7"/>
  <c r="G721" i="7"/>
  <c r="G696" i="7"/>
  <c r="G694" i="7"/>
  <c r="G843" i="7"/>
  <c r="G746" i="7"/>
  <c r="G749" i="7"/>
  <c r="G996" i="7"/>
  <c r="G661" i="7"/>
  <c r="G987" i="7"/>
  <c r="G871" i="7"/>
  <c r="G914" i="7"/>
  <c r="G927" i="7"/>
  <c r="G778" i="7"/>
  <c r="G993" i="7"/>
  <c r="G687" i="7"/>
  <c r="G894" i="7"/>
  <c r="G981" i="7"/>
  <c r="G991" i="7"/>
  <c r="G977" i="7"/>
  <c r="G840" i="7"/>
  <c r="G842" i="7"/>
  <c r="G782" i="7"/>
  <c r="G725" i="7"/>
  <c r="G741" i="7"/>
  <c r="G895" i="7"/>
  <c r="G736" i="7"/>
  <c r="G920" i="7"/>
  <c r="G888" i="7"/>
  <c r="G678" i="7"/>
  <c r="G862" i="7"/>
  <c r="G859" i="7"/>
  <c r="G831" i="7"/>
  <c r="G958" i="7"/>
  <c r="G707" i="7"/>
  <c r="G693" i="7"/>
  <c r="G916" i="7"/>
  <c r="G883" i="7"/>
  <c r="G670" i="7"/>
  <c r="G774" i="7"/>
  <c r="G933" i="7"/>
  <c r="G799" i="7"/>
  <c r="G954" i="7"/>
  <c r="G715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F971" i="7"/>
  <c r="F837" i="7"/>
  <c r="F705" i="7"/>
  <c r="F973" i="7"/>
  <c r="F788" i="7"/>
  <c r="F806" i="7"/>
  <c r="F720" i="7"/>
  <c r="F926" i="7"/>
  <c r="F825" i="7"/>
  <c r="F786" i="7"/>
  <c r="F719" i="7"/>
  <c r="F870" i="7"/>
  <c r="F703" i="7"/>
  <c r="F864" i="7"/>
  <c r="F997" i="7"/>
  <c r="F901" i="7"/>
  <c r="F673" i="7"/>
  <c r="F947" i="7"/>
  <c r="F968" i="7"/>
  <c r="F946" i="7"/>
  <c r="F689" i="7"/>
  <c r="F776" i="7"/>
  <c r="F999" i="7"/>
  <c r="F884" i="7"/>
  <c r="F868" i="7"/>
  <c r="F854" i="7"/>
  <c r="F905" i="7"/>
  <c r="F662" i="7"/>
  <c r="F795" i="7"/>
  <c r="F724" i="7"/>
  <c r="F892" i="7"/>
  <c r="F793" i="7"/>
  <c r="F808" i="7"/>
  <c r="F943" i="7"/>
  <c r="F708" i="7"/>
  <c r="F754" i="7"/>
  <c r="F844" i="7"/>
  <c r="F679" i="7"/>
  <c r="F726" i="7"/>
  <c r="F659" i="7"/>
  <c r="F876" i="7"/>
  <c r="F735" i="7"/>
  <c r="F874" i="7"/>
  <c r="F766" i="7"/>
  <c r="F929" i="7"/>
  <c r="F891" i="7"/>
  <c r="F834" i="7"/>
  <c r="F959" i="7"/>
  <c r="F685" i="7"/>
  <c r="F900" i="7"/>
  <c r="F841" i="7"/>
  <c r="F762" i="7"/>
  <c r="F763" i="7"/>
  <c r="F869" i="7"/>
  <c r="F669" i="7"/>
  <c r="F872" i="7"/>
  <c r="F761" i="7"/>
  <c r="F692" i="7"/>
  <c r="F738" i="7"/>
  <c r="F823" i="7"/>
  <c r="F975" i="7"/>
  <c r="F713" i="7"/>
  <c r="F855" i="7"/>
  <c r="F863" i="7"/>
  <c r="F898" i="7"/>
  <c r="F684" i="7"/>
  <c r="F813" i="7"/>
  <c r="F676" i="7"/>
  <c r="F769" i="7"/>
  <c r="F753" i="7"/>
  <c r="F867" i="7"/>
  <c r="F765" i="7"/>
  <c r="F798" i="7"/>
  <c r="F967" i="7"/>
  <c r="F983" i="7"/>
  <c r="F803" i="7"/>
  <c r="F665" i="7"/>
  <c r="F877" i="7"/>
  <c r="F667" i="7"/>
  <c r="F852" i="7"/>
  <c r="F711" i="7"/>
  <c r="F683" i="7"/>
  <c r="F680" i="7"/>
  <c r="F779" i="7"/>
  <c r="F899" i="7"/>
  <c r="F757" i="7"/>
  <c r="F714" i="7"/>
  <c r="F777" i="7"/>
  <c r="F909" i="7"/>
  <c r="F934" i="7"/>
  <c r="F695" i="7"/>
  <c r="F832" i="7"/>
  <c r="F984" i="7"/>
  <c r="F750" i="7"/>
  <c r="F802" i="7"/>
  <c r="F851" i="7"/>
  <c r="F664" i="7"/>
  <c r="F979" i="7"/>
  <c r="F962" i="7"/>
  <c r="F672" i="7"/>
  <c r="F896" i="7"/>
  <c r="F904" i="7"/>
  <c r="F915" i="7"/>
  <c r="F728" i="7"/>
  <c r="F745" i="7"/>
  <c r="F742" i="7"/>
  <c r="F737" i="7"/>
  <c r="F816" i="7"/>
  <c r="F781" i="7"/>
  <c r="F830" i="7"/>
  <c r="F925" i="7"/>
  <c r="F775" i="7"/>
  <c r="F882" i="7"/>
  <c r="F965" i="7"/>
  <c r="F995" i="7"/>
  <c r="F952" i="7"/>
  <c r="F992" i="7"/>
  <c r="F764" i="7"/>
  <c r="F978" i="7"/>
  <c r="F924" i="7"/>
  <c r="F908" i="7"/>
  <c r="F733" i="7"/>
  <c r="F833" i="7"/>
  <c r="F674" i="7"/>
  <c r="F698" i="7"/>
  <c r="F699" i="7"/>
  <c r="F858" i="7"/>
  <c r="F953" i="7"/>
  <c r="F928" i="7"/>
  <c r="F807" i="7"/>
  <c r="F942" i="7"/>
  <c r="F966" i="7"/>
  <c r="F930" i="7"/>
  <c r="F897" i="7"/>
  <c r="F913" i="7"/>
  <c r="F960" i="7"/>
  <c r="F950" i="7"/>
  <c r="F964" i="7"/>
  <c r="F751" i="7"/>
  <c r="F846" i="7"/>
  <c r="F845" i="7"/>
  <c r="F819" i="7"/>
  <c r="F796" i="7"/>
  <c r="F809" i="7"/>
  <c r="F658" i="7"/>
  <c r="F988" i="7"/>
  <c r="F755" i="7"/>
  <c r="F886" i="7"/>
  <c r="F856" i="7"/>
  <c r="F955" i="7"/>
  <c r="F759" i="7"/>
  <c r="F885" i="7"/>
  <c r="F982" i="7"/>
  <c r="F790" i="7"/>
  <c r="F704" i="7"/>
  <c r="F772" i="7"/>
  <c r="F865" i="7"/>
  <c r="F939" i="7"/>
  <c r="F817" i="7"/>
  <c r="F787" i="7"/>
  <c r="F994" i="7"/>
  <c r="F722" i="7"/>
  <c r="F675" i="7"/>
  <c r="F690" i="7"/>
  <c r="F986" i="7"/>
  <c r="F663" i="7"/>
  <c r="F668" i="7"/>
  <c r="F866" i="7"/>
  <c r="F768" i="7"/>
  <c r="F849" i="7"/>
  <c r="F940" i="7"/>
  <c r="F873" i="7"/>
  <c r="F822" i="7"/>
  <c r="F935" i="7"/>
  <c r="F937" i="7"/>
  <c r="F709" i="7"/>
  <c r="F875" i="7"/>
  <c r="F734" i="7"/>
  <c r="F671" i="7"/>
  <c r="F820" i="7"/>
  <c r="F972" i="7"/>
  <c r="F740" i="7"/>
  <c r="F902" i="7"/>
  <c r="F758" i="7"/>
  <c r="F990" i="7"/>
  <c r="F748" i="7"/>
  <c r="F801" i="7"/>
  <c r="F919" i="7"/>
  <c r="F785" i="7"/>
  <c r="F860" i="7"/>
  <c r="F861" i="7"/>
  <c r="F818" i="7"/>
  <c r="F957" i="7"/>
  <c r="F760" i="7"/>
  <c r="F974" i="7"/>
  <c r="F784" i="7"/>
  <c r="F792" i="7"/>
  <c r="F752" i="7"/>
  <c r="F767" i="7"/>
  <c r="F878" i="7"/>
  <c r="F812" i="7"/>
  <c r="F880" i="7"/>
  <c r="F827" i="7"/>
  <c r="F756" i="7"/>
  <c r="F800" i="7"/>
  <c r="F938" i="7"/>
  <c r="F677" i="7"/>
  <c r="F847" i="7"/>
  <c r="F773" i="7"/>
  <c r="F931" i="7"/>
  <c r="F702" i="7"/>
  <c r="F791" i="7"/>
  <c r="F666" i="7"/>
  <c r="F969" i="7"/>
  <c r="F911" i="7"/>
  <c r="F932" i="7"/>
  <c r="F706" i="7"/>
  <c r="F936" i="7"/>
  <c r="F963" i="7"/>
  <c r="F889" i="7"/>
  <c r="F980" i="7"/>
  <c r="F732" i="7"/>
  <c r="F723" i="7"/>
  <c r="F688" i="7"/>
  <c r="F838" i="7"/>
  <c r="F681" i="7"/>
  <c r="F805" i="7"/>
  <c r="F907" i="7"/>
  <c r="F949" i="7"/>
  <c r="F835" i="7"/>
  <c r="F804" i="7"/>
  <c r="F727" i="7"/>
  <c r="F814" i="7"/>
  <c r="F810" i="7"/>
  <c r="F887" i="7"/>
  <c r="F829" i="7"/>
  <c r="F989" i="7"/>
  <c r="F797" i="7"/>
  <c r="F917" i="7"/>
  <c r="F881" i="7"/>
  <c r="F701" i="7"/>
  <c r="F945" i="7"/>
  <c r="F815" i="7"/>
  <c r="F783" i="7"/>
  <c r="F857" i="7"/>
  <c r="F906" i="7"/>
  <c r="F660" i="7"/>
  <c r="F747" i="7"/>
  <c r="F821" i="7"/>
  <c r="F730" i="7"/>
  <c r="F771" i="7"/>
  <c r="F921" i="7"/>
  <c r="F824" i="7"/>
  <c r="F718" i="7"/>
  <c r="F912" i="7"/>
  <c r="F780" i="7"/>
  <c r="F682" i="7"/>
  <c r="F789" i="7"/>
  <c r="F951" i="7"/>
  <c r="F716" i="7"/>
  <c r="F918" i="7"/>
  <c r="F691" i="7"/>
  <c r="F922" i="7"/>
  <c r="F879" i="7"/>
  <c r="F970" i="7"/>
  <c r="F985" i="7"/>
  <c r="F956" i="7"/>
  <c r="F700" i="7"/>
  <c r="F743" i="7"/>
  <c r="F923" i="7"/>
  <c r="F893" i="7"/>
  <c r="F903" i="7"/>
  <c r="F941" i="7"/>
  <c r="F770" i="7"/>
  <c r="F717" i="7"/>
  <c r="F826" i="7"/>
  <c r="F944" i="7"/>
  <c r="F729" i="7"/>
  <c r="F998" i="7"/>
  <c r="F890" i="7"/>
  <c r="F794" i="7"/>
  <c r="F828" i="7"/>
  <c r="F731" i="7"/>
  <c r="F811" i="7"/>
  <c r="F853" i="7"/>
  <c r="F910" i="7"/>
  <c r="F836" i="7"/>
  <c r="F850" i="7"/>
  <c r="F739" i="7"/>
  <c r="F710" i="7"/>
  <c r="F686" i="7"/>
  <c r="F712" i="7"/>
  <c r="F839" i="7"/>
  <c r="F744" i="7"/>
  <c r="F697" i="7"/>
  <c r="F976" i="7"/>
  <c r="F848" i="7"/>
  <c r="F961" i="7"/>
  <c r="F948" i="7"/>
  <c r="F721" i="7"/>
  <c r="F696" i="7"/>
  <c r="F694" i="7"/>
  <c r="F843" i="7"/>
  <c r="F746" i="7"/>
  <c r="F749" i="7"/>
  <c r="F996" i="7"/>
  <c r="F661" i="7"/>
  <c r="F987" i="7"/>
  <c r="F871" i="7"/>
  <c r="F914" i="7"/>
  <c r="F927" i="7"/>
  <c r="F778" i="7"/>
  <c r="F993" i="7"/>
  <c r="F687" i="7"/>
  <c r="F894" i="7"/>
  <c r="F981" i="7"/>
  <c r="F991" i="7"/>
  <c r="F977" i="7"/>
  <c r="F840" i="7"/>
  <c r="F842" i="7"/>
  <c r="F782" i="7"/>
  <c r="F725" i="7"/>
  <c r="F741" i="7"/>
  <c r="F895" i="7"/>
  <c r="F736" i="7"/>
  <c r="F920" i="7"/>
  <c r="F888" i="7"/>
  <c r="F678" i="7"/>
  <c r="F862" i="7"/>
  <c r="F859" i="7"/>
  <c r="F831" i="7"/>
  <c r="F958" i="7"/>
  <c r="F707" i="7"/>
  <c r="F693" i="7"/>
  <c r="F916" i="7"/>
  <c r="F883" i="7"/>
  <c r="F670" i="7"/>
  <c r="F774" i="7"/>
  <c r="F933" i="7"/>
  <c r="F799" i="7"/>
  <c r="F954" i="7"/>
  <c r="F715" i="7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E971" i="7"/>
  <c r="E837" i="7"/>
  <c r="E705" i="7"/>
  <c r="E973" i="7"/>
  <c r="E788" i="7"/>
  <c r="E806" i="7"/>
  <c r="E720" i="7"/>
  <c r="E926" i="7"/>
  <c r="E825" i="7"/>
  <c r="E786" i="7"/>
  <c r="E719" i="7"/>
  <c r="E870" i="7"/>
  <c r="E703" i="7"/>
  <c r="E864" i="7"/>
  <c r="E997" i="7"/>
  <c r="E901" i="7"/>
  <c r="E673" i="7"/>
  <c r="E947" i="7"/>
  <c r="E968" i="7"/>
  <c r="E946" i="7"/>
  <c r="E689" i="7"/>
  <c r="E776" i="7"/>
  <c r="E999" i="7"/>
  <c r="E884" i="7"/>
  <c r="E868" i="7"/>
  <c r="E854" i="7"/>
  <c r="E905" i="7"/>
  <c r="E662" i="7"/>
  <c r="E795" i="7"/>
  <c r="E724" i="7"/>
  <c r="E892" i="7"/>
  <c r="E793" i="7"/>
  <c r="E808" i="7"/>
  <c r="E943" i="7"/>
  <c r="E708" i="7"/>
  <c r="E754" i="7"/>
  <c r="E844" i="7"/>
  <c r="E679" i="7"/>
  <c r="E726" i="7"/>
  <c r="E659" i="7"/>
  <c r="E876" i="7"/>
  <c r="E735" i="7"/>
  <c r="E874" i="7"/>
  <c r="E766" i="7"/>
  <c r="E929" i="7"/>
  <c r="E891" i="7"/>
  <c r="E834" i="7"/>
  <c r="E959" i="7"/>
  <c r="E685" i="7"/>
  <c r="E900" i="7"/>
  <c r="E841" i="7"/>
  <c r="E762" i="7"/>
  <c r="E763" i="7"/>
  <c r="E869" i="7"/>
  <c r="E669" i="7"/>
  <c r="E872" i="7"/>
  <c r="E761" i="7"/>
  <c r="E692" i="7"/>
  <c r="E738" i="7"/>
  <c r="E823" i="7"/>
  <c r="E975" i="7"/>
  <c r="E713" i="7"/>
  <c r="E855" i="7"/>
  <c r="E863" i="7"/>
  <c r="E898" i="7"/>
  <c r="E684" i="7"/>
  <c r="E813" i="7"/>
  <c r="E676" i="7"/>
  <c r="E769" i="7"/>
  <c r="E753" i="7"/>
  <c r="E867" i="7"/>
  <c r="E765" i="7"/>
  <c r="E798" i="7"/>
  <c r="E967" i="7"/>
  <c r="E983" i="7"/>
  <c r="E803" i="7"/>
  <c r="E665" i="7"/>
  <c r="E877" i="7"/>
  <c r="E667" i="7"/>
  <c r="E852" i="7"/>
  <c r="E711" i="7"/>
  <c r="E683" i="7"/>
  <c r="E680" i="7"/>
  <c r="E779" i="7"/>
  <c r="E899" i="7"/>
  <c r="E757" i="7"/>
  <c r="E714" i="7"/>
  <c r="E777" i="7"/>
  <c r="E909" i="7"/>
  <c r="E934" i="7"/>
  <c r="E695" i="7"/>
  <c r="E832" i="7"/>
  <c r="E984" i="7"/>
  <c r="E750" i="7"/>
  <c r="E802" i="7"/>
  <c r="E851" i="7"/>
  <c r="E664" i="7"/>
  <c r="E979" i="7"/>
  <c r="E962" i="7"/>
  <c r="E672" i="7"/>
  <c r="E896" i="7"/>
  <c r="E904" i="7"/>
  <c r="E915" i="7"/>
  <c r="E728" i="7"/>
  <c r="E745" i="7"/>
  <c r="E742" i="7"/>
  <c r="E737" i="7"/>
  <c r="E816" i="7"/>
  <c r="E781" i="7"/>
  <c r="E830" i="7"/>
  <c r="E925" i="7"/>
  <c r="E775" i="7"/>
  <c r="E882" i="7"/>
  <c r="E965" i="7"/>
  <c r="E995" i="7"/>
  <c r="E952" i="7"/>
  <c r="E992" i="7"/>
  <c r="E764" i="7"/>
  <c r="E978" i="7"/>
  <c r="E924" i="7"/>
  <c r="E908" i="7"/>
  <c r="E733" i="7"/>
  <c r="E833" i="7"/>
  <c r="E674" i="7"/>
  <c r="E698" i="7"/>
  <c r="E699" i="7"/>
  <c r="E858" i="7"/>
  <c r="E953" i="7"/>
  <c r="E928" i="7"/>
  <c r="E807" i="7"/>
  <c r="E942" i="7"/>
  <c r="E966" i="7"/>
  <c r="E930" i="7"/>
  <c r="E897" i="7"/>
  <c r="E913" i="7"/>
  <c r="E960" i="7"/>
  <c r="E950" i="7"/>
  <c r="E964" i="7"/>
  <c r="E751" i="7"/>
  <c r="E846" i="7"/>
  <c r="E845" i="7"/>
  <c r="E819" i="7"/>
  <c r="E796" i="7"/>
  <c r="E809" i="7"/>
  <c r="E658" i="7"/>
  <c r="E988" i="7"/>
  <c r="E755" i="7"/>
  <c r="E886" i="7"/>
  <c r="E856" i="7"/>
  <c r="E955" i="7"/>
  <c r="E759" i="7"/>
  <c r="E885" i="7"/>
  <c r="E982" i="7"/>
  <c r="E790" i="7"/>
  <c r="E704" i="7"/>
  <c r="E772" i="7"/>
  <c r="E865" i="7"/>
  <c r="E939" i="7"/>
  <c r="E817" i="7"/>
  <c r="E787" i="7"/>
  <c r="E994" i="7"/>
  <c r="E722" i="7"/>
  <c r="E675" i="7"/>
  <c r="E690" i="7"/>
  <c r="E986" i="7"/>
  <c r="E663" i="7"/>
  <c r="E668" i="7"/>
  <c r="E866" i="7"/>
  <c r="E768" i="7"/>
  <c r="E849" i="7"/>
  <c r="E940" i="7"/>
  <c r="E873" i="7"/>
  <c r="E822" i="7"/>
  <c r="E935" i="7"/>
  <c r="E937" i="7"/>
  <c r="E709" i="7"/>
  <c r="E875" i="7"/>
  <c r="E734" i="7"/>
  <c r="E671" i="7"/>
  <c r="E820" i="7"/>
  <c r="E972" i="7"/>
  <c r="E740" i="7"/>
  <c r="E902" i="7"/>
  <c r="E758" i="7"/>
  <c r="E990" i="7"/>
  <c r="E748" i="7"/>
  <c r="E801" i="7"/>
  <c r="E919" i="7"/>
  <c r="E785" i="7"/>
  <c r="E860" i="7"/>
  <c r="E861" i="7"/>
  <c r="E818" i="7"/>
  <c r="E957" i="7"/>
  <c r="E760" i="7"/>
  <c r="E974" i="7"/>
  <c r="E784" i="7"/>
  <c r="E792" i="7"/>
  <c r="E752" i="7"/>
  <c r="E767" i="7"/>
  <c r="E878" i="7"/>
  <c r="E812" i="7"/>
  <c r="E880" i="7"/>
  <c r="E827" i="7"/>
  <c r="E756" i="7"/>
  <c r="E800" i="7"/>
  <c r="E938" i="7"/>
  <c r="E677" i="7"/>
  <c r="E847" i="7"/>
  <c r="E773" i="7"/>
  <c r="E931" i="7"/>
  <c r="E702" i="7"/>
  <c r="E791" i="7"/>
  <c r="E666" i="7"/>
  <c r="E969" i="7"/>
  <c r="E911" i="7"/>
  <c r="E932" i="7"/>
  <c r="E706" i="7"/>
  <c r="E936" i="7"/>
  <c r="E963" i="7"/>
  <c r="E889" i="7"/>
  <c r="E980" i="7"/>
  <c r="E732" i="7"/>
  <c r="E723" i="7"/>
  <c r="E688" i="7"/>
  <c r="E838" i="7"/>
  <c r="E681" i="7"/>
  <c r="E805" i="7"/>
  <c r="E907" i="7"/>
  <c r="E949" i="7"/>
  <c r="E835" i="7"/>
  <c r="E804" i="7"/>
  <c r="E727" i="7"/>
  <c r="E814" i="7"/>
  <c r="E810" i="7"/>
  <c r="E887" i="7"/>
  <c r="E829" i="7"/>
  <c r="E989" i="7"/>
  <c r="E797" i="7"/>
  <c r="E917" i="7"/>
  <c r="E881" i="7"/>
  <c r="E701" i="7"/>
  <c r="E945" i="7"/>
  <c r="E815" i="7"/>
  <c r="E783" i="7"/>
  <c r="E857" i="7"/>
  <c r="E906" i="7"/>
  <c r="E660" i="7"/>
  <c r="E747" i="7"/>
  <c r="E821" i="7"/>
  <c r="E730" i="7"/>
  <c r="E771" i="7"/>
  <c r="E921" i="7"/>
  <c r="E824" i="7"/>
  <c r="E718" i="7"/>
  <c r="E912" i="7"/>
  <c r="E780" i="7"/>
  <c r="E682" i="7"/>
  <c r="E789" i="7"/>
  <c r="E951" i="7"/>
  <c r="E716" i="7"/>
  <c r="E918" i="7"/>
  <c r="E691" i="7"/>
  <c r="E922" i="7"/>
  <c r="E879" i="7"/>
  <c r="E970" i="7"/>
  <c r="E985" i="7"/>
  <c r="E956" i="7"/>
  <c r="E700" i="7"/>
  <c r="E743" i="7"/>
  <c r="E923" i="7"/>
  <c r="E893" i="7"/>
  <c r="E903" i="7"/>
  <c r="E941" i="7"/>
  <c r="E770" i="7"/>
  <c r="E717" i="7"/>
  <c r="E826" i="7"/>
  <c r="E944" i="7"/>
  <c r="E729" i="7"/>
  <c r="E998" i="7"/>
  <c r="E890" i="7"/>
  <c r="E794" i="7"/>
  <c r="E828" i="7"/>
  <c r="E731" i="7"/>
  <c r="E811" i="7"/>
  <c r="E853" i="7"/>
  <c r="E910" i="7"/>
  <c r="E836" i="7"/>
  <c r="E850" i="7"/>
  <c r="E739" i="7"/>
  <c r="E710" i="7"/>
  <c r="E686" i="7"/>
  <c r="E712" i="7"/>
  <c r="E839" i="7"/>
  <c r="E744" i="7"/>
  <c r="E697" i="7"/>
  <c r="E976" i="7"/>
  <c r="E848" i="7"/>
  <c r="E961" i="7"/>
  <c r="E948" i="7"/>
  <c r="E721" i="7"/>
  <c r="E696" i="7"/>
  <c r="E694" i="7"/>
  <c r="E843" i="7"/>
  <c r="E746" i="7"/>
  <c r="E749" i="7"/>
  <c r="E996" i="7"/>
  <c r="E661" i="7"/>
  <c r="E987" i="7"/>
  <c r="E871" i="7"/>
  <c r="E914" i="7"/>
  <c r="E927" i="7"/>
  <c r="E778" i="7"/>
  <c r="E993" i="7"/>
  <c r="E687" i="7"/>
  <c r="E894" i="7"/>
  <c r="E981" i="7"/>
  <c r="E991" i="7"/>
  <c r="E977" i="7"/>
  <c r="E840" i="7"/>
  <c r="E842" i="7"/>
  <c r="E782" i="7"/>
  <c r="E725" i="7"/>
  <c r="E741" i="7"/>
  <c r="E895" i="7"/>
  <c r="E736" i="7"/>
  <c r="E920" i="7"/>
  <c r="E888" i="7"/>
  <c r="E678" i="7"/>
  <c r="E862" i="7"/>
  <c r="E859" i="7"/>
  <c r="E831" i="7"/>
  <c r="E958" i="7"/>
  <c r="E707" i="7"/>
  <c r="E693" i="7"/>
  <c r="E916" i="7"/>
  <c r="E883" i="7"/>
  <c r="E670" i="7"/>
  <c r="E774" i="7"/>
  <c r="E933" i="7"/>
  <c r="E799" i="7"/>
  <c r="E954" i="7"/>
  <c r="E715" i="7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D971" i="7"/>
  <c r="D837" i="7"/>
  <c r="D705" i="7"/>
  <c r="D973" i="7"/>
  <c r="D788" i="7"/>
  <c r="D806" i="7"/>
  <c r="D720" i="7"/>
  <c r="D926" i="7"/>
  <c r="D825" i="7"/>
  <c r="D786" i="7"/>
  <c r="D719" i="7"/>
  <c r="D870" i="7"/>
  <c r="D703" i="7"/>
  <c r="D864" i="7"/>
  <c r="D997" i="7"/>
  <c r="D901" i="7"/>
  <c r="D673" i="7"/>
  <c r="D947" i="7"/>
  <c r="D968" i="7"/>
  <c r="D946" i="7"/>
  <c r="D689" i="7"/>
  <c r="D776" i="7"/>
  <c r="D999" i="7"/>
  <c r="D884" i="7"/>
  <c r="D868" i="7"/>
  <c r="D854" i="7"/>
  <c r="D905" i="7"/>
  <c r="D662" i="7"/>
  <c r="D795" i="7"/>
  <c r="D724" i="7"/>
  <c r="D892" i="7"/>
  <c r="D793" i="7"/>
  <c r="D808" i="7"/>
  <c r="D943" i="7"/>
  <c r="D708" i="7"/>
  <c r="D754" i="7"/>
  <c r="D844" i="7"/>
  <c r="D679" i="7"/>
  <c r="D726" i="7"/>
  <c r="D659" i="7"/>
  <c r="D876" i="7"/>
  <c r="D735" i="7"/>
  <c r="D874" i="7"/>
  <c r="D766" i="7"/>
  <c r="D929" i="7"/>
  <c r="D891" i="7"/>
  <c r="D834" i="7"/>
  <c r="D959" i="7"/>
  <c r="D685" i="7"/>
  <c r="D900" i="7"/>
  <c r="D841" i="7"/>
  <c r="D762" i="7"/>
  <c r="D763" i="7"/>
  <c r="D869" i="7"/>
  <c r="D669" i="7"/>
  <c r="D872" i="7"/>
  <c r="D761" i="7"/>
  <c r="D692" i="7"/>
  <c r="D738" i="7"/>
  <c r="D823" i="7"/>
  <c r="D975" i="7"/>
  <c r="D713" i="7"/>
  <c r="D855" i="7"/>
  <c r="D863" i="7"/>
  <c r="D898" i="7"/>
  <c r="D684" i="7"/>
  <c r="D813" i="7"/>
  <c r="D676" i="7"/>
  <c r="D769" i="7"/>
  <c r="D753" i="7"/>
  <c r="D867" i="7"/>
  <c r="D765" i="7"/>
  <c r="D798" i="7"/>
  <c r="D967" i="7"/>
  <c r="D983" i="7"/>
  <c r="D803" i="7"/>
  <c r="D665" i="7"/>
  <c r="D877" i="7"/>
  <c r="D667" i="7"/>
  <c r="D852" i="7"/>
  <c r="D711" i="7"/>
  <c r="D683" i="7"/>
  <c r="D680" i="7"/>
  <c r="D779" i="7"/>
  <c r="D899" i="7"/>
  <c r="D757" i="7"/>
  <c r="D714" i="7"/>
  <c r="D777" i="7"/>
  <c r="D909" i="7"/>
  <c r="D934" i="7"/>
  <c r="D695" i="7"/>
  <c r="D832" i="7"/>
  <c r="D984" i="7"/>
  <c r="D750" i="7"/>
  <c r="D802" i="7"/>
  <c r="D851" i="7"/>
  <c r="D664" i="7"/>
  <c r="D979" i="7"/>
  <c r="D962" i="7"/>
  <c r="D672" i="7"/>
  <c r="D896" i="7"/>
  <c r="D904" i="7"/>
  <c r="D915" i="7"/>
  <c r="D728" i="7"/>
  <c r="D745" i="7"/>
  <c r="D742" i="7"/>
  <c r="D737" i="7"/>
  <c r="D816" i="7"/>
  <c r="D781" i="7"/>
  <c r="D830" i="7"/>
  <c r="D925" i="7"/>
  <c r="D775" i="7"/>
  <c r="D882" i="7"/>
  <c r="D965" i="7"/>
  <c r="D995" i="7"/>
  <c r="D952" i="7"/>
  <c r="D992" i="7"/>
  <c r="D764" i="7"/>
  <c r="D978" i="7"/>
  <c r="D924" i="7"/>
  <c r="D908" i="7"/>
  <c r="D733" i="7"/>
  <c r="D833" i="7"/>
  <c r="D674" i="7"/>
  <c r="D698" i="7"/>
  <c r="D699" i="7"/>
  <c r="D858" i="7"/>
  <c r="D953" i="7"/>
  <c r="D928" i="7"/>
  <c r="D807" i="7"/>
  <c r="D942" i="7"/>
  <c r="D966" i="7"/>
  <c r="D930" i="7"/>
  <c r="D897" i="7"/>
  <c r="D913" i="7"/>
  <c r="D960" i="7"/>
  <c r="D950" i="7"/>
  <c r="D964" i="7"/>
  <c r="D751" i="7"/>
  <c r="D846" i="7"/>
  <c r="D845" i="7"/>
  <c r="D819" i="7"/>
  <c r="D796" i="7"/>
  <c r="D809" i="7"/>
  <c r="D658" i="7"/>
  <c r="D988" i="7"/>
  <c r="D755" i="7"/>
  <c r="D886" i="7"/>
  <c r="D856" i="7"/>
  <c r="D955" i="7"/>
  <c r="D759" i="7"/>
  <c r="D885" i="7"/>
  <c r="D982" i="7"/>
  <c r="D790" i="7"/>
  <c r="D704" i="7"/>
  <c r="D772" i="7"/>
  <c r="D865" i="7"/>
  <c r="D939" i="7"/>
  <c r="D817" i="7"/>
  <c r="D787" i="7"/>
  <c r="D994" i="7"/>
  <c r="D722" i="7"/>
  <c r="D675" i="7"/>
  <c r="D690" i="7"/>
  <c r="D986" i="7"/>
  <c r="D663" i="7"/>
  <c r="D668" i="7"/>
  <c r="D866" i="7"/>
  <c r="D768" i="7"/>
  <c r="D849" i="7"/>
  <c r="D940" i="7"/>
  <c r="D873" i="7"/>
  <c r="D822" i="7"/>
  <c r="D935" i="7"/>
  <c r="D937" i="7"/>
  <c r="D709" i="7"/>
  <c r="D875" i="7"/>
  <c r="D734" i="7"/>
  <c r="D671" i="7"/>
  <c r="D820" i="7"/>
  <c r="D972" i="7"/>
  <c r="D740" i="7"/>
  <c r="D902" i="7"/>
  <c r="D758" i="7"/>
  <c r="D990" i="7"/>
  <c r="D748" i="7"/>
  <c r="D801" i="7"/>
  <c r="D919" i="7"/>
  <c r="D785" i="7"/>
  <c r="D860" i="7"/>
  <c r="D861" i="7"/>
  <c r="D818" i="7"/>
  <c r="D957" i="7"/>
  <c r="D760" i="7"/>
  <c r="D974" i="7"/>
  <c r="D784" i="7"/>
  <c r="D792" i="7"/>
  <c r="D752" i="7"/>
  <c r="D767" i="7"/>
  <c r="D878" i="7"/>
  <c r="D812" i="7"/>
  <c r="D880" i="7"/>
  <c r="D827" i="7"/>
  <c r="D756" i="7"/>
  <c r="D800" i="7"/>
  <c r="D938" i="7"/>
  <c r="D677" i="7"/>
  <c r="D847" i="7"/>
  <c r="D773" i="7"/>
  <c r="D931" i="7"/>
  <c r="D702" i="7"/>
  <c r="D791" i="7"/>
  <c r="D666" i="7"/>
  <c r="D969" i="7"/>
  <c r="D911" i="7"/>
  <c r="D932" i="7"/>
  <c r="D706" i="7"/>
  <c r="D936" i="7"/>
  <c r="D963" i="7"/>
  <c r="D889" i="7"/>
  <c r="D980" i="7"/>
  <c r="D732" i="7"/>
  <c r="D723" i="7"/>
  <c r="D688" i="7"/>
  <c r="D838" i="7"/>
  <c r="D681" i="7"/>
  <c r="D805" i="7"/>
  <c r="D907" i="7"/>
  <c r="D949" i="7"/>
  <c r="D835" i="7"/>
  <c r="D804" i="7"/>
  <c r="D727" i="7"/>
  <c r="D814" i="7"/>
  <c r="D810" i="7"/>
  <c r="D887" i="7"/>
  <c r="D829" i="7"/>
  <c r="D989" i="7"/>
  <c r="D797" i="7"/>
  <c r="D917" i="7"/>
  <c r="D881" i="7"/>
  <c r="D701" i="7"/>
  <c r="D945" i="7"/>
  <c r="D815" i="7"/>
  <c r="D783" i="7"/>
  <c r="D857" i="7"/>
  <c r="D906" i="7"/>
  <c r="D660" i="7"/>
  <c r="D747" i="7"/>
  <c r="D821" i="7"/>
  <c r="D730" i="7"/>
  <c r="D771" i="7"/>
  <c r="D921" i="7"/>
  <c r="D824" i="7"/>
  <c r="D718" i="7"/>
  <c r="D912" i="7"/>
  <c r="D780" i="7"/>
  <c r="D682" i="7"/>
  <c r="D789" i="7"/>
  <c r="D951" i="7"/>
  <c r="D716" i="7"/>
  <c r="D918" i="7"/>
  <c r="D691" i="7"/>
  <c r="D922" i="7"/>
  <c r="D879" i="7"/>
  <c r="D970" i="7"/>
  <c r="D985" i="7"/>
  <c r="D956" i="7"/>
  <c r="D700" i="7"/>
  <c r="D743" i="7"/>
  <c r="D923" i="7"/>
  <c r="D893" i="7"/>
  <c r="D903" i="7"/>
  <c r="D941" i="7"/>
  <c r="D770" i="7"/>
  <c r="D717" i="7"/>
  <c r="D826" i="7"/>
  <c r="D944" i="7"/>
  <c r="D729" i="7"/>
  <c r="D998" i="7"/>
  <c r="D890" i="7"/>
  <c r="D794" i="7"/>
  <c r="D828" i="7"/>
  <c r="D731" i="7"/>
  <c r="D811" i="7"/>
  <c r="D853" i="7"/>
  <c r="D910" i="7"/>
  <c r="D836" i="7"/>
  <c r="D850" i="7"/>
  <c r="D739" i="7"/>
  <c r="D710" i="7"/>
  <c r="D686" i="7"/>
  <c r="D712" i="7"/>
  <c r="D839" i="7"/>
  <c r="D744" i="7"/>
  <c r="D697" i="7"/>
  <c r="D976" i="7"/>
  <c r="D848" i="7"/>
  <c r="D961" i="7"/>
  <c r="D948" i="7"/>
  <c r="D721" i="7"/>
  <c r="D696" i="7"/>
  <c r="D694" i="7"/>
  <c r="D843" i="7"/>
  <c r="D746" i="7"/>
  <c r="D749" i="7"/>
  <c r="D996" i="7"/>
  <c r="D661" i="7"/>
  <c r="D987" i="7"/>
  <c r="D871" i="7"/>
  <c r="D914" i="7"/>
  <c r="D927" i="7"/>
  <c r="D778" i="7"/>
  <c r="D993" i="7"/>
  <c r="D687" i="7"/>
  <c r="D894" i="7"/>
  <c r="D981" i="7"/>
  <c r="D991" i="7"/>
  <c r="D977" i="7"/>
  <c r="D840" i="7"/>
  <c r="D842" i="7"/>
  <c r="D782" i="7"/>
  <c r="D725" i="7"/>
  <c r="D741" i="7"/>
  <c r="D895" i="7"/>
  <c r="D736" i="7"/>
  <c r="D920" i="7"/>
  <c r="D888" i="7"/>
  <c r="D678" i="7"/>
  <c r="D862" i="7"/>
  <c r="D859" i="7"/>
  <c r="D831" i="7"/>
  <c r="D958" i="7"/>
  <c r="D707" i="7"/>
  <c r="D693" i="7"/>
  <c r="D916" i="7"/>
  <c r="D883" i="7"/>
  <c r="D670" i="7"/>
  <c r="D774" i="7"/>
  <c r="D933" i="7"/>
  <c r="D799" i="7"/>
  <c r="D954" i="7"/>
  <c r="D715" i="7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C971" i="7"/>
  <c r="C837" i="7"/>
  <c r="C705" i="7"/>
  <c r="C973" i="7"/>
  <c r="C788" i="7"/>
  <c r="C806" i="7"/>
  <c r="C720" i="7"/>
  <c r="C926" i="7"/>
  <c r="C825" i="7"/>
  <c r="C786" i="7"/>
  <c r="C719" i="7"/>
  <c r="C870" i="7"/>
  <c r="C703" i="7"/>
  <c r="C864" i="7"/>
  <c r="C997" i="7"/>
  <c r="C901" i="7"/>
  <c r="C673" i="7"/>
  <c r="C947" i="7"/>
  <c r="C968" i="7"/>
  <c r="C946" i="7"/>
  <c r="C689" i="7"/>
  <c r="C776" i="7"/>
  <c r="C999" i="7"/>
  <c r="C884" i="7"/>
  <c r="C868" i="7"/>
  <c r="C854" i="7"/>
  <c r="C905" i="7"/>
  <c r="C662" i="7"/>
  <c r="C795" i="7"/>
  <c r="C724" i="7"/>
  <c r="C892" i="7"/>
  <c r="C793" i="7"/>
  <c r="C808" i="7"/>
  <c r="C943" i="7"/>
  <c r="C708" i="7"/>
  <c r="C754" i="7"/>
  <c r="C844" i="7"/>
  <c r="C679" i="7"/>
  <c r="C726" i="7"/>
  <c r="C659" i="7"/>
  <c r="C876" i="7"/>
  <c r="C735" i="7"/>
  <c r="C874" i="7"/>
  <c r="C766" i="7"/>
  <c r="C929" i="7"/>
  <c r="C891" i="7"/>
  <c r="C834" i="7"/>
  <c r="C959" i="7"/>
  <c r="C685" i="7"/>
  <c r="C900" i="7"/>
  <c r="C841" i="7"/>
  <c r="C762" i="7"/>
  <c r="C763" i="7"/>
  <c r="C869" i="7"/>
  <c r="C669" i="7"/>
  <c r="C872" i="7"/>
  <c r="C761" i="7"/>
  <c r="C692" i="7"/>
  <c r="C738" i="7"/>
  <c r="C823" i="7"/>
  <c r="C975" i="7"/>
  <c r="C713" i="7"/>
  <c r="C855" i="7"/>
  <c r="C863" i="7"/>
  <c r="C898" i="7"/>
  <c r="C684" i="7"/>
  <c r="C813" i="7"/>
  <c r="C676" i="7"/>
  <c r="C769" i="7"/>
  <c r="C753" i="7"/>
  <c r="C867" i="7"/>
  <c r="C765" i="7"/>
  <c r="C798" i="7"/>
  <c r="C967" i="7"/>
  <c r="C983" i="7"/>
  <c r="C803" i="7"/>
  <c r="C665" i="7"/>
  <c r="C877" i="7"/>
  <c r="C667" i="7"/>
  <c r="C852" i="7"/>
  <c r="C711" i="7"/>
  <c r="C683" i="7"/>
  <c r="C680" i="7"/>
  <c r="C779" i="7"/>
  <c r="C899" i="7"/>
  <c r="C757" i="7"/>
  <c r="C714" i="7"/>
  <c r="C777" i="7"/>
  <c r="C909" i="7"/>
  <c r="C934" i="7"/>
  <c r="C695" i="7"/>
  <c r="C832" i="7"/>
  <c r="C984" i="7"/>
  <c r="C750" i="7"/>
  <c r="C802" i="7"/>
  <c r="C851" i="7"/>
  <c r="C664" i="7"/>
  <c r="C979" i="7"/>
  <c r="C962" i="7"/>
  <c r="C672" i="7"/>
  <c r="C896" i="7"/>
  <c r="C904" i="7"/>
  <c r="C915" i="7"/>
  <c r="C728" i="7"/>
  <c r="C745" i="7"/>
  <c r="C742" i="7"/>
  <c r="C737" i="7"/>
  <c r="C816" i="7"/>
  <c r="C781" i="7"/>
  <c r="C830" i="7"/>
  <c r="C925" i="7"/>
  <c r="C775" i="7"/>
  <c r="C882" i="7"/>
  <c r="C965" i="7"/>
  <c r="C995" i="7"/>
  <c r="C952" i="7"/>
  <c r="C992" i="7"/>
  <c r="C764" i="7"/>
  <c r="C978" i="7"/>
  <c r="C924" i="7"/>
  <c r="C908" i="7"/>
  <c r="C733" i="7"/>
  <c r="C833" i="7"/>
  <c r="C674" i="7"/>
  <c r="C698" i="7"/>
  <c r="C699" i="7"/>
  <c r="C858" i="7"/>
  <c r="C953" i="7"/>
  <c r="C928" i="7"/>
  <c r="C807" i="7"/>
  <c r="C942" i="7"/>
  <c r="C966" i="7"/>
  <c r="C930" i="7"/>
  <c r="C897" i="7"/>
  <c r="C913" i="7"/>
  <c r="C960" i="7"/>
  <c r="C950" i="7"/>
  <c r="C964" i="7"/>
  <c r="C751" i="7"/>
  <c r="C846" i="7"/>
  <c r="C845" i="7"/>
  <c r="C819" i="7"/>
  <c r="C796" i="7"/>
  <c r="C809" i="7"/>
  <c r="C658" i="7"/>
  <c r="C988" i="7"/>
  <c r="C755" i="7"/>
  <c r="C886" i="7"/>
  <c r="C856" i="7"/>
  <c r="C955" i="7"/>
  <c r="C759" i="7"/>
  <c r="C885" i="7"/>
  <c r="C982" i="7"/>
  <c r="C790" i="7"/>
  <c r="C704" i="7"/>
  <c r="C772" i="7"/>
  <c r="C865" i="7"/>
  <c r="C939" i="7"/>
  <c r="C817" i="7"/>
  <c r="C787" i="7"/>
  <c r="C994" i="7"/>
  <c r="C722" i="7"/>
  <c r="C675" i="7"/>
  <c r="C690" i="7"/>
  <c r="C986" i="7"/>
  <c r="C663" i="7"/>
  <c r="C668" i="7"/>
  <c r="C866" i="7"/>
  <c r="C768" i="7"/>
  <c r="C849" i="7"/>
  <c r="C940" i="7"/>
  <c r="C873" i="7"/>
  <c r="C822" i="7"/>
  <c r="C935" i="7"/>
  <c r="C937" i="7"/>
  <c r="C709" i="7"/>
  <c r="C875" i="7"/>
  <c r="C734" i="7"/>
  <c r="C671" i="7"/>
  <c r="C820" i="7"/>
  <c r="C972" i="7"/>
  <c r="C740" i="7"/>
  <c r="C902" i="7"/>
  <c r="C758" i="7"/>
  <c r="C990" i="7"/>
  <c r="C748" i="7"/>
  <c r="C801" i="7"/>
  <c r="C919" i="7"/>
  <c r="C785" i="7"/>
  <c r="C860" i="7"/>
  <c r="C861" i="7"/>
  <c r="C818" i="7"/>
  <c r="C957" i="7"/>
  <c r="C760" i="7"/>
  <c r="C974" i="7"/>
  <c r="C784" i="7"/>
  <c r="C792" i="7"/>
  <c r="C752" i="7"/>
  <c r="C767" i="7"/>
  <c r="C878" i="7"/>
  <c r="C812" i="7"/>
  <c r="C880" i="7"/>
  <c r="C827" i="7"/>
  <c r="C756" i="7"/>
  <c r="C800" i="7"/>
  <c r="C938" i="7"/>
  <c r="C677" i="7"/>
  <c r="C847" i="7"/>
  <c r="C773" i="7"/>
  <c r="C931" i="7"/>
  <c r="C702" i="7"/>
  <c r="C791" i="7"/>
  <c r="C666" i="7"/>
  <c r="C969" i="7"/>
  <c r="C911" i="7"/>
  <c r="C932" i="7"/>
  <c r="C706" i="7"/>
  <c r="C936" i="7"/>
  <c r="C963" i="7"/>
  <c r="C889" i="7"/>
  <c r="C980" i="7"/>
  <c r="C732" i="7"/>
  <c r="C723" i="7"/>
  <c r="C688" i="7"/>
  <c r="C838" i="7"/>
  <c r="C681" i="7"/>
  <c r="C805" i="7"/>
  <c r="C907" i="7"/>
  <c r="C949" i="7"/>
  <c r="C835" i="7"/>
  <c r="C804" i="7"/>
  <c r="C727" i="7"/>
  <c r="C814" i="7"/>
  <c r="C810" i="7"/>
  <c r="C887" i="7"/>
  <c r="C829" i="7"/>
  <c r="C989" i="7"/>
  <c r="C797" i="7"/>
  <c r="C917" i="7"/>
  <c r="C881" i="7"/>
  <c r="C701" i="7"/>
  <c r="C945" i="7"/>
  <c r="C815" i="7"/>
  <c r="C783" i="7"/>
  <c r="C857" i="7"/>
  <c r="C906" i="7"/>
  <c r="C660" i="7"/>
  <c r="C747" i="7"/>
  <c r="C821" i="7"/>
  <c r="C730" i="7"/>
  <c r="C771" i="7"/>
  <c r="C921" i="7"/>
  <c r="C824" i="7"/>
  <c r="C718" i="7"/>
  <c r="C912" i="7"/>
  <c r="C780" i="7"/>
  <c r="C682" i="7"/>
  <c r="C789" i="7"/>
  <c r="C951" i="7"/>
  <c r="C716" i="7"/>
  <c r="C918" i="7"/>
  <c r="C691" i="7"/>
  <c r="C922" i="7"/>
  <c r="C879" i="7"/>
  <c r="C970" i="7"/>
  <c r="C985" i="7"/>
  <c r="C956" i="7"/>
  <c r="C700" i="7"/>
  <c r="C743" i="7"/>
  <c r="C923" i="7"/>
  <c r="C893" i="7"/>
  <c r="C903" i="7"/>
  <c r="C941" i="7"/>
  <c r="C770" i="7"/>
  <c r="C717" i="7"/>
  <c r="C826" i="7"/>
  <c r="C944" i="7"/>
  <c r="C729" i="7"/>
  <c r="C998" i="7"/>
  <c r="C890" i="7"/>
  <c r="C794" i="7"/>
  <c r="C828" i="7"/>
  <c r="C731" i="7"/>
  <c r="C811" i="7"/>
  <c r="C853" i="7"/>
  <c r="C910" i="7"/>
  <c r="C836" i="7"/>
  <c r="C850" i="7"/>
  <c r="C739" i="7"/>
  <c r="C710" i="7"/>
  <c r="C686" i="7"/>
  <c r="C712" i="7"/>
  <c r="C839" i="7"/>
  <c r="C744" i="7"/>
  <c r="C697" i="7"/>
  <c r="C976" i="7"/>
  <c r="C848" i="7"/>
  <c r="C961" i="7"/>
  <c r="C948" i="7"/>
  <c r="C721" i="7"/>
  <c r="C696" i="7"/>
  <c r="C694" i="7"/>
  <c r="C843" i="7"/>
  <c r="C746" i="7"/>
  <c r="C749" i="7"/>
  <c r="C996" i="7"/>
  <c r="C661" i="7"/>
  <c r="C987" i="7"/>
  <c r="C871" i="7"/>
  <c r="C914" i="7"/>
  <c r="C927" i="7"/>
  <c r="C778" i="7"/>
  <c r="C993" i="7"/>
  <c r="C687" i="7"/>
  <c r="C894" i="7"/>
  <c r="C981" i="7"/>
  <c r="C991" i="7"/>
  <c r="C977" i="7"/>
  <c r="C840" i="7"/>
  <c r="C842" i="7"/>
  <c r="C782" i="7"/>
  <c r="C725" i="7"/>
  <c r="C741" i="7"/>
  <c r="C895" i="7"/>
  <c r="C736" i="7"/>
  <c r="C920" i="7"/>
  <c r="C888" i="7"/>
  <c r="C678" i="7"/>
  <c r="C862" i="7"/>
  <c r="C859" i="7"/>
  <c r="C831" i="7"/>
  <c r="C958" i="7"/>
  <c r="C707" i="7"/>
  <c r="C693" i="7"/>
  <c r="C916" i="7"/>
  <c r="C883" i="7"/>
  <c r="C670" i="7"/>
  <c r="C774" i="7"/>
  <c r="C933" i="7"/>
  <c r="C799" i="7"/>
  <c r="C954" i="7"/>
  <c r="C715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B971" i="7"/>
  <c r="B837" i="7"/>
  <c r="B705" i="7"/>
  <c r="B973" i="7"/>
  <c r="B788" i="7"/>
  <c r="B806" i="7"/>
  <c r="B720" i="7"/>
  <c r="B926" i="7"/>
  <c r="B825" i="7"/>
  <c r="B786" i="7"/>
  <c r="B719" i="7"/>
  <c r="B870" i="7"/>
  <c r="B703" i="7"/>
  <c r="B864" i="7"/>
  <c r="B997" i="7"/>
  <c r="B901" i="7"/>
  <c r="B673" i="7"/>
  <c r="B947" i="7"/>
  <c r="B968" i="7"/>
  <c r="B946" i="7"/>
  <c r="B689" i="7"/>
  <c r="B776" i="7"/>
  <c r="B999" i="7"/>
  <c r="B884" i="7"/>
  <c r="B868" i="7"/>
  <c r="B854" i="7"/>
  <c r="B905" i="7"/>
  <c r="B662" i="7"/>
  <c r="B795" i="7"/>
  <c r="B724" i="7"/>
  <c r="B892" i="7"/>
  <c r="B793" i="7"/>
  <c r="B808" i="7"/>
  <c r="B943" i="7"/>
  <c r="B708" i="7"/>
  <c r="B754" i="7"/>
  <c r="B844" i="7"/>
  <c r="B679" i="7"/>
  <c r="B726" i="7"/>
  <c r="B659" i="7"/>
  <c r="B876" i="7"/>
  <c r="B735" i="7"/>
  <c r="B874" i="7"/>
  <c r="B766" i="7"/>
  <c r="B929" i="7"/>
  <c r="B891" i="7"/>
  <c r="B834" i="7"/>
  <c r="B959" i="7"/>
  <c r="B685" i="7"/>
  <c r="B900" i="7"/>
  <c r="B841" i="7"/>
  <c r="B762" i="7"/>
  <c r="B763" i="7"/>
  <c r="B869" i="7"/>
  <c r="B669" i="7"/>
  <c r="B872" i="7"/>
  <c r="B761" i="7"/>
  <c r="B692" i="7"/>
  <c r="B738" i="7"/>
  <c r="B823" i="7"/>
  <c r="B975" i="7"/>
  <c r="B713" i="7"/>
  <c r="B855" i="7"/>
  <c r="B863" i="7"/>
  <c r="B898" i="7"/>
  <c r="B684" i="7"/>
  <c r="B813" i="7"/>
  <c r="B676" i="7"/>
  <c r="B769" i="7"/>
  <c r="B753" i="7"/>
  <c r="B867" i="7"/>
  <c r="B765" i="7"/>
  <c r="B798" i="7"/>
  <c r="B967" i="7"/>
  <c r="B983" i="7"/>
  <c r="B803" i="7"/>
  <c r="B665" i="7"/>
  <c r="B877" i="7"/>
  <c r="B667" i="7"/>
  <c r="B852" i="7"/>
  <c r="B711" i="7"/>
  <c r="B683" i="7"/>
  <c r="B680" i="7"/>
  <c r="B779" i="7"/>
  <c r="B899" i="7"/>
  <c r="B757" i="7"/>
  <c r="B714" i="7"/>
  <c r="B777" i="7"/>
  <c r="B909" i="7"/>
  <c r="B934" i="7"/>
  <c r="B695" i="7"/>
  <c r="B832" i="7"/>
  <c r="B984" i="7"/>
  <c r="B750" i="7"/>
  <c r="B802" i="7"/>
  <c r="B851" i="7"/>
  <c r="B664" i="7"/>
  <c r="B979" i="7"/>
  <c r="B962" i="7"/>
  <c r="B672" i="7"/>
  <c r="B896" i="7"/>
  <c r="B904" i="7"/>
  <c r="B915" i="7"/>
  <c r="B728" i="7"/>
  <c r="B745" i="7"/>
  <c r="B742" i="7"/>
  <c r="B737" i="7"/>
  <c r="B816" i="7"/>
  <c r="B781" i="7"/>
  <c r="B830" i="7"/>
  <c r="B925" i="7"/>
  <c r="B775" i="7"/>
  <c r="B882" i="7"/>
  <c r="B965" i="7"/>
  <c r="B995" i="7"/>
  <c r="B952" i="7"/>
  <c r="B992" i="7"/>
  <c r="B764" i="7"/>
  <c r="B978" i="7"/>
  <c r="B924" i="7"/>
  <c r="B908" i="7"/>
  <c r="B733" i="7"/>
  <c r="B833" i="7"/>
  <c r="B674" i="7"/>
  <c r="B698" i="7"/>
  <c r="B699" i="7"/>
  <c r="B858" i="7"/>
  <c r="B953" i="7"/>
  <c r="B928" i="7"/>
  <c r="B807" i="7"/>
  <c r="B942" i="7"/>
  <c r="B966" i="7"/>
  <c r="B930" i="7"/>
  <c r="B897" i="7"/>
  <c r="B913" i="7"/>
  <c r="B960" i="7"/>
  <c r="B950" i="7"/>
  <c r="B964" i="7"/>
  <c r="B751" i="7"/>
  <c r="B846" i="7"/>
  <c r="B845" i="7"/>
  <c r="B819" i="7"/>
  <c r="B796" i="7"/>
  <c r="B809" i="7"/>
  <c r="B658" i="7"/>
  <c r="B988" i="7"/>
  <c r="B755" i="7"/>
  <c r="B886" i="7"/>
  <c r="B856" i="7"/>
  <c r="B955" i="7"/>
  <c r="B759" i="7"/>
  <c r="B885" i="7"/>
  <c r="B982" i="7"/>
  <c r="B790" i="7"/>
  <c r="B704" i="7"/>
  <c r="B772" i="7"/>
  <c r="B865" i="7"/>
  <c r="B939" i="7"/>
  <c r="B817" i="7"/>
  <c r="B787" i="7"/>
  <c r="B994" i="7"/>
  <c r="B722" i="7"/>
  <c r="B675" i="7"/>
  <c r="B690" i="7"/>
  <c r="B986" i="7"/>
  <c r="B663" i="7"/>
  <c r="B668" i="7"/>
  <c r="B866" i="7"/>
  <c r="B768" i="7"/>
  <c r="B849" i="7"/>
  <c r="B940" i="7"/>
  <c r="B873" i="7"/>
  <c r="B822" i="7"/>
  <c r="B935" i="7"/>
  <c r="B937" i="7"/>
  <c r="B709" i="7"/>
  <c r="B875" i="7"/>
  <c r="B734" i="7"/>
  <c r="B671" i="7"/>
  <c r="B820" i="7"/>
  <c r="B972" i="7"/>
  <c r="B740" i="7"/>
  <c r="B902" i="7"/>
  <c r="B758" i="7"/>
  <c r="B990" i="7"/>
  <c r="B748" i="7"/>
  <c r="B801" i="7"/>
  <c r="B919" i="7"/>
  <c r="B785" i="7"/>
  <c r="B860" i="7"/>
  <c r="B861" i="7"/>
  <c r="B818" i="7"/>
  <c r="B957" i="7"/>
  <c r="B760" i="7"/>
  <c r="B974" i="7"/>
  <c r="B784" i="7"/>
  <c r="B792" i="7"/>
  <c r="B752" i="7"/>
  <c r="B767" i="7"/>
  <c r="B878" i="7"/>
  <c r="B812" i="7"/>
  <c r="B880" i="7"/>
  <c r="B827" i="7"/>
  <c r="B756" i="7"/>
  <c r="B800" i="7"/>
  <c r="B938" i="7"/>
  <c r="B677" i="7"/>
  <c r="B847" i="7"/>
  <c r="B773" i="7"/>
  <c r="B931" i="7"/>
  <c r="B702" i="7"/>
  <c r="B791" i="7"/>
  <c r="B666" i="7"/>
  <c r="B969" i="7"/>
  <c r="B911" i="7"/>
  <c r="B932" i="7"/>
  <c r="B706" i="7"/>
  <c r="B936" i="7"/>
  <c r="B963" i="7"/>
  <c r="B889" i="7"/>
  <c r="B980" i="7"/>
  <c r="B732" i="7"/>
  <c r="B723" i="7"/>
  <c r="B688" i="7"/>
  <c r="B838" i="7"/>
  <c r="B681" i="7"/>
  <c r="B805" i="7"/>
  <c r="B907" i="7"/>
  <c r="B949" i="7"/>
  <c r="B835" i="7"/>
  <c r="B804" i="7"/>
  <c r="B727" i="7"/>
  <c r="B814" i="7"/>
  <c r="B810" i="7"/>
  <c r="B887" i="7"/>
  <c r="B829" i="7"/>
  <c r="B989" i="7"/>
  <c r="B797" i="7"/>
  <c r="B917" i="7"/>
  <c r="B881" i="7"/>
  <c r="B701" i="7"/>
  <c r="B945" i="7"/>
  <c r="B815" i="7"/>
  <c r="B783" i="7"/>
  <c r="B857" i="7"/>
  <c r="B906" i="7"/>
  <c r="B660" i="7"/>
  <c r="B747" i="7"/>
  <c r="B821" i="7"/>
  <c r="B730" i="7"/>
  <c r="B771" i="7"/>
  <c r="B921" i="7"/>
  <c r="B824" i="7"/>
  <c r="B718" i="7"/>
  <c r="B912" i="7"/>
  <c r="B780" i="7"/>
  <c r="B682" i="7"/>
  <c r="B789" i="7"/>
  <c r="B951" i="7"/>
  <c r="B716" i="7"/>
  <c r="B918" i="7"/>
  <c r="B691" i="7"/>
  <c r="B922" i="7"/>
  <c r="B879" i="7"/>
  <c r="B970" i="7"/>
  <c r="B985" i="7"/>
  <c r="B956" i="7"/>
  <c r="B700" i="7"/>
  <c r="B743" i="7"/>
  <c r="B923" i="7"/>
  <c r="B893" i="7"/>
  <c r="B903" i="7"/>
  <c r="B941" i="7"/>
  <c r="B770" i="7"/>
  <c r="B717" i="7"/>
  <c r="B826" i="7"/>
  <c r="B944" i="7"/>
  <c r="B729" i="7"/>
  <c r="B998" i="7"/>
  <c r="B890" i="7"/>
  <c r="B794" i="7"/>
  <c r="B828" i="7"/>
  <c r="B731" i="7"/>
  <c r="B811" i="7"/>
  <c r="B853" i="7"/>
  <c r="B910" i="7"/>
  <c r="B836" i="7"/>
  <c r="B850" i="7"/>
  <c r="B739" i="7"/>
  <c r="B710" i="7"/>
  <c r="B686" i="7"/>
  <c r="B712" i="7"/>
  <c r="B839" i="7"/>
  <c r="B744" i="7"/>
  <c r="B697" i="7"/>
  <c r="B976" i="7"/>
  <c r="B848" i="7"/>
  <c r="B961" i="7"/>
  <c r="B948" i="7"/>
  <c r="B721" i="7"/>
  <c r="B696" i="7"/>
  <c r="B694" i="7"/>
  <c r="B843" i="7"/>
  <c r="B746" i="7"/>
  <c r="B749" i="7"/>
  <c r="B996" i="7"/>
  <c r="B661" i="7"/>
  <c r="B987" i="7"/>
  <c r="B871" i="7"/>
  <c r="B914" i="7"/>
  <c r="B927" i="7"/>
  <c r="B778" i="7"/>
  <c r="B993" i="7"/>
  <c r="B687" i="7"/>
  <c r="B894" i="7"/>
  <c r="B981" i="7"/>
  <c r="B991" i="7"/>
  <c r="B977" i="7"/>
  <c r="B840" i="7"/>
  <c r="B842" i="7"/>
  <c r="B782" i="7"/>
  <c r="B725" i="7"/>
  <c r="B741" i="7"/>
  <c r="B895" i="7"/>
  <c r="B736" i="7"/>
  <c r="B920" i="7"/>
  <c r="B888" i="7"/>
  <c r="B678" i="7"/>
  <c r="B862" i="7"/>
  <c r="B859" i="7"/>
  <c r="B831" i="7"/>
  <c r="B958" i="7"/>
  <c r="B707" i="7"/>
  <c r="B693" i="7"/>
  <c r="B916" i="7"/>
  <c r="B883" i="7"/>
  <c r="B670" i="7"/>
  <c r="B774" i="7"/>
  <c r="B933" i="7"/>
  <c r="B799" i="7"/>
  <c r="B954" i="7"/>
  <c r="B715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A971" i="7"/>
  <c r="A837" i="7"/>
  <c r="A705" i="7"/>
  <c r="A973" i="7"/>
  <c r="A788" i="7"/>
  <c r="A806" i="7"/>
  <c r="A720" i="7"/>
  <c r="A926" i="7"/>
  <c r="A825" i="7"/>
  <c r="A786" i="7"/>
  <c r="A719" i="7"/>
  <c r="A870" i="7"/>
  <c r="A703" i="7"/>
  <c r="A864" i="7"/>
  <c r="A997" i="7"/>
  <c r="A901" i="7"/>
  <c r="A673" i="7"/>
  <c r="A947" i="7"/>
  <c r="A968" i="7"/>
  <c r="A946" i="7"/>
  <c r="A689" i="7"/>
  <c r="A776" i="7"/>
  <c r="A999" i="7"/>
  <c r="A884" i="7"/>
  <c r="A868" i="7"/>
  <c r="A854" i="7"/>
  <c r="A905" i="7"/>
  <c r="A662" i="7"/>
  <c r="A795" i="7"/>
  <c r="A724" i="7"/>
  <c r="A892" i="7"/>
  <c r="A793" i="7"/>
  <c r="A808" i="7"/>
  <c r="A943" i="7"/>
  <c r="A708" i="7"/>
  <c r="A754" i="7"/>
  <c r="A844" i="7"/>
  <c r="A679" i="7"/>
  <c r="A726" i="7"/>
  <c r="A659" i="7"/>
  <c r="A876" i="7"/>
  <c r="A735" i="7"/>
  <c r="A874" i="7"/>
  <c r="A766" i="7"/>
  <c r="A929" i="7"/>
  <c r="A891" i="7"/>
  <c r="A834" i="7"/>
  <c r="A959" i="7"/>
  <c r="A685" i="7"/>
  <c r="A900" i="7"/>
  <c r="A841" i="7"/>
  <c r="A762" i="7"/>
  <c r="A763" i="7"/>
  <c r="A869" i="7"/>
  <c r="A669" i="7"/>
  <c r="A872" i="7"/>
  <c r="A761" i="7"/>
  <c r="A692" i="7"/>
  <c r="A738" i="7"/>
  <c r="A823" i="7"/>
  <c r="A975" i="7"/>
  <c r="A713" i="7"/>
  <c r="A855" i="7"/>
  <c r="A863" i="7"/>
  <c r="A898" i="7"/>
  <c r="A684" i="7"/>
  <c r="A813" i="7"/>
  <c r="A676" i="7"/>
  <c r="A769" i="7"/>
  <c r="A753" i="7"/>
  <c r="A867" i="7"/>
  <c r="A765" i="7"/>
  <c r="A798" i="7"/>
  <c r="A967" i="7"/>
  <c r="A983" i="7"/>
  <c r="A803" i="7"/>
  <c r="A665" i="7"/>
  <c r="A877" i="7"/>
  <c r="A667" i="7"/>
  <c r="A852" i="7"/>
  <c r="A711" i="7"/>
  <c r="A683" i="7"/>
  <c r="A680" i="7"/>
  <c r="A779" i="7"/>
  <c r="A899" i="7"/>
  <c r="A757" i="7"/>
  <c r="A714" i="7"/>
  <c r="A777" i="7"/>
  <c r="A909" i="7"/>
  <c r="A934" i="7"/>
  <c r="A695" i="7"/>
  <c r="A832" i="7"/>
  <c r="A984" i="7"/>
  <c r="A750" i="7"/>
  <c r="A802" i="7"/>
  <c r="A851" i="7"/>
  <c r="A664" i="7"/>
  <c r="A979" i="7"/>
  <c r="A962" i="7"/>
  <c r="A672" i="7"/>
  <c r="A896" i="7"/>
  <c r="A904" i="7"/>
  <c r="A915" i="7"/>
  <c r="A728" i="7"/>
  <c r="A745" i="7"/>
  <c r="A742" i="7"/>
  <c r="A737" i="7"/>
  <c r="A816" i="7"/>
  <c r="A781" i="7"/>
  <c r="A830" i="7"/>
  <c r="A925" i="7"/>
  <c r="A775" i="7"/>
  <c r="A882" i="7"/>
  <c r="A965" i="7"/>
  <c r="A995" i="7"/>
  <c r="A952" i="7"/>
  <c r="A992" i="7"/>
  <c r="A764" i="7"/>
  <c r="A978" i="7"/>
  <c r="A924" i="7"/>
  <c r="A908" i="7"/>
  <c r="A733" i="7"/>
  <c r="A833" i="7"/>
  <c r="A674" i="7"/>
  <c r="A698" i="7"/>
  <c r="A699" i="7"/>
  <c r="A858" i="7"/>
  <c r="A953" i="7"/>
  <c r="A928" i="7"/>
  <c r="A807" i="7"/>
  <c r="A942" i="7"/>
  <c r="A966" i="7"/>
  <c r="A930" i="7"/>
  <c r="A897" i="7"/>
  <c r="A913" i="7"/>
  <c r="A960" i="7"/>
  <c r="A950" i="7"/>
  <c r="A964" i="7"/>
  <c r="A751" i="7"/>
  <c r="A846" i="7"/>
  <c r="A845" i="7"/>
  <c r="A819" i="7"/>
  <c r="A796" i="7"/>
  <c r="A809" i="7"/>
  <c r="A658" i="7"/>
  <c r="A988" i="7"/>
  <c r="A755" i="7"/>
  <c r="A886" i="7"/>
  <c r="A856" i="7"/>
  <c r="A955" i="7"/>
  <c r="A759" i="7"/>
  <c r="A885" i="7"/>
  <c r="A982" i="7"/>
  <c r="A790" i="7"/>
  <c r="A704" i="7"/>
  <c r="A772" i="7"/>
  <c r="A865" i="7"/>
  <c r="A939" i="7"/>
  <c r="A817" i="7"/>
  <c r="A787" i="7"/>
  <c r="A994" i="7"/>
  <c r="A722" i="7"/>
  <c r="A675" i="7"/>
  <c r="A690" i="7"/>
  <c r="A986" i="7"/>
  <c r="A663" i="7"/>
  <c r="A668" i="7"/>
  <c r="A866" i="7"/>
  <c r="A768" i="7"/>
  <c r="A849" i="7"/>
  <c r="A940" i="7"/>
  <c r="A873" i="7"/>
  <c r="A822" i="7"/>
  <c r="A935" i="7"/>
  <c r="A937" i="7"/>
  <c r="A709" i="7"/>
  <c r="A875" i="7"/>
  <c r="A734" i="7"/>
  <c r="A671" i="7"/>
  <c r="A820" i="7"/>
  <c r="A972" i="7"/>
  <c r="A740" i="7"/>
  <c r="A902" i="7"/>
  <c r="A758" i="7"/>
  <c r="A990" i="7"/>
  <c r="A748" i="7"/>
  <c r="A801" i="7"/>
  <c r="A919" i="7"/>
  <c r="A785" i="7"/>
  <c r="A860" i="7"/>
  <c r="A861" i="7"/>
  <c r="A818" i="7"/>
  <c r="A957" i="7"/>
  <c r="A760" i="7"/>
  <c r="A974" i="7"/>
  <c r="A784" i="7"/>
  <c r="A792" i="7"/>
  <c r="A752" i="7"/>
  <c r="A767" i="7"/>
  <c r="A878" i="7"/>
  <c r="A812" i="7"/>
  <c r="A880" i="7"/>
  <c r="A827" i="7"/>
  <c r="A756" i="7"/>
  <c r="A800" i="7"/>
  <c r="A938" i="7"/>
  <c r="A677" i="7"/>
  <c r="A847" i="7"/>
  <c r="A773" i="7"/>
  <c r="A931" i="7"/>
  <c r="A702" i="7"/>
  <c r="A791" i="7"/>
  <c r="A666" i="7"/>
  <c r="A969" i="7"/>
  <c r="A911" i="7"/>
  <c r="A932" i="7"/>
  <c r="A706" i="7"/>
  <c r="A936" i="7"/>
  <c r="A963" i="7"/>
  <c r="A889" i="7"/>
  <c r="A980" i="7"/>
  <c r="A732" i="7"/>
  <c r="A723" i="7"/>
  <c r="A688" i="7"/>
  <c r="A838" i="7"/>
  <c r="A681" i="7"/>
  <c r="A805" i="7"/>
  <c r="A907" i="7"/>
  <c r="A949" i="7"/>
  <c r="A835" i="7"/>
  <c r="A804" i="7"/>
  <c r="A727" i="7"/>
  <c r="A814" i="7"/>
  <c r="A810" i="7"/>
  <c r="A887" i="7"/>
  <c r="A829" i="7"/>
  <c r="A989" i="7"/>
  <c r="A797" i="7"/>
  <c r="A917" i="7"/>
  <c r="A881" i="7"/>
  <c r="A701" i="7"/>
  <c r="A945" i="7"/>
  <c r="A815" i="7"/>
  <c r="A783" i="7"/>
  <c r="A857" i="7"/>
  <c r="A906" i="7"/>
  <c r="A660" i="7"/>
  <c r="A747" i="7"/>
  <c r="A821" i="7"/>
  <c r="A730" i="7"/>
  <c r="A771" i="7"/>
  <c r="A921" i="7"/>
  <c r="A824" i="7"/>
  <c r="A718" i="7"/>
  <c r="A912" i="7"/>
  <c r="A780" i="7"/>
  <c r="A682" i="7"/>
  <c r="A789" i="7"/>
  <c r="A951" i="7"/>
  <c r="A716" i="7"/>
  <c r="A918" i="7"/>
  <c r="A691" i="7"/>
  <c r="A922" i="7"/>
  <c r="A879" i="7"/>
  <c r="A970" i="7"/>
  <c r="A985" i="7"/>
  <c r="A956" i="7"/>
  <c r="A700" i="7"/>
  <c r="A743" i="7"/>
  <c r="A923" i="7"/>
  <c r="A893" i="7"/>
  <c r="A903" i="7"/>
  <c r="A941" i="7"/>
  <c r="A770" i="7"/>
  <c r="A717" i="7"/>
  <c r="A826" i="7"/>
  <c r="A944" i="7"/>
  <c r="A729" i="7"/>
  <c r="A998" i="7"/>
  <c r="A890" i="7"/>
  <c r="A794" i="7"/>
  <c r="A828" i="7"/>
  <c r="A731" i="7"/>
  <c r="A811" i="7"/>
  <c r="A853" i="7"/>
  <c r="A910" i="7"/>
  <c r="A836" i="7"/>
  <c r="A850" i="7"/>
  <c r="A739" i="7"/>
  <c r="A710" i="7"/>
  <c r="A686" i="7"/>
  <c r="A712" i="7"/>
  <c r="A839" i="7"/>
  <c r="A744" i="7"/>
  <c r="A697" i="7"/>
  <c r="A976" i="7"/>
  <c r="A848" i="7"/>
  <c r="A961" i="7"/>
  <c r="A948" i="7"/>
  <c r="A721" i="7"/>
  <c r="A696" i="7"/>
  <c r="A694" i="7"/>
  <c r="A843" i="7"/>
  <c r="A746" i="7"/>
  <c r="A749" i="7"/>
  <c r="A996" i="7"/>
  <c r="A661" i="7"/>
  <c r="A987" i="7"/>
  <c r="A871" i="7"/>
  <c r="A914" i="7"/>
  <c r="A927" i="7"/>
  <c r="A778" i="7"/>
  <c r="A993" i="7"/>
  <c r="A687" i="7"/>
  <c r="A894" i="7"/>
  <c r="A981" i="7"/>
  <c r="A991" i="7"/>
  <c r="A977" i="7"/>
  <c r="A840" i="7"/>
  <c r="A842" i="7"/>
  <c r="A782" i="7"/>
  <c r="A725" i="7"/>
  <c r="A741" i="7"/>
  <c r="A895" i="7"/>
  <c r="A736" i="7"/>
  <c r="A920" i="7"/>
  <c r="A888" i="7"/>
  <c r="A678" i="7"/>
  <c r="A862" i="7"/>
  <c r="A859" i="7"/>
  <c r="A831" i="7"/>
  <c r="A958" i="7"/>
  <c r="A707" i="7"/>
  <c r="A693" i="7"/>
  <c r="A916" i="7"/>
  <c r="A883" i="7"/>
  <c r="A670" i="7"/>
  <c r="A774" i="7"/>
  <c r="A933" i="7"/>
  <c r="A799" i="7"/>
  <c r="A954" i="7"/>
  <c r="A715" i="7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Z1" i="4" l="1"/>
  <c r="Z1" i="1"/>
  <c r="Z1" i="3"/>
  <c r="U1" i="3"/>
  <c r="B1" i="2"/>
</calcChain>
</file>

<file path=xl/sharedStrings.xml><?xml version="1.0" encoding="utf-8"?>
<sst xmlns="http://schemas.openxmlformats.org/spreadsheetml/2006/main" count="23" uniqueCount="19">
  <si>
    <t>TEAM:</t>
  </si>
  <si>
    <t>AUTOSTART POSISTION</t>
  </si>
  <si>
    <t>AUTOSTART PREFERENCE</t>
  </si>
  <si>
    <t>SHOOTING POSITION</t>
  </si>
  <si>
    <t>AutoStart Preference for team:</t>
  </si>
  <si>
    <t>Shooting Positions for team:</t>
  </si>
  <si>
    <t>AutoStart Positions for team:</t>
  </si>
  <si>
    <t>teamNumber</t>
  </si>
  <si>
    <t>robotName</t>
  </si>
  <si>
    <t>leaveStartingZone</t>
  </si>
  <si>
    <t>autoAmpScore</t>
  </si>
  <si>
    <t>autoSpeakerScore</t>
  </si>
  <si>
    <t>autoStartPosition</t>
  </si>
  <si>
    <t>shootingPosition</t>
  </si>
  <si>
    <t>autoComments</t>
  </si>
  <si>
    <t>event</t>
  </si>
  <si>
    <t>matchLevel</t>
  </si>
  <si>
    <t>matchNumber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</si>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</sst>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right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" fontId="0" fillId="0" borderId="0" xfId="0" applyNumberFormat="1"/>
    <xf numFmtId="0" fontId="0" fillId="2" borderId="12" xfId="0" applyFill="1" applyBorder="1" applyAlignment="1">
      <alignment horizontal="centerContinuous" vertical="center"/>
    </xf>
    <xf numFmtId="0" fontId="0" fillId="2" borderId="14" xfId="0" applyFill="1" applyBorder="1"/>
    <xf numFmtId="0" fontId="0" fillId="2" borderId="15" xfId="0" applyFill="1" applyBorder="1"/>
    <xf numFmtId="0" fontId="0" fillId="3" borderId="12" xfId="0" applyFill="1" applyBorder="1" applyAlignment="1">
      <alignment horizontal="centerContinuous" vertical="center"/>
    </xf>
    <xf numFmtId="0" fontId="0" fillId="3" borderId="14" xfId="0" applyFill="1" applyBorder="1"/>
    <xf numFmtId="0" fontId="0" fillId="3" borderId="15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0" xfId="0" applyFill="1" applyBorder="1"/>
    <xf numFmtId="0" fontId="0" fillId="4" borderId="15" xfId="0" applyFill="1" applyBorder="1"/>
    <xf numFmtId="0" fontId="0" fillId="4" borderId="0" xfId="0" applyFill="1" applyBorder="1"/>
    <xf numFmtId="0" fontId="0" fillId="4" borderId="12" xfId="0" applyFill="1" applyBorder="1" applyAlignment="1">
      <alignment horizontal="centerContinuous" vertical="center"/>
    </xf>
    <xf numFmtId="0" fontId="4" fillId="4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Continuous" vertical="center"/>
    </xf>
    <xf numFmtId="0" fontId="0" fillId="4" borderId="19" xfId="0" applyFill="1" applyBorder="1"/>
    <xf numFmtId="0" fontId="0" fillId="4" borderId="20" xfId="0" applyFill="1" applyBorder="1"/>
    <xf numFmtId="0" fontId="3" fillId="3" borderId="12" xfId="0" applyFont="1" applyFill="1" applyBorder="1" applyAlignment="1">
      <alignment horizontal="centerContinuous" vertical="center"/>
    </xf>
    <xf numFmtId="0" fontId="0" fillId="3" borderId="10" xfId="0" applyFill="1" applyBorder="1"/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9" xfId="0" applyFill="1" applyBorder="1"/>
    <xf numFmtId="0" fontId="0" fillId="3" borderId="0" xfId="0" applyFill="1" applyBorder="1"/>
    <xf numFmtId="0" fontId="0" fillId="3" borderId="20" xfId="0" applyFill="1" applyBorder="1"/>
    <xf numFmtId="0" fontId="3" fillId="2" borderId="12" xfId="0" applyFont="1" applyFill="1" applyBorder="1" applyAlignment="1">
      <alignment horizontal="centerContinuous" vertical="center"/>
    </xf>
    <xf numFmtId="0" fontId="0" fillId="2" borderId="10" xfId="0" applyFill="1" applyBorder="1"/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9" xfId="0" applyFill="1" applyBorder="1"/>
    <xf numFmtId="0" fontId="0" fillId="2" borderId="0" xfId="0" applyFill="1" applyBorder="1"/>
    <xf numFmtId="0" fontId="0" fillId="2" borderId="20" xfId="0" applyFill="1" applyBorder="1"/>
  </cellXfs>
  <cellStyles count="1">
    <cellStyle name="Normal" xfId="0" builtinId="0"/>
  </cellStyles>
  <dxfs count="1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4906</xdr:colOff>
      <xdr:row>1</xdr:row>
      <xdr:rowOff>1</xdr:rowOff>
    </xdr:from>
    <xdr:to>
      <xdr:col>26</xdr:col>
      <xdr:colOff>4909</xdr:colOff>
      <xdr:row>7</xdr:row>
      <xdr:rowOff>9819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FDE303-A222-44E9-99D6-B62DDB23B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1806236" y="-804716"/>
          <a:ext cx="3181643" cy="6172203"/>
        </a:xfrm>
        <a:prstGeom prst="rect">
          <a:avLst/>
        </a:prstGeom>
      </xdr:spPr>
    </xdr:pic>
    <xdr:clientData/>
  </xdr:twoCellAnchor>
  <xdr:twoCellAnchor editAs="oneCell">
    <xdr:from>
      <xdr:col>13</xdr:col>
      <xdr:colOff>2862410</xdr:colOff>
      <xdr:row>8</xdr:row>
      <xdr:rowOff>6360</xdr:rowOff>
    </xdr:from>
    <xdr:to>
      <xdr:col>25</xdr:col>
      <xdr:colOff>470338</xdr:colOff>
      <xdr:row>14</xdr:row>
      <xdr:rowOff>16124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7ED396-2F73-4F75-B262-6015C93C6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1757992" y="4069541"/>
          <a:ext cx="3181589" cy="6170903"/>
        </a:xfrm>
        <a:prstGeom prst="rect">
          <a:avLst/>
        </a:prstGeom>
      </xdr:spPr>
    </xdr:pic>
    <xdr:clientData/>
  </xdr:twoCellAnchor>
  <xdr:twoCellAnchor editAs="oneCell">
    <xdr:from>
      <xdr:col>1</xdr:col>
      <xdr:colOff>10768</xdr:colOff>
      <xdr:row>1</xdr:row>
      <xdr:rowOff>3069</xdr:rowOff>
    </xdr:from>
    <xdr:to>
      <xdr:col>13</xdr:col>
      <xdr:colOff>13225</xdr:colOff>
      <xdr:row>7</xdr:row>
      <xdr:rowOff>13222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C88F3F8-E171-4BD6-967B-954866AD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729122" y="-794049"/>
          <a:ext cx="3192369" cy="61720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614360</xdr:colOff>
      <xdr:row>2</xdr:row>
      <xdr:rowOff>1</xdr:rowOff>
    </xdr:from>
    <xdr:to>
      <xdr:col>16</xdr:col>
      <xdr:colOff>9523</xdr:colOff>
      <xdr:row>7</xdr:row>
      <xdr:rowOff>566739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06979E-855E-4EE2-9F8D-BC80B3A68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436267" y="-835818"/>
          <a:ext cx="3424238" cy="73818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33337</xdr:colOff>
      <xdr:row>1</xdr:row>
      <xdr:rowOff>566738</xdr:rowOff>
    </xdr:from>
    <xdr:to>
      <xdr:col>16</xdr:col>
      <xdr:colOff>42862</xdr:colOff>
      <xdr:row>7</xdr:row>
      <xdr:rowOff>561976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9DBF80-F8A2-4604-AB6B-D8C34DBDE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469606" y="-840581"/>
          <a:ext cx="3424238" cy="73818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600078</xdr:colOff>
      <xdr:row>2</xdr:row>
      <xdr:rowOff>3</xdr:rowOff>
    </xdr:from>
    <xdr:to>
      <xdr:col>15</xdr:col>
      <xdr:colOff>609603</xdr:colOff>
      <xdr:row>7</xdr:row>
      <xdr:rowOff>566741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244D88E-109A-44A6-BBFC-D1C1206F8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421985" y="-835816"/>
          <a:ext cx="3424238" cy="73818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rdan\Documents\code\javascript\FRC\ScoutingPASS\py\app\data\updated_test_sheet.xlsx" TargetMode="External"/><Relationship Id="rId1" Type="http://schemas.openxmlformats.org/officeDocument/2006/relationships/externalLinkPath" Target="updated_test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coutingInfo"/>
      <sheetName val="PitScoutingInfo"/>
      <sheetName val="IndividualTeam"/>
      <sheetName val="AllTeams"/>
      <sheetName val="Rankings"/>
      <sheetName val="OurMatchesInfo"/>
      <sheetName val="ReformatedData"/>
      <sheetName val="OurMatch"/>
      <sheetName val="Sheet1"/>
    </sheetNames>
    <sheetDataSet>
      <sheetData sheetId="0">
        <row r="2">
          <cell r="A2" t="str">
            <v>Jm</v>
          </cell>
          <cell r="D2">
            <v>9</v>
          </cell>
          <cell r="O2">
            <v>0</v>
          </cell>
          <cell r="R2">
            <v>2</v>
          </cell>
          <cell r="T2">
            <v>4</v>
          </cell>
        </row>
        <row r="3">
          <cell r="A3" t="str">
            <v>JB</v>
          </cell>
          <cell r="D3">
            <v>18</v>
          </cell>
          <cell r="O3">
            <v>1.2</v>
          </cell>
          <cell r="R3">
            <v>3</v>
          </cell>
          <cell r="T3">
            <v>5</v>
          </cell>
          <cell r="Y3" t="str">
            <v>Fast, great performance</v>
          </cell>
        </row>
        <row r="4">
          <cell r="A4" t="str">
            <v>JB</v>
          </cell>
          <cell r="D4">
            <v>27</v>
          </cell>
          <cell r="O4">
            <v>6.6</v>
          </cell>
          <cell r="R4" t="str">
            <v>x</v>
          </cell>
          <cell r="T4">
            <v>4</v>
          </cell>
          <cell r="Y4" t="str">
            <v>Great robot</v>
          </cell>
        </row>
        <row r="5">
          <cell r="A5" t="str">
            <v>SSC</v>
          </cell>
          <cell r="D5">
            <v>3</v>
          </cell>
          <cell r="O5">
            <v>0.9</v>
          </cell>
          <cell r="R5">
            <v>3</v>
          </cell>
          <cell r="T5">
            <v>4</v>
          </cell>
        </row>
        <row r="6">
          <cell r="A6" t="str">
            <v>SSC</v>
          </cell>
          <cell r="D6">
            <v>47</v>
          </cell>
          <cell r="O6">
            <v>0</v>
          </cell>
          <cell r="R6">
            <v>3</v>
          </cell>
          <cell r="T6">
            <v>5</v>
          </cell>
        </row>
        <row r="7">
          <cell r="A7" t="str">
            <v>Jm</v>
          </cell>
          <cell r="D7">
            <v>21</v>
          </cell>
          <cell r="O7">
            <v>0</v>
          </cell>
          <cell r="R7">
            <v>2</v>
          </cell>
          <cell r="T7">
            <v>2</v>
          </cell>
        </row>
        <row r="8">
          <cell r="A8" t="str">
            <v>KG</v>
          </cell>
          <cell r="D8">
            <v>4</v>
          </cell>
          <cell r="O8">
            <v>0</v>
          </cell>
          <cell r="R8">
            <v>1</v>
          </cell>
          <cell r="T8">
            <v>2</v>
          </cell>
        </row>
        <row r="9">
          <cell r="A9" t="str">
            <v>AG</v>
          </cell>
          <cell r="D9">
            <v>37</v>
          </cell>
          <cell r="O9">
            <v>0</v>
          </cell>
          <cell r="R9">
            <v>1</v>
          </cell>
          <cell r="T9">
            <v>2</v>
          </cell>
        </row>
        <row r="10">
          <cell r="A10" t="str">
            <v>SSC</v>
          </cell>
          <cell r="D10">
            <v>12</v>
          </cell>
          <cell r="O10">
            <v>0</v>
          </cell>
          <cell r="R10">
            <v>1</v>
          </cell>
          <cell r="T10">
            <v>1</v>
          </cell>
          <cell r="Y10" t="str">
            <v>Blocked other teams speaker</v>
          </cell>
        </row>
        <row r="11">
          <cell r="A11" t="str">
            <v>AOD</v>
          </cell>
          <cell r="D11">
            <v>44</v>
          </cell>
          <cell r="O11">
            <v>0</v>
          </cell>
          <cell r="R11">
            <v>3</v>
          </cell>
          <cell r="T11">
            <v>3</v>
          </cell>
          <cell r="Y11" t="str">
            <v>Prevented multiple bots from scoring on their speaker</v>
          </cell>
        </row>
        <row r="12">
          <cell r="A12" t="str">
            <v>JB</v>
          </cell>
          <cell r="D12">
            <v>54</v>
          </cell>
          <cell r="O12">
            <v>0</v>
          </cell>
          <cell r="R12">
            <v>1</v>
          </cell>
          <cell r="T12">
            <v>3</v>
          </cell>
          <cell r="Y12" t="str">
            <v>Defense bot</v>
          </cell>
        </row>
        <row r="13">
          <cell r="A13" t="str">
            <v>SL</v>
          </cell>
          <cell r="D13">
            <v>12</v>
          </cell>
          <cell r="O13">
            <v>12.5</v>
          </cell>
          <cell r="R13">
            <v>1</v>
          </cell>
          <cell r="T13">
            <v>2</v>
          </cell>
          <cell r="Y13" t="str">
            <v>drove around randomly and not good speaker</v>
          </cell>
        </row>
        <row r="14">
          <cell r="A14" t="str">
            <v>KG</v>
          </cell>
          <cell r="D14">
            <v>19</v>
          </cell>
          <cell r="O14">
            <v>0</v>
          </cell>
          <cell r="R14">
            <v>2</v>
          </cell>
          <cell r="T14">
            <v>3</v>
          </cell>
        </row>
        <row r="15">
          <cell r="A15" t="str">
            <v>KG</v>
          </cell>
          <cell r="D15">
            <v>11</v>
          </cell>
          <cell r="O15">
            <v>0</v>
          </cell>
          <cell r="R15" t="str">
            <v>x</v>
          </cell>
          <cell r="T15">
            <v>1</v>
          </cell>
          <cell r="Y15" t="str">
            <v>Died almost immediately after auto</v>
          </cell>
        </row>
        <row r="16">
          <cell r="A16" t="str">
            <v>KG</v>
          </cell>
          <cell r="D16">
            <v>5</v>
          </cell>
          <cell r="O16">
            <v>11.1</v>
          </cell>
          <cell r="R16" t="str">
            <v>x</v>
          </cell>
          <cell r="T16">
            <v>3</v>
          </cell>
          <cell r="Y16" t="str">
            <v>Didn't move first chunk of match</v>
          </cell>
        </row>
        <row r="17">
          <cell r="A17" t="str">
            <v>AOD</v>
          </cell>
          <cell r="D17">
            <v>56</v>
          </cell>
          <cell r="O17">
            <v>2.5</v>
          </cell>
          <cell r="R17">
            <v>2</v>
          </cell>
          <cell r="T17">
            <v>4</v>
          </cell>
          <cell r="Y17" t="str">
            <v>They missed all their shots at the speaker</v>
          </cell>
        </row>
        <row r="18">
          <cell r="A18" t="str">
            <v>SL</v>
          </cell>
          <cell r="D18">
            <v>46</v>
          </cell>
          <cell r="O18">
            <v>3.5</v>
          </cell>
          <cell r="R18">
            <v>3</v>
          </cell>
          <cell r="T18">
            <v>5</v>
          </cell>
        </row>
        <row r="19">
          <cell r="A19" t="str">
            <v>AOD</v>
          </cell>
          <cell r="D19">
            <v>18</v>
          </cell>
          <cell r="O19">
            <v>0</v>
          </cell>
          <cell r="R19">
            <v>1</v>
          </cell>
          <cell r="T19">
            <v>4</v>
          </cell>
          <cell r="Y19" t="str">
            <v>Bumped into and broke another bot and didn't score much</v>
          </cell>
        </row>
        <row r="20">
          <cell r="A20" t="str">
            <v>JB</v>
          </cell>
          <cell r="D20">
            <v>35</v>
          </cell>
          <cell r="O20">
            <v>0</v>
          </cell>
          <cell r="R20">
            <v>2</v>
          </cell>
          <cell r="T20">
            <v>3</v>
          </cell>
          <cell r="Y20" t="str">
            <v>Died for most of match</v>
          </cell>
        </row>
        <row r="21">
          <cell r="A21" t="str">
            <v>SL</v>
          </cell>
          <cell r="D21">
            <v>28</v>
          </cell>
          <cell r="O21">
            <v>0</v>
          </cell>
          <cell r="R21">
            <v>2</v>
          </cell>
          <cell r="T21">
            <v>3</v>
          </cell>
        </row>
        <row r="22">
          <cell r="A22" t="str">
            <v>AOD</v>
          </cell>
          <cell r="D22">
            <v>55</v>
          </cell>
          <cell r="O22">
            <v>0</v>
          </cell>
          <cell r="R22" t="str">
            <v>x</v>
          </cell>
          <cell r="T22">
            <v>4</v>
          </cell>
          <cell r="Y22" t="str">
            <v>Good support</v>
          </cell>
        </row>
        <row r="23">
          <cell r="A23" t="str">
            <v>Jm</v>
          </cell>
          <cell r="D23">
            <v>45</v>
          </cell>
          <cell r="O23">
            <v>0</v>
          </cell>
          <cell r="R23">
            <v>2</v>
          </cell>
          <cell r="T23">
            <v>3</v>
          </cell>
        </row>
        <row r="24">
          <cell r="A24" t="str">
            <v>SL</v>
          </cell>
          <cell r="D24">
            <v>9</v>
          </cell>
          <cell r="O24">
            <v>0</v>
          </cell>
          <cell r="R24">
            <v>2</v>
          </cell>
          <cell r="T24">
            <v>3</v>
          </cell>
        </row>
        <row r="25">
          <cell r="A25" t="str">
            <v>AG</v>
          </cell>
          <cell r="D25">
            <v>22</v>
          </cell>
          <cell r="O25">
            <v>3.4</v>
          </cell>
          <cell r="R25">
            <v>2</v>
          </cell>
          <cell r="T25">
            <v>3</v>
          </cell>
        </row>
        <row r="26">
          <cell r="A26" t="str">
            <v>KG</v>
          </cell>
          <cell r="D26">
            <v>24</v>
          </cell>
          <cell r="O26">
            <v>0</v>
          </cell>
          <cell r="R26" t="str">
            <v>x</v>
          </cell>
          <cell r="T26">
            <v>2</v>
          </cell>
        </row>
        <row r="27">
          <cell r="A27" t="str">
            <v>AOD</v>
          </cell>
          <cell r="D27">
            <v>43</v>
          </cell>
          <cell r="O27">
            <v>0</v>
          </cell>
          <cell r="R27">
            <v>2</v>
          </cell>
          <cell r="T27">
            <v>4</v>
          </cell>
          <cell r="Y27" t="str">
            <v>They helped, but didn't gain many points</v>
          </cell>
        </row>
        <row r="28">
          <cell r="A28" t="str">
            <v>SL</v>
          </cell>
          <cell r="D28">
            <v>60</v>
          </cell>
          <cell r="O28">
            <v>0</v>
          </cell>
          <cell r="R28">
            <v>3</v>
          </cell>
          <cell r="T28">
            <v>3</v>
          </cell>
        </row>
        <row r="29">
          <cell r="A29" t="str">
            <v>AOD</v>
          </cell>
          <cell r="D29">
            <v>7</v>
          </cell>
          <cell r="O29">
            <v>0</v>
          </cell>
          <cell r="R29">
            <v>3</v>
          </cell>
          <cell r="T29">
            <v>4</v>
          </cell>
          <cell r="Y29" t="str">
            <v>Seemed like good team players</v>
          </cell>
        </row>
        <row r="30">
          <cell r="A30" t="str">
            <v>SL</v>
          </cell>
          <cell r="D30">
            <v>15</v>
          </cell>
          <cell r="O30">
            <v>15.3</v>
          </cell>
          <cell r="R30">
            <v>3</v>
          </cell>
          <cell r="T30">
            <v>4</v>
          </cell>
        </row>
        <row r="31">
          <cell r="A31" t="str">
            <v>AG</v>
          </cell>
          <cell r="D31">
            <v>22</v>
          </cell>
          <cell r="O31">
            <v>7.3</v>
          </cell>
          <cell r="R31">
            <v>2</v>
          </cell>
          <cell r="T31">
            <v>3</v>
          </cell>
          <cell r="Y31" t="str">
            <v>Very effective at scoring</v>
          </cell>
        </row>
        <row r="32">
          <cell r="A32" t="str">
            <v>KG</v>
          </cell>
          <cell r="D32">
            <v>22</v>
          </cell>
          <cell r="O32">
            <v>16.100000000000001</v>
          </cell>
          <cell r="R32">
            <v>3</v>
          </cell>
          <cell r="T32">
            <v>4</v>
          </cell>
          <cell r="Y32" t="str">
            <v>I lost count of notes scored, might be a little off</v>
          </cell>
        </row>
        <row r="33">
          <cell r="A33" t="str">
            <v>SSC</v>
          </cell>
          <cell r="D33">
            <v>8</v>
          </cell>
          <cell r="O33">
            <v>2.7</v>
          </cell>
          <cell r="R33">
            <v>3</v>
          </cell>
          <cell r="T33">
            <v>4</v>
          </cell>
        </row>
        <row r="34">
          <cell r="A34" t="str">
            <v>SL</v>
          </cell>
          <cell r="D34">
            <v>32</v>
          </cell>
          <cell r="O34">
            <v>10.5</v>
          </cell>
          <cell r="R34">
            <v>3</v>
          </cell>
          <cell r="T34">
            <v>4</v>
          </cell>
        </row>
        <row r="35">
          <cell r="A35" t="str">
            <v>KG</v>
          </cell>
          <cell r="D35">
            <v>49</v>
          </cell>
          <cell r="O35">
            <v>15.2</v>
          </cell>
          <cell r="R35">
            <v>3</v>
          </cell>
          <cell r="T35">
            <v>4</v>
          </cell>
        </row>
        <row r="36">
          <cell r="A36" t="str">
            <v>JB</v>
          </cell>
          <cell r="D36">
            <v>41</v>
          </cell>
          <cell r="O36">
            <v>2.8</v>
          </cell>
          <cell r="R36">
            <v>3</v>
          </cell>
          <cell r="T36">
            <v>5</v>
          </cell>
          <cell r="Y36" t="str">
            <v>Good performance despite defense</v>
          </cell>
        </row>
        <row r="37">
          <cell r="A37" t="str">
            <v>SL</v>
          </cell>
          <cell r="D37">
            <v>10</v>
          </cell>
          <cell r="O37">
            <v>0</v>
          </cell>
          <cell r="R37">
            <v>2</v>
          </cell>
          <cell r="T37">
            <v>2</v>
          </cell>
        </row>
        <row r="38">
          <cell r="A38" t="str">
            <v>JB</v>
          </cell>
          <cell r="D38">
            <v>23</v>
          </cell>
          <cell r="O38">
            <v>0</v>
          </cell>
          <cell r="R38">
            <v>2</v>
          </cell>
          <cell r="T38">
            <v>4</v>
          </cell>
          <cell r="Y38" t="str">
            <v>Good overall, not the best</v>
          </cell>
        </row>
        <row r="39">
          <cell r="A39" t="str">
            <v>Jm</v>
          </cell>
          <cell r="D39">
            <v>16</v>
          </cell>
          <cell r="O39">
            <v>0</v>
          </cell>
          <cell r="R39">
            <v>2</v>
          </cell>
          <cell r="T39">
            <v>4</v>
          </cell>
        </row>
        <row r="40">
          <cell r="A40" t="str">
            <v>SSC</v>
          </cell>
          <cell r="D40">
            <v>5</v>
          </cell>
          <cell r="O40">
            <v>0</v>
          </cell>
          <cell r="R40">
            <v>1</v>
          </cell>
          <cell r="T40">
            <v>2</v>
          </cell>
        </row>
        <row r="41">
          <cell r="A41" t="str">
            <v>KG</v>
          </cell>
          <cell r="D41">
            <v>38</v>
          </cell>
          <cell r="O41">
            <v>0</v>
          </cell>
          <cell r="R41">
            <v>3</v>
          </cell>
          <cell r="T41">
            <v>4</v>
          </cell>
        </row>
        <row r="42">
          <cell r="A42" t="str">
            <v>AOD</v>
          </cell>
          <cell r="D42">
            <v>15</v>
          </cell>
          <cell r="O42">
            <v>2.6</v>
          </cell>
          <cell r="R42">
            <v>2</v>
          </cell>
          <cell r="T42">
            <v>3</v>
          </cell>
        </row>
        <row r="43">
          <cell r="A43" t="str">
            <v>SL</v>
          </cell>
          <cell r="D43">
            <v>13</v>
          </cell>
          <cell r="O43">
            <v>14</v>
          </cell>
          <cell r="R43">
            <v>3</v>
          </cell>
          <cell r="T43">
            <v>5</v>
          </cell>
        </row>
        <row r="44">
          <cell r="A44" t="str">
            <v>JB</v>
          </cell>
          <cell r="D44">
            <v>22</v>
          </cell>
          <cell r="O44">
            <v>7.9</v>
          </cell>
          <cell r="R44">
            <v>3</v>
          </cell>
          <cell r="T44">
            <v>4</v>
          </cell>
          <cell r="Y44" t="str">
            <v>Good robot, only scored in speaker</v>
          </cell>
        </row>
        <row r="45">
          <cell r="A45" t="str">
            <v>SSC</v>
          </cell>
          <cell r="D45">
            <v>4</v>
          </cell>
          <cell r="O45">
            <v>2.2000000000000002</v>
          </cell>
          <cell r="R45">
            <v>2</v>
          </cell>
          <cell r="T45">
            <v>3</v>
          </cell>
          <cell r="Y45" t="str">
            <v>They had technical issues but then were good</v>
          </cell>
        </row>
        <row r="46">
          <cell r="A46" t="str">
            <v>IW</v>
          </cell>
          <cell r="D46">
            <v>55</v>
          </cell>
          <cell r="O46">
            <v>0</v>
          </cell>
          <cell r="R46">
            <v>3</v>
          </cell>
          <cell r="T46">
            <v>4</v>
          </cell>
        </row>
        <row r="47">
          <cell r="A47" t="str">
            <v>AOD</v>
          </cell>
          <cell r="D47">
            <v>12</v>
          </cell>
          <cell r="O47">
            <v>0</v>
          </cell>
          <cell r="R47">
            <v>2</v>
          </cell>
          <cell r="T47">
            <v>4</v>
          </cell>
          <cell r="Y47" t="str">
            <v>Quick, efficient</v>
          </cell>
        </row>
        <row r="48">
          <cell r="A48" t="str">
            <v>GN</v>
          </cell>
          <cell r="D48">
            <v>30</v>
          </cell>
          <cell r="O48">
            <v>0</v>
          </cell>
          <cell r="R48">
            <v>3</v>
          </cell>
          <cell r="T48">
            <v>5</v>
          </cell>
          <cell r="Y48" t="str">
            <v>Very fast, heavy speaker player</v>
          </cell>
        </row>
        <row r="49">
          <cell r="A49" t="str">
            <v>AOD</v>
          </cell>
          <cell r="D49">
            <v>41</v>
          </cell>
          <cell r="O49">
            <v>0</v>
          </cell>
          <cell r="R49">
            <v>2</v>
          </cell>
          <cell r="T49">
            <v>3</v>
          </cell>
          <cell r="Y49" t="str">
            <v>Delayed the other team, but not for long</v>
          </cell>
        </row>
        <row r="50">
          <cell r="A50" t="str">
            <v>SL</v>
          </cell>
          <cell r="D50">
            <v>49</v>
          </cell>
          <cell r="O50">
            <v>6.5</v>
          </cell>
          <cell r="R50">
            <v>3</v>
          </cell>
          <cell r="T50">
            <v>3</v>
          </cell>
        </row>
        <row r="51">
          <cell r="A51" t="str">
            <v>SL</v>
          </cell>
          <cell r="D51">
            <v>6</v>
          </cell>
          <cell r="O51">
            <v>0</v>
          </cell>
          <cell r="R51">
            <v>1</v>
          </cell>
          <cell r="T51">
            <v>3</v>
          </cell>
          <cell r="Y51" t="str">
            <v>was struggling with bottom intake and couldn't take not</v>
          </cell>
        </row>
        <row r="52">
          <cell r="A52" t="str">
            <v>AG</v>
          </cell>
          <cell r="D52">
            <v>17</v>
          </cell>
          <cell r="O52">
            <v>14.9</v>
          </cell>
          <cell r="R52">
            <v>2</v>
          </cell>
          <cell r="T52">
            <v>3</v>
          </cell>
        </row>
        <row r="53">
          <cell r="A53" t="str">
            <v>JB</v>
          </cell>
          <cell r="D53">
            <v>15</v>
          </cell>
          <cell r="O53">
            <v>0</v>
          </cell>
          <cell r="R53">
            <v>2</v>
          </cell>
          <cell r="T53">
            <v>4</v>
          </cell>
          <cell r="Y53" t="str">
            <v>Maybe good, but died</v>
          </cell>
        </row>
        <row r="54">
          <cell r="A54" t="str">
            <v>SL</v>
          </cell>
          <cell r="D54">
            <v>9</v>
          </cell>
          <cell r="O54">
            <v>16.600000000000001</v>
          </cell>
          <cell r="R54">
            <v>2</v>
          </cell>
          <cell r="T54">
            <v>3</v>
          </cell>
        </row>
        <row r="55">
          <cell r="A55" t="str">
            <v>JB</v>
          </cell>
          <cell r="D55">
            <v>24</v>
          </cell>
          <cell r="O55">
            <v>6.1</v>
          </cell>
          <cell r="R55">
            <v>3</v>
          </cell>
          <cell r="T55">
            <v>3</v>
          </cell>
          <cell r="Y55" t="str">
            <v>Fairly good scorer</v>
          </cell>
        </row>
        <row r="56">
          <cell r="A56" t="str">
            <v>KG</v>
          </cell>
          <cell r="D56">
            <v>50</v>
          </cell>
          <cell r="O56">
            <v>30.4</v>
          </cell>
          <cell r="R56" t="str">
            <v>x</v>
          </cell>
          <cell r="T56">
            <v>3</v>
          </cell>
          <cell r="Y56" t="str">
            <v>Just drive around and then climbed. No defense</v>
          </cell>
        </row>
        <row r="57">
          <cell r="A57" t="str">
            <v>SSC</v>
          </cell>
          <cell r="D57">
            <v>42</v>
          </cell>
          <cell r="O57">
            <v>2.2000000000000002</v>
          </cell>
          <cell r="R57">
            <v>2</v>
          </cell>
          <cell r="T57">
            <v>3</v>
          </cell>
        </row>
        <row r="58">
          <cell r="A58" t="str">
            <v>IW</v>
          </cell>
          <cell r="D58">
            <v>59</v>
          </cell>
          <cell r="O58">
            <v>30.2</v>
          </cell>
          <cell r="R58">
            <v>2</v>
          </cell>
          <cell r="T58">
            <v>4</v>
          </cell>
        </row>
        <row r="59">
          <cell r="A59" t="str">
            <v>GN</v>
          </cell>
          <cell r="D59">
            <v>15</v>
          </cell>
          <cell r="O59">
            <v>0</v>
          </cell>
          <cell r="R59">
            <v>1</v>
          </cell>
          <cell r="T59">
            <v>3</v>
          </cell>
          <cell r="Y59" t="str">
            <v>Didn't do anything for auto period</v>
          </cell>
        </row>
        <row r="60">
          <cell r="A60" t="str">
            <v>KG</v>
          </cell>
          <cell r="D60">
            <v>8</v>
          </cell>
          <cell r="O60">
            <v>0</v>
          </cell>
          <cell r="R60">
            <v>2</v>
          </cell>
          <cell r="T60">
            <v>3</v>
          </cell>
          <cell r="Y60" t="str">
            <v>Note got stuck in the intake</v>
          </cell>
        </row>
        <row r="61">
          <cell r="A61" t="str">
            <v>JB</v>
          </cell>
          <cell r="D61">
            <v>5</v>
          </cell>
          <cell r="O61">
            <v>0</v>
          </cell>
          <cell r="R61">
            <v>2</v>
          </cell>
          <cell r="T61">
            <v>3</v>
          </cell>
          <cell r="Y61" t="str">
            <v>Intake died, but good defense</v>
          </cell>
        </row>
        <row r="62">
          <cell r="A62" t="str">
            <v>SL</v>
          </cell>
          <cell r="D62">
            <v>12</v>
          </cell>
          <cell r="O62">
            <v>3.8</v>
          </cell>
          <cell r="R62">
            <v>2</v>
          </cell>
          <cell r="T62">
            <v>2</v>
          </cell>
          <cell r="Y62" t="str">
            <v xml:space="preserve">had an intake system that struggled to pick up notes </v>
          </cell>
        </row>
        <row r="63">
          <cell r="A63" t="str">
            <v>Ey</v>
          </cell>
          <cell r="D63">
            <v>20</v>
          </cell>
          <cell r="O63">
            <v>0</v>
          </cell>
          <cell r="R63" t="str">
            <v>x</v>
          </cell>
          <cell r="T63">
            <v>1</v>
          </cell>
          <cell r="Y63" t="str">
            <v>Tried to move but could only spin</v>
          </cell>
        </row>
        <row r="64">
          <cell r="A64" t="str">
            <v>SSC</v>
          </cell>
          <cell r="D64">
            <v>29</v>
          </cell>
          <cell r="O64">
            <v>0</v>
          </cell>
          <cell r="R64">
            <v>2</v>
          </cell>
          <cell r="T64">
            <v>3</v>
          </cell>
        </row>
        <row r="65">
          <cell r="A65" t="str">
            <v>SSC</v>
          </cell>
          <cell r="D65">
            <v>41</v>
          </cell>
          <cell r="O65">
            <v>0</v>
          </cell>
          <cell r="R65" t="str">
            <v>x</v>
          </cell>
          <cell r="T65">
            <v>3</v>
          </cell>
          <cell r="Y65" t="str">
            <v xml:space="preserve">Never moved </v>
          </cell>
        </row>
        <row r="66">
          <cell r="A66" t="str">
            <v>AG</v>
          </cell>
          <cell r="D66">
            <v>19</v>
          </cell>
          <cell r="O66">
            <v>5.9</v>
          </cell>
          <cell r="R66">
            <v>3</v>
          </cell>
          <cell r="T66">
            <v>4</v>
          </cell>
        </row>
        <row r="67">
          <cell r="A67" t="str">
            <v>JB</v>
          </cell>
          <cell r="D67">
            <v>21</v>
          </cell>
          <cell r="O67">
            <v>5.3</v>
          </cell>
          <cell r="R67">
            <v>2</v>
          </cell>
          <cell r="T67">
            <v>4</v>
          </cell>
          <cell r="Y67" t="str">
            <v>Not extremely impressive, but good</v>
          </cell>
        </row>
        <row r="68">
          <cell r="A68" t="str">
            <v>JB</v>
          </cell>
          <cell r="D68">
            <v>29</v>
          </cell>
          <cell r="O68">
            <v>6.1</v>
          </cell>
          <cell r="R68" t="str">
            <v>x</v>
          </cell>
          <cell r="T68">
            <v>4</v>
          </cell>
        </row>
        <row r="69">
          <cell r="A69" t="str">
            <v>KG</v>
          </cell>
          <cell r="D69">
            <v>1</v>
          </cell>
          <cell r="O69">
            <v>6.6</v>
          </cell>
          <cell r="R69">
            <v>2</v>
          </cell>
          <cell r="T69">
            <v>3</v>
          </cell>
          <cell r="Y69" t="str">
            <v>It seems as if it can shoot, but chose defense here</v>
          </cell>
        </row>
        <row r="70">
          <cell r="A70" t="str">
            <v>SSC</v>
          </cell>
          <cell r="D70">
            <v>10</v>
          </cell>
          <cell r="O70">
            <v>1</v>
          </cell>
          <cell r="R70">
            <v>3</v>
          </cell>
          <cell r="T70">
            <v>5</v>
          </cell>
          <cell r="Y70" t="str">
            <v>Good auto and driver skills</v>
          </cell>
        </row>
        <row r="71">
          <cell r="A71" t="str">
            <v>AOD</v>
          </cell>
          <cell r="D71">
            <v>40</v>
          </cell>
          <cell r="O71">
            <v>3.6</v>
          </cell>
          <cell r="R71">
            <v>3</v>
          </cell>
          <cell r="T71">
            <v>5</v>
          </cell>
          <cell r="Y71" t="str">
            <v>Very fast, but were able to avoid hitting other bots</v>
          </cell>
        </row>
        <row r="72">
          <cell r="A72" t="str">
            <v>Jm</v>
          </cell>
          <cell r="D72">
            <v>6</v>
          </cell>
          <cell r="O72">
            <v>0</v>
          </cell>
          <cell r="R72">
            <v>2</v>
          </cell>
          <cell r="T72">
            <v>4</v>
          </cell>
        </row>
        <row r="73">
          <cell r="A73" t="str">
            <v>AOD</v>
          </cell>
          <cell r="D73">
            <v>25</v>
          </cell>
          <cell r="O73">
            <v>0</v>
          </cell>
          <cell r="R73">
            <v>3</v>
          </cell>
          <cell r="T73">
            <v>5</v>
          </cell>
          <cell r="Y73" t="str">
            <v>Very efficient</v>
          </cell>
        </row>
        <row r="74">
          <cell r="A74" t="str">
            <v>SL</v>
          </cell>
          <cell r="D74">
            <v>17</v>
          </cell>
          <cell r="O74">
            <v>9.3000000000000007</v>
          </cell>
          <cell r="R74">
            <v>3</v>
          </cell>
          <cell r="T74">
            <v>3</v>
          </cell>
        </row>
        <row r="75">
          <cell r="A75" t="str">
            <v>SL</v>
          </cell>
          <cell r="D75">
            <v>10</v>
          </cell>
          <cell r="O75">
            <v>0</v>
          </cell>
          <cell r="R75">
            <v>3</v>
          </cell>
          <cell r="T75">
            <v>4</v>
          </cell>
        </row>
        <row r="76">
          <cell r="A76" t="str">
            <v>JB</v>
          </cell>
          <cell r="D76">
            <v>26</v>
          </cell>
          <cell r="O76">
            <v>0</v>
          </cell>
          <cell r="R76">
            <v>2</v>
          </cell>
          <cell r="T76">
            <v>5</v>
          </cell>
          <cell r="Y76" t="str">
            <v>Good robot, not great driving</v>
          </cell>
        </row>
        <row r="77">
          <cell r="A77" t="str">
            <v>SSC</v>
          </cell>
          <cell r="D77">
            <v>1</v>
          </cell>
          <cell r="O77">
            <v>0</v>
          </cell>
          <cell r="R77">
            <v>3</v>
          </cell>
          <cell r="T77">
            <v>4</v>
          </cell>
        </row>
        <row r="78">
          <cell r="A78" t="str">
            <v>KG</v>
          </cell>
          <cell r="D78">
            <v>41</v>
          </cell>
          <cell r="O78">
            <v>0</v>
          </cell>
          <cell r="R78" t="str">
            <v>x</v>
          </cell>
          <cell r="T78">
            <v>5</v>
          </cell>
          <cell r="Y78" t="str">
            <v>Died early in the parked area, but seemed to be good</v>
          </cell>
        </row>
        <row r="79">
          <cell r="A79" t="str">
            <v>IW</v>
          </cell>
          <cell r="D79">
            <v>9</v>
          </cell>
          <cell r="O79">
            <v>2.2000000000000002</v>
          </cell>
          <cell r="R79">
            <v>2</v>
          </cell>
          <cell r="T79">
            <v>4</v>
          </cell>
        </row>
        <row r="80">
          <cell r="A80" t="str">
            <v>AG</v>
          </cell>
          <cell r="D80">
            <v>18</v>
          </cell>
          <cell r="O80">
            <v>0</v>
          </cell>
          <cell r="R80">
            <v>2</v>
          </cell>
          <cell r="T80">
            <v>4</v>
          </cell>
          <cell r="Y80" t="str">
            <v>Doing very well before the robot died</v>
          </cell>
        </row>
        <row r="81">
          <cell r="A81" t="str">
            <v>KG</v>
          </cell>
          <cell r="D81">
            <v>18</v>
          </cell>
          <cell r="O81">
            <v>0</v>
          </cell>
          <cell r="R81" t="str">
            <v>x</v>
          </cell>
          <cell r="T81">
            <v>3</v>
          </cell>
          <cell r="Y81" t="str">
            <v>Died halfway through match</v>
          </cell>
        </row>
        <row r="82">
          <cell r="A82" t="str">
            <v>SSC</v>
          </cell>
          <cell r="D82">
            <v>2</v>
          </cell>
          <cell r="O82">
            <v>0</v>
          </cell>
          <cell r="R82">
            <v>3</v>
          </cell>
          <cell r="T82">
            <v>4</v>
          </cell>
          <cell r="Y82" t="str">
            <v xml:space="preserve">Great driver </v>
          </cell>
        </row>
        <row r="83">
          <cell r="A83" t="str">
            <v>SL</v>
          </cell>
          <cell r="D83">
            <v>35</v>
          </cell>
          <cell r="O83">
            <v>9.1</v>
          </cell>
          <cell r="R83">
            <v>3</v>
          </cell>
          <cell r="T83">
            <v>3</v>
          </cell>
        </row>
        <row r="84">
          <cell r="A84" t="str">
            <v>AOD</v>
          </cell>
          <cell r="D84">
            <v>26</v>
          </cell>
          <cell r="O84">
            <v>3.2</v>
          </cell>
          <cell r="R84">
            <v>2</v>
          </cell>
          <cell r="T84">
            <v>3</v>
          </cell>
          <cell r="Y84" t="str">
            <v>Tended to take a while to score in the speaker</v>
          </cell>
        </row>
        <row r="85">
          <cell r="A85" t="str">
            <v>KG</v>
          </cell>
          <cell r="D85">
            <v>43</v>
          </cell>
          <cell r="O85">
            <v>10</v>
          </cell>
          <cell r="R85">
            <v>2</v>
          </cell>
          <cell r="T85">
            <v>4</v>
          </cell>
        </row>
        <row r="86">
          <cell r="A86" t="str">
            <v>JB</v>
          </cell>
          <cell r="D86">
            <v>50</v>
          </cell>
          <cell r="O86">
            <v>0</v>
          </cell>
          <cell r="R86">
            <v>2</v>
          </cell>
          <cell r="T86">
            <v>3</v>
          </cell>
          <cell r="Y86" t="str">
            <v>Good</v>
          </cell>
        </row>
        <row r="87">
          <cell r="A87" t="str">
            <v>KG</v>
          </cell>
          <cell r="D87">
            <v>14</v>
          </cell>
          <cell r="O87">
            <v>0</v>
          </cell>
          <cell r="R87" t="str">
            <v>x</v>
          </cell>
          <cell r="T87">
            <v>1</v>
          </cell>
          <cell r="Y87" t="str">
            <v>Never moved</v>
          </cell>
        </row>
        <row r="88">
          <cell r="A88" t="str">
            <v>AOD</v>
          </cell>
          <cell r="D88">
            <v>22</v>
          </cell>
          <cell r="O88">
            <v>0</v>
          </cell>
          <cell r="R88">
            <v>3</v>
          </cell>
          <cell r="T88">
            <v>5</v>
          </cell>
          <cell r="Y88" t="str">
            <v>Very effective offense player</v>
          </cell>
        </row>
        <row r="89">
          <cell r="A89" t="str">
            <v>AOD</v>
          </cell>
          <cell r="D89">
            <v>6</v>
          </cell>
          <cell r="O89">
            <v>0</v>
          </cell>
          <cell r="R89">
            <v>2</v>
          </cell>
          <cell r="T89">
            <v>5</v>
          </cell>
          <cell r="Y89" t="str">
            <v>Fast but misses the speaker on occasion</v>
          </cell>
        </row>
        <row r="90">
          <cell r="A90" t="str">
            <v>JB</v>
          </cell>
          <cell r="D90">
            <v>3</v>
          </cell>
          <cell r="O90">
            <v>0</v>
          </cell>
          <cell r="R90">
            <v>3</v>
          </cell>
          <cell r="T90">
            <v>5</v>
          </cell>
          <cell r="Y90" t="str">
            <v xml:space="preserve">Crazy good </v>
          </cell>
        </row>
        <row r="91">
          <cell r="A91" t="str">
            <v>SL</v>
          </cell>
          <cell r="D91">
            <v>11</v>
          </cell>
          <cell r="O91">
            <v>15.9</v>
          </cell>
          <cell r="R91">
            <v>3</v>
          </cell>
          <cell r="T91">
            <v>5</v>
          </cell>
          <cell r="Y91" t="str">
            <v>helped alliance by shooting middle notes to their side</v>
          </cell>
        </row>
        <row r="92">
          <cell r="A92" t="str">
            <v>SSC</v>
          </cell>
          <cell r="D92">
            <v>37</v>
          </cell>
          <cell r="O92">
            <v>0</v>
          </cell>
          <cell r="R92">
            <v>3</v>
          </cell>
          <cell r="T92">
            <v>5</v>
          </cell>
          <cell r="Y92" t="str">
            <v>Speed demon</v>
          </cell>
        </row>
        <row r="93">
          <cell r="A93" t="str">
            <v>AOD</v>
          </cell>
          <cell r="D93">
            <v>57</v>
          </cell>
          <cell r="O93">
            <v>3.6</v>
          </cell>
          <cell r="R93">
            <v>3</v>
          </cell>
          <cell r="T93">
            <v>5</v>
          </cell>
          <cell r="Y93" t="str">
            <v>Did well with every aspect of the game</v>
          </cell>
        </row>
        <row r="94">
          <cell r="A94" t="str">
            <v>AOD</v>
          </cell>
          <cell r="D94">
            <v>51</v>
          </cell>
          <cell r="O94">
            <v>0</v>
          </cell>
          <cell r="R94">
            <v>3</v>
          </cell>
          <cell r="T94">
            <v>4</v>
          </cell>
          <cell r="Y94" t="str">
            <v>Good support (also really accurate and fast)</v>
          </cell>
        </row>
        <row r="95">
          <cell r="A95" t="str">
            <v>Jm</v>
          </cell>
          <cell r="D95">
            <v>43</v>
          </cell>
          <cell r="O95">
            <v>0</v>
          </cell>
          <cell r="R95">
            <v>3</v>
          </cell>
          <cell r="T95">
            <v>5</v>
          </cell>
          <cell r="Y95" t="str">
            <v>Good support</v>
          </cell>
        </row>
        <row r="96">
          <cell r="A96" t="str">
            <v>IW</v>
          </cell>
          <cell r="D96">
            <v>15</v>
          </cell>
          <cell r="O96">
            <v>0</v>
          </cell>
          <cell r="R96">
            <v>2</v>
          </cell>
          <cell r="T96">
            <v>4</v>
          </cell>
        </row>
        <row r="97">
          <cell r="A97" t="str">
            <v>KG</v>
          </cell>
          <cell r="D97">
            <v>25</v>
          </cell>
          <cell r="O97">
            <v>0</v>
          </cell>
          <cell r="R97">
            <v>3</v>
          </cell>
          <cell r="T97">
            <v>4</v>
          </cell>
        </row>
        <row r="98">
          <cell r="A98" t="str">
            <v>Ey</v>
          </cell>
          <cell r="D98">
            <v>16</v>
          </cell>
          <cell r="O98">
            <v>0</v>
          </cell>
          <cell r="R98">
            <v>3</v>
          </cell>
          <cell r="T98">
            <v>4</v>
          </cell>
          <cell r="Y98" t="str">
            <v>Even though die it scored fast</v>
          </cell>
        </row>
        <row r="99">
          <cell r="A99" t="str">
            <v>AOD</v>
          </cell>
          <cell r="D99">
            <v>9</v>
          </cell>
          <cell r="O99">
            <v>0</v>
          </cell>
          <cell r="R99">
            <v>3</v>
          </cell>
          <cell r="T99">
            <v>4</v>
          </cell>
          <cell r="Y99" t="str">
            <v>Incredible offense.</v>
          </cell>
        </row>
        <row r="100">
          <cell r="A100" t="str">
            <v>JB</v>
          </cell>
          <cell r="D100">
            <v>34</v>
          </cell>
          <cell r="O100">
            <v>16.600000000000001</v>
          </cell>
          <cell r="R100">
            <v>2</v>
          </cell>
          <cell r="T100">
            <v>4</v>
          </cell>
          <cell r="Y100" t="str">
            <v>Good, amp scoring not working</v>
          </cell>
        </row>
        <row r="101">
          <cell r="A101" t="str">
            <v>AOD</v>
          </cell>
          <cell r="D101">
            <v>25</v>
          </cell>
          <cell r="O101">
            <v>3.6</v>
          </cell>
          <cell r="R101">
            <v>3</v>
          </cell>
          <cell r="T101">
            <v>4</v>
          </cell>
          <cell r="Y101" t="str">
            <v>Fast and accurate</v>
          </cell>
        </row>
        <row r="102">
          <cell r="A102" t="str">
            <v>JB</v>
          </cell>
          <cell r="D102">
            <v>57</v>
          </cell>
          <cell r="O102">
            <v>9.8000000000000007</v>
          </cell>
          <cell r="R102">
            <v>3</v>
          </cell>
          <cell r="T102">
            <v>5</v>
          </cell>
          <cell r="Y102" t="str">
            <v>Fast, efficient scorer</v>
          </cell>
        </row>
        <row r="103">
          <cell r="A103" t="str">
            <v>SL</v>
          </cell>
          <cell r="D103">
            <v>44</v>
          </cell>
          <cell r="O103">
            <v>0</v>
          </cell>
          <cell r="R103">
            <v>3</v>
          </cell>
          <cell r="T103">
            <v>4</v>
          </cell>
        </row>
        <row r="104">
          <cell r="A104" t="str">
            <v>SL</v>
          </cell>
          <cell r="D104">
            <v>50</v>
          </cell>
          <cell r="O104">
            <v>17.3</v>
          </cell>
          <cell r="R104">
            <v>3</v>
          </cell>
          <cell r="T104">
            <v>4</v>
          </cell>
        </row>
        <row r="105">
          <cell r="A105" t="str">
            <v>KG</v>
          </cell>
          <cell r="D105">
            <v>11</v>
          </cell>
          <cell r="O105">
            <v>0</v>
          </cell>
          <cell r="R105">
            <v>2</v>
          </cell>
          <cell r="T105">
            <v>2</v>
          </cell>
        </row>
        <row r="106">
          <cell r="A106" t="str">
            <v>Jm</v>
          </cell>
          <cell r="D106">
            <v>5</v>
          </cell>
          <cell r="O106">
            <v>0</v>
          </cell>
          <cell r="R106">
            <v>1</v>
          </cell>
          <cell r="T106">
            <v>2</v>
          </cell>
          <cell r="Y106" t="str">
            <v>Shot 3 times and didn't make one</v>
          </cell>
        </row>
        <row r="107">
          <cell r="A107" t="str">
            <v>AOD</v>
          </cell>
          <cell r="D107">
            <v>21</v>
          </cell>
          <cell r="O107">
            <v>0</v>
          </cell>
          <cell r="R107">
            <v>1</v>
          </cell>
          <cell r="T107">
            <v>3</v>
          </cell>
        </row>
        <row r="108">
          <cell r="A108" t="str">
            <v>AOD</v>
          </cell>
          <cell r="D108">
            <v>20</v>
          </cell>
          <cell r="O108">
            <v>0</v>
          </cell>
          <cell r="R108">
            <v>2</v>
          </cell>
          <cell r="T108">
            <v>3</v>
          </cell>
          <cell r="Y108" t="str">
            <v>Would probably be a good teammate</v>
          </cell>
        </row>
        <row r="109">
          <cell r="A109" t="str">
            <v>AOD</v>
          </cell>
          <cell r="D109">
            <v>2</v>
          </cell>
          <cell r="O109">
            <v>0</v>
          </cell>
          <cell r="R109">
            <v>1</v>
          </cell>
          <cell r="T109">
            <v>3</v>
          </cell>
          <cell r="Y109" t="str">
            <v>Slow, 'Blocky' movement</v>
          </cell>
        </row>
        <row r="110">
          <cell r="A110" t="str">
            <v>TO</v>
          </cell>
          <cell r="D110">
            <v>33</v>
          </cell>
          <cell r="O110">
            <v>0</v>
          </cell>
          <cell r="R110">
            <v>2</v>
          </cell>
          <cell r="T110">
            <v>3</v>
          </cell>
        </row>
        <row r="111">
          <cell r="A111" t="str">
            <v>Jm</v>
          </cell>
          <cell r="D111">
            <v>20</v>
          </cell>
          <cell r="O111">
            <v>0</v>
          </cell>
          <cell r="R111">
            <v>2</v>
          </cell>
          <cell r="T111">
            <v>3</v>
          </cell>
        </row>
        <row r="112">
          <cell r="A112" t="str">
            <v>Jm</v>
          </cell>
          <cell r="D112">
            <v>11</v>
          </cell>
          <cell r="O112">
            <v>0</v>
          </cell>
          <cell r="R112">
            <v>3</v>
          </cell>
          <cell r="T112">
            <v>4</v>
          </cell>
        </row>
        <row r="113">
          <cell r="A113" t="str">
            <v>JB</v>
          </cell>
          <cell r="D113">
            <v>44</v>
          </cell>
          <cell r="O113">
            <v>0</v>
          </cell>
          <cell r="R113">
            <v>2</v>
          </cell>
          <cell r="T113">
            <v>2</v>
          </cell>
          <cell r="Y113" t="str">
            <v xml:space="preserve">Okay </v>
          </cell>
        </row>
        <row r="114">
          <cell r="A114" t="str">
            <v>IW</v>
          </cell>
          <cell r="D114">
            <v>7</v>
          </cell>
          <cell r="O114">
            <v>0</v>
          </cell>
          <cell r="R114" t="str">
            <v>x</v>
          </cell>
          <cell r="T114">
            <v>1</v>
          </cell>
          <cell r="Y114" t="str">
            <v>Stationary entire match</v>
          </cell>
        </row>
        <row r="115">
          <cell r="A115" t="str">
            <v>KG</v>
          </cell>
          <cell r="D115">
            <v>15</v>
          </cell>
          <cell r="O115">
            <v>8.6</v>
          </cell>
          <cell r="R115">
            <v>2</v>
          </cell>
          <cell r="T115">
            <v>3</v>
          </cell>
        </row>
        <row r="116">
          <cell r="A116" t="str">
            <v>AG</v>
          </cell>
          <cell r="D116">
            <v>20</v>
          </cell>
          <cell r="O116">
            <v>4.5</v>
          </cell>
          <cell r="R116">
            <v>2</v>
          </cell>
          <cell r="T116">
            <v>3</v>
          </cell>
        </row>
        <row r="117">
          <cell r="A117" t="str">
            <v>JG</v>
          </cell>
          <cell r="D117">
            <v>25</v>
          </cell>
          <cell r="O117">
            <v>4.8</v>
          </cell>
          <cell r="R117">
            <v>3</v>
          </cell>
          <cell r="T117">
            <v>3</v>
          </cell>
        </row>
        <row r="118">
          <cell r="A118" t="str">
            <v>Ey</v>
          </cell>
          <cell r="D118">
            <v>19</v>
          </cell>
          <cell r="O118">
            <v>0</v>
          </cell>
          <cell r="R118" t="str">
            <v>x</v>
          </cell>
          <cell r="T118">
            <v>3</v>
          </cell>
          <cell r="Y118" t="str">
            <v>Great amp thingy</v>
          </cell>
        </row>
        <row r="119">
          <cell r="A119" t="str">
            <v>SSC</v>
          </cell>
          <cell r="D119">
            <v>35</v>
          </cell>
          <cell r="O119">
            <v>2</v>
          </cell>
          <cell r="R119">
            <v>3</v>
          </cell>
          <cell r="T119">
            <v>4</v>
          </cell>
          <cell r="Y119" t="str">
            <v>Speedy Amp bot, good driver</v>
          </cell>
        </row>
        <row r="120">
          <cell r="A120" t="str">
            <v>KG</v>
          </cell>
          <cell r="D120">
            <v>52</v>
          </cell>
          <cell r="O120">
            <v>2.6</v>
          </cell>
          <cell r="R120">
            <v>3</v>
          </cell>
          <cell r="T120">
            <v>4</v>
          </cell>
        </row>
        <row r="121">
          <cell r="A121" t="str">
            <v>SL</v>
          </cell>
          <cell r="D121">
            <v>41</v>
          </cell>
          <cell r="O121">
            <v>0</v>
          </cell>
          <cell r="R121" t="str">
            <v>x</v>
          </cell>
          <cell r="T121">
            <v>3</v>
          </cell>
        </row>
        <row r="122">
          <cell r="A122" t="str">
            <v>KG</v>
          </cell>
          <cell r="D122">
            <v>17</v>
          </cell>
          <cell r="O122">
            <v>20.6</v>
          </cell>
          <cell r="R122">
            <v>2</v>
          </cell>
          <cell r="T122">
            <v>2</v>
          </cell>
        </row>
        <row r="123">
          <cell r="A123" t="str">
            <v>Jm</v>
          </cell>
          <cell r="D123">
            <v>8</v>
          </cell>
          <cell r="O123">
            <v>0</v>
          </cell>
          <cell r="R123" t="str">
            <v>x</v>
          </cell>
          <cell r="T123">
            <v>3</v>
          </cell>
        </row>
        <row r="124">
          <cell r="A124" t="str">
            <v>SL</v>
          </cell>
          <cell r="D124">
            <v>17</v>
          </cell>
          <cell r="O124">
            <v>12.3</v>
          </cell>
          <cell r="R124">
            <v>3</v>
          </cell>
          <cell r="T124">
            <v>4</v>
          </cell>
        </row>
        <row r="125">
          <cell r="A125" t="str">
            <v>Jm</v>
          </cell>
          <cell r="D125">
            <v>9</v>
          </cell>
          <cell r="O125">
            <v>2.2999999999999998</v>
          </cell>
          <cell r="R125">
            <v>1</v>
          </cell>
          <cell r="T125">
            <v>2</v>
          </cell>
        </row>
        <row r="126">
          <cell r="A126" t="str">
            <v>JB</v>
          </cell>
          <cell r="D126">
            <v>55</v>
          </cell>
          <cell r="O126">
            <v>3.8</v>
          </cell>
          <cell r="R126">
            <v>2</v>
          </cell>
          <cell r="T126">
            <v>4</v>
          </cell>
          <cell r="Y126" t="str">
            <v>Amp</v>
          </cell>
        </row>
        <row r="127">
          <cell r="A127" t="str">
            <v>SL</v>
          </cell>
          <cell r="D127">
            <v>38</v>
          </cell>
          <cell r="O127">
            <v>5.6</v>
          </cell>
          <cell r="R127">
            <v>3</v>
          </cell>
          <cell r="T127">
            <v>3</v>
          </cell>
          <cell r="Y127" t="str">
            <v>got stuck on the stage for a little while</v>
          </cell>
        </row>
        <row r="128">
          <cell r="A128" t="str">
            <v>AOD</v>
          </cell>
          <cell r="D128">
            <v>10</v>
          </cell>
          <cell r="O128">
            <v>0</v>
          </cell>
          <cell r="R128" t="str">
            <v>x</v>
          </cell>
          <cell r="T128">
            <v>1</v>
          </cell>
          <cell r="Y128" t="str">
            <v>Never moved at all</v>
          </cell>
        </row>
        <row r="129">
          <cell r="A129" t="str">
            <v>SL</v>
          </cell>
          <cell r="D129">
            <v>19</v>
          </cell>
          <cell r="O129">
            <v>9</v>
          </cell>
          <cell r="R129">
            <v>1</v>
          </cell>
          <cell r="T129">
            <v>1</v>
          </cell>
          <cell r="Y129" t="str">
            <v>moved around randomly, having issues picking up notes</v>
          </cell>
        </row>
        <row r="130">
          <cell r="A130" t="str">
            <v>JB</v>
          </cell>
          <cell r="D130">
            <v>2</v>
          </cell>
          <cell r="O130">
            <v>0</v>
          </cell>
          <cell r="R130">
            <v>2</v>
          </cell>
          <cell r="T130">
            <v>3</v>
          </cell>
          <cell r="Y130" t="str">
            <v>Trouble with scoring, but otherwise good</v>
          </cell>
        </row>
        <row r="131">
          <cell r="A131" t="str">
            <v>JB</v>
          </cell>
          <cell r="D131">
            <v>10</v>
          </cell>
          <cell r="O131">
            <v>0</v>
          </cell>
          <cell r="R131">
            <v>2</v>
          </cell>
          <cell r="T131">
            <v>4</v>
          </cell>
          <cell r="Y131" t="str">
            <v>Dead for half the match</v>
          </cell>
        </row>
        <row r="132">
          <cell r="A132" t="str">
            <v>SSC</v>
          </cell>
          <cell r="D132">
            <v>31</v>
          </cell>
          <cell r="O132">
            <v>0</v>
          </cell>
          <cell r="R132">
            <v>1</v>
          </cell>
          <cell r="T132">
            <v>3</v>
          </cell>
        </row>
        <row r="133">
          <cell r="A133" t="str">
            <v>KG</v>
          </cell>
          <cell r="D133">
            <v>47</v>
          </cell>
          <cell r="O133">
            <v>4.0999999999999996</v>
          </cell>
          <cell r="R133" t="str">
            <v>x</v>
          </cell>
          <cell r="T133">
            <v>3</v>
          </cell>
        </row>
        <row r="134">
          <cell r="A134" t="str">
            <v>SL</v>
          </cell>
          <cell r="D134">
            <v>57</v>
          </cell>
          <cell r="O134">
            <v>9.1999999999999993</v>
          </cell>
          <cell r="R134">
            <v>3</v>
          </cell>
          <cell r="T134">
            <v>5</v>
          </cell>
        </row>
        <row r="135">
          <cell r="A135" t="str">
            <v>KG</v>
          </cell>
          <cell r="D135">
            <v>21</v>
          </cell>
          <cell r="O135">
            <v>17.899999999999999</v>
          </cell>
          <cell r="R135" t="str">
            <v>x</v>
          </cell>
          <cell r="T135">
            <v>3</v>
          </cell>
          <cell r="Y135" t="str">
            <v>They crashed straight into stage during auto</v>
          </cell>
        </row>
        <row r="136">
          <cell r="A136" t="str">
            <v>JB</v>
          </cell>
          <cell r="D136">
            <v>8</v>
          </cell>
          <cell r="O136">
            <v>0</v>
          </cell>
          <cell r="R136">
            <v>2</v>
          </cell>
          <cell r="T136">
            <v>3</v>
          </cell>
          <cell r="Y136" t="str">
            <v>Reliable scorer, no amp</v>
          </cell>
        </row>
        <row r="137">
          <cell r="A137" t="str">
            <v>SSC</v>
          </cell>
          <cell r="D137">
            <v>26</v>
          </cell>
          <cell r="O137">
            <v>0</v>
          </cell>
          <cell r="R137">
            <v>1</v>
          </cell>
          <cell r="T137">
            <v>2</v>
          </cell>
        </row>
        <row r="138">
          <cell r="A138" t="str">
            <v>AOD</v>
          </cell>
          <cell r="D138">
            <v>54</v>
          </cell>
          <cell r="O138">
            <v>6.6</v>
          </cell>
          <cell r="R138">
            <v>2</v>
          </cell>
          <cell r="T138">
            <v>4</v>
          </cell>
          <cell r="Y138" t="str">
            <v>Had a good auto and worked well with others</v>
          </cell>
        </row>
        <row r="139">
          <cell r="A139" t="str">
            <v>AOD</v>
          </cell>
          <cell r="D139">
            <v>46</v>
          </cell>
          <cell r="O139">
            <v>12.7</v>
          </cell>
          <cell r="R139">
            <v>2</v>
          </cell>
          <cell r="T139">
            <v>3</v>
          </cell>
          <cell r="Y139" t="str">
            <v>Good at scoring speaker and climbing</v>
          </cell>
        </row>
        <row r="140">
          <cell r="A140" t="str">
            <v>JB</v>
          </cell>
          <cell r="D140">
            <v>61</v>
          </cell>
          <cell r="O140">
            <v>0</v>
          </cell>
          <cell r="R140">
            <v>1</v>
          </cell>
          <cell r="T140">
            <v>4</v>
          </cell>
          <cell r="Y140" t="str">
            <v>Seemed to struggle scoring</v>
          </cell>
        </row>
        <row r="141">
          <cell r="A141" t="str">
            <v>IW</v>
          </cell>
          <cell r="D141">
            <v>10</v>
          </cell>
          <cell r="O141">
            <v>0</v>
          </cell>
          <cell r="R141">
            <v>1</v>
          </cell>
          <cell r="T141">
            <v>2</v>
          </cell>
        </row>
        <row r="142">
          <cell r="A142" t="str">
            <v>KG</v>
          </cell>
          <cell r="D142">
            <v>20</v>
          </cell>
          <cell r="O142">
            <v>0</v>
          </cell>
          <cell r="R142" t="str">
            <v>x</v>
          </cell>
          <cell r="T142">
            <v>3</v>
          </cell>
          <cell r="Y142" t="str">
            <v>They tended to do wheelies whenever they moved</v>
          </cell>
        </row>
        <row r="143">
          <cell r="A143" t="str">
            <v>JB</v>
          </cell>
          <cell r="D143">
            <v>12</v>
          </cell>
          <cell r="O143">
            <v>0</v>
          </cell>
          <cell r="R143" t="str">
            <v>x</v>
          </cell>
          <cell r="T143">
            <v>3</v>
          </cell>
          <cell r="Y143" t="str">
            <v>Shooter broke at start</v>
          </cell>
        </row>
        <row r="144">
          <cell r="A144" t="str">
            <v>Jm</v>
          </cell>
          <cell r="D144">
            <v>3</v>
          </cell>
          <cell r="O144">
            <v>0</v>
          </cell>
          <cell r="R144" t="str">
            <v>x</v>
          </cell>
          <cell r="T144">
            <v>1</v>
          </cell>
          <cell r="Y144" t="str">
            <v xml:space="preserve">It's was bugging out </v>
          </cell>
        </row>
        <row r="145">
          <cell r="A145" t="str">
            <v>Mb</v>
          </cell>
          <cell r="D145">
            <v>40</v>
          </cell>
          <cell r="O145">
            <v>0</v>
          </cell>
          <cell r="R145">
            <v>2</v>
          </cell>
          <cell r="T145">
            <v>2</v>
          </cell>
        </row>
        <row r="146">
          <cell r="A146" t="str">
            <v>AG</v>
          </cell>
          <cell r="D146">
            <v>21</v>
          </cell>
          <cell r="O146">
            <v>0</v>
          </cell>
          <cell r="R146">
            <v>3</v>
          </cell>
          <cell r="T146">
            <v>4</v>
          </cell>
          <cell r="Y146" t="str">
            <v>Very efficient in scoring in speaker and amp</v>
          </cell>
        </row>
        <row r="147">
          <cell r="A147" t="str">
            <v>AOD</v>
          </cell>
          <cell r="D147">
            <v>6</v>
          </cell>
          <cell r="O147">
            <v>0</v>
          </cell>
          <cell r="R147">
            <v>3</v>
          </cell>
          <cell r="T147">
            <v>5</v>
          </cell>
          <cell r="Y147" t="str">
            <v>Fast, scored lots of notes, and rarely hit other bots.</v>
          </cell>
        </row>
        <row r="148">
          <cell r="A148" t="str">
            <v>AOD</v>
          </cell>
          <cell r="D148">
            <v>12</v>
          </cell>
          <cell r="O148">
            <v>3.6</v>
          </cell>
          <cell r="R148">
            <v>2</v>
          </cell>
          <cell r="T148">
            <v>4</v>
          </cell>
        </row>
        <row r="149">
          <cell r="A149" t="str">
            <v>KG</v>
          </cell>
          <cell r="D149">
            <v>21</v>
          </cell>
          <cell r="O149">
            <v>2.1</v>
          </cell>
          <cell r="R149">
            <v>3</v>
          </cell>
          <cell r="T149">
            <v>4</v>
          </cell>
        </row>
        <row r="150">
          <cell r="A150" t="str">
            <v>SL</v>
          </cell>
          <cell r="D150">
            <v>31</v>
          </cell>
          <cell r="O150">
            <v>12.3</v>
          </cell>
          <cell r="R150">
            <v>3</v>
          </cell>
          <cell r="T150">
            <v>5</v>
          </cell>
        </row>
        <row r="151">
          <cell r="A151" t="str">
            <v>SL</v>
          </cell>
          <cell r="D151">
            <v>61</v>
          </cell>
          <cell r="O151">
            <v>11</v>
          </cell>
          <cell r="R151">
            <v>3</v>
          </cell>
          <cell r="T151">
            <v>3</v>
          </cell>
        </row>
        <row r="152">
          <cell r="A152" t="str">
            <v>Jm</v>
          </cell>
          <cell r="D152">
            <v>41</v>
          </cell>
          <cell r="O152">
            <v>0</v>
          </cell>
          <cell r="R152">
            <v>2</v>
          </cell>
          <cell r="T152">
            <v>4</v>
          </cell>
        </row>
        <row r="153">
          <cell r="A153" t="str">
            <v>IW</v>
          </cell>
          <cell r="D153">
            <v>11</v>
          </cell>
          <cell r="O153">
            <v>3.7</v>
          </cell>
          <cell r="R153" t="str">
            <v>x</v>
          </cell>
          <cell r="T153">
            <v>3</v>
          </cell>
        </row>
        <row r="154">
          <cell r="A154" t="str">
            <v>KG</v>
          </cell>
          <cell r="D154">
            <v>19</v>
          </cell>
          <cell r="O154">
            <v>7.2</v>
          </cell>
          <cell r="R154">
            <v>2</v>
          </cell>
          <cell r="T154">
            <v>4</v>
          </cell>
        </row>
        <row r="155">
          <cell r="A155" t="str">
            <v>SL</v>
          </cell>
          <cell r="D155">
            <v>5</v>
          </cell>
          <cell r="O155">
            <v>0</v>
          </cell>
          <cell r="R155">
            <v>2</v>
          </cell>
          <cell r="T155">
            <v>2</v>
          </cell>
          <cell r="Y155" t="str">
            <v>hard to see, probably would need to get extra info</v>
          </cell>
        </row>
        <row r="156">
          <cell r="A156" t="str">
            <v>JB</v>
          </cell>
          <cell r="D156">
            <v>13</v>
          </cell>
          <cell r="O156">
            <v>0</v>
          </cell>
          <cell r="R156">
            <v>2</v>
          </cell>
          <cell r="T156">
            <v>4</v>
          </cell>
          <cell r="Y156" t="str">
            <v>Did good, but got penalized for defense</v>
          </cell>
        </row>
        <row r="157">
          <cell r="A157" t="str">
            <v>KG</v>
          </cell>
          <cell r="D157">
            <v>7</v>
          </cell>
          <cell r="O157">
            <v>8.4</v>
          </cell>
          <cell r="R157">
            <v>3</v>
          </cell>
          <cell r="T157">
            <v>4</v>
          </cell>
        </row>
        <row r="158">
          <cell r="A158" t="str">
            <v>JB</v>
          </cell>
          <cell r="D158">
            <v>62</v>
          </cell>
          <cell r="O158">
            <v>7.7</v>
          </cell>
          <cell r="R158">
            <v>3</v>
          </cell>
          <cell r="T158">
            <v>4</v>
          </cell>
          <cell r="Y158" t="str">
            <v>Good at scoring in amp</v>
          </cell>
        </row>
        <row r="159">
          <cell r="A159" t="str">
            <v>SSC</v>
          </cell>
          <cell r="D159">
            <v>38</v>
          </cell>
          <cell r="O159">
            <v>0</v>
          </cell>
          <cell r="R159">
            <v>2</v>
          </cell>
          <cell r="T159">
            <v>2</v>
          </cell>
          <cell r="Y159" t="str">
            <v>Not very good at anything</v>
          </cell>
        </row>
        <row r="160">
          <cell r="A160" t="str">
            <v>KG</v>
          </cell>
          <cell r="D160">
            <v>26</v>
          </cell>
          <cell r="O160">
            <v>27.1</v>
          </cell>
          <cell r="R160" t="str">
            <v>x</v>
          </cell>
          <cell r="T160">
            <v>3</v>
          </cell>
          <cell r="Y160" t="str">
            <v>Missed multiple shots</v>
          </cell>
        </row>
        <row r="161">
          <cell r="A161" t="str">
            <v>SSC</v>
          </cell>
          <cell r="D161">
            <v>17</v>
          </cell>
          <cell r="O161">
            <v>1.7</v>
          </cell>
          <cell r="R161">
            <v>2</v>
          </cell>
          <cell r="T161">
            <v>3</v>
          </cell>
        </row>
        <row r="162">
          <cell r="A162" t="str">
            <v>Ey</v>
          </cell>
          <cell r="D162">
            <v>17</v>
          </cell>
          <cell r="O162">
            <v>0</v>
          </cell>
          <cell r="R162">
            <v>2</v>
          </cell>
          <cell r="T162">
            <v>3</v>
          </cell>
          <cell r="Y162" t="str">
            <v>They did nothing in auto but good shooting and avoiding</v>
          </cell>
        </row>
        <row r="163">
          <cell r="A163" t="str">
            <v>JB</v>
          </cell>
          <cell r="D163">
            <v>32</v>
          </cell>
          <cell r="O163">
            <v>3.9</v>
          </cell>
          <cell r="R163">
            <v>3</v>
          </cell>
          <cell r="T163">
            <v>4</v>
          </cell>
          <cell r="Y163" t="str">
            <v>Amazing amp scorer</v>
          </cell>
        </row>
        <row r="164">
          <cell r="A164" t="str">
            <v>KG</v>
          </cell>
          <cell r="D164">
            <v>59</v>
          </cell>
          <cell r="O164">
            <v>2.1</v>
          </cell>
          <cell r="R164">
            <v>2</v>
          </cell>
          <cell r="T164">
            <v>3</v>
          </cell>
        </row>
        <row r="165">
          <cell r="A165" t="str">
            <v>Jm</v>
          </cell>
          <cell r="D165">
            <v>42</v>
          </cell>
          <cell r="O165">
            <v>0</v>
          </cell>
          <cell r="R165">
            <v>1</v>
          </cell>
          <cell r="T165">
            <v>2</v>
          </cell>
        </row>
        <row r="166">
          <cell r="A166" t="str">
            <v>Jm</v>
          </cell>
          <cell r="D166">
            <v>7</v>
          </cell>
          <cell r="O166">
            <v>0</v>
          </cell>
          <cell r="R166">
            <v>2</v>
          </cell>
          <cell r="T166">
            <v>3</v>
          </cell>
        </row>
        <row r="167">
          <cell r="A167" t="str">
            <v>AOD</v>
          </cell>
          <cell r="D167">
            <v>19</v>
          </cell>
          <cell r="O167">
            <v>0</v>
          </cell>
          <cell r="R167">
            <v>2</v>
          </cell>
          <cell r="T167">
            <v>3</v>
          </cell>
          <cell r="Y167" t="str">
            <v>Decent support but not the best defense.</v>
          </cell>
        </row>
        <row r="168">
          <cell r="A168" t="str">
            <v>Jm</v>
          </cell>
          <cell r="D168">
            <v>19</v>
          </cell>
          <cell r="O168">
            <v>0</v>
          </cell>
          <cell r="R168">
            <v>2</v>
          </cell>
          <cell r="T168">
            <v>3</v>
          </cell>
        </row>
        <row r="169">
          <cell r="A169" t="str">
            <v>SSC</v>
          </cell>
          <cell r="D169">
            <v>27</v>
          </cell>
          <cell r="O169">
            <v>0</v>
          </cell>
          <cell r="R169">
            <v>1</v>
          </cell>
          <cell r="T169">
            <v>3</v>
          </cell>
        </row>
        <row r="170">
          <cell r="A170" t="str">
            <v>AOD</v>
          </cell>
          <cell r="D170">
            <v>42</v>
          </cell>
          <cell r="O170">
            <v>2.6</v>
          </cell>
          <cell r="R170">
            <v>2</v>
          </cell>
          <cell r="T170">
            <v>2</v>
          </cell>
          <cell r="Y170" t="str">
            <v>Good support, focusing on the amp</v>
          </cell>
        </row>
        <row r="171">
          <cell r="A171" t="str">
            <v>JB</v>
          </cell>
          <cell r="D171">
            <v>51</v>
          </cell>
          <cell r="O171">
            <v>12.3</v>
          </cell>
          <cell r="R171">
            <v>1</v>
          </cell>
          <cell r="T171">
            <v>3</v>
          </cell>
          <cell r="Y171" t="str">
            <v>slow intaking and shooting</v>
          </cell>
        </row>
        <row r="172">
          <cell r="A172" t="str">
            <v>IW</v>
          </cell>
          <cell r="D172">
            <v>57</v>
          </cell>
          <cell r="O172">
            <v>8.5</v>
          </cell>
          <cell r="R172">
            <v>1</v>
          </cell>
          <cell r="T172">
            <v>2</v>
          </cell>
        </row>
        <row r="173">
          <cell r="A173" t="str">
            <v>SL</v>
          </cell>
          <cell r="D173">
            <v>20</v>
          </cell>
          <cell r="O173">
            <v>3.9</v>
          </cell>
          <cell r="R173">
            <v>1</v>
          </cell>
          <cell r="T173">
            <v>3</v>
          </cell>
          <cell r="Y173" t="str">
            <v>struggled to pick up notes, intake on bottom of robo</v>
          </cell>
        </row>
        <row r="174">
          <cell r="A174" t="str">
            <v>KG</v>
          </cell>
          <cell r="D174">
            <v>2</v>
          </cell>
          <cell r="O174">
            <v>0</v>
          </cell>
          <cell r="R174" t="str">
            <v>x</v>
          </cell>
          <cell r="T174">
            <v>3</v>
          </cell>
          <cell r="Y174" t="str">
            <v>Robot never activated</v>
          </cell>
        </row>
        <row r="175">
          <cell r="A175" t="str">
            <v>JB</v>
          </cell>
          <cell r="D175">
            <v>56</v>
          </cell>
          <cell r="O175">
            <v>3.6</v>
          </cell>
          <cell r="R175">
            <v>2</v>
          </cell>
          <cell r="T175">
            <v>3</v>
          </cell>
          <cell r="Y175" t="str">
            <v>Almost scored in trap</v>
          </cell>
        </row>
        <row r="176">
          <cell r="A176" t="str">
            <v>SL</v>
          </cell>
          <cell r="D176">
            <v>39</v>
          </cell>
          <cell r="O176">
            <v>0</v>
          </cell>
          <cell r="R176">
            <v>1</v>
          </cell>
          <cell r="T176">
            <v>3</v>
          </cell>
        </row>
        <row r="177">
          <cell r="A177" t="str">
            <v>IW</v>
          </cell>
          <cell r="D177">
            <v>5</v>
          </cell>
          <cell r="O177">
            <v>3</v>
          </cell>
          <cell r="R177">
            <v>2</v>
          </cell>
          <cell r="T177">
            <v>3</v>
          </cell>
        </row>
        <row r="178">
          <cell r="A178" t="str">
            <v>KG</v>
          </cell>
          <cell r="D178">
            <v>16</v>
          </cell>
          <cell r="O178">
            <v>8.8000000000000007</v>
          </cell>
          <cell r="R178">
            <v>2</v>
          </cell>
          <cell r="T178">
            <v>3</v>
          </cell>
          <cell r="Y178" t="str">
            <v>Was also spotlit</v>
          </cell>
        </row>
        <row r="179">
          <cell r="A179" t="str">
            <v>Ey</v>
          </cell>
          <cell r="D179">
            <v>15</v>
          </cell>
          <cell r="O179">
            <v>0</v>
          </cell>
          <cell r="R179">
            <v>3</v>
          </cell>
          <cell r="T179">
            <v>3</v>
          </cell>
          <cell r="Y179" t="str">
            <v>They played great defense  heavy enough to block</v>
          </cell>
        </row>
        <row r="180">
          <cell r="A180" t="str">
            <v>JB</v>
          </cell>
          <cell r="D180">
            <v>7</v>
          </cell>
          <cell r="O180">
            <v>2.2999999999999998</v>
          </cell>
          <cell r="R180">
            <v>3</v>
          </cell>
          <cell r="T180">
            <v>4</v>
          </cell>
          <cell r="Y180" t="str">
            <v>Very good robot overall</v>
          </cell>
        </row>
        <row r="181">
          <cell r="A181" t="str">
            <v>SL</v>
          </cell>
          <cell r="D181">
            <v>29</v>
          </cell>
          <cell r="O181">
            <v>5.2</v>
          </cell>
          <cell r="R181">
            <v>3</v>
          </cell>
          <cell r="T181">
            <v>5</v>
          </cell>
        </row>
        <row r="182">
          <cell r="A182" t="str">
            <v>SL</v>
          </cell>
          <cell r="D182">
            <v>43</v>
          </cell>
          <cell r="O182">
            <v>3.4</v>
          </cell>
          <cell r="R182">
            <v>3</v>
          </cell>
          <cell r="T182">
            <v>2</v>
          </cell>
        </row>
        <row r="183">
          <cell r="A183" t="str">
            <v>JB</v>
          </cell>
          <cell r="D183">
            <v>49</v>
          </cell>
          <cell r="O183">
            <v>2.5</v>
          </cell>
          <cell r="R183">
            <v>2</v>
          </cell>
          <cell r="T183">
            <v>3</v>
          </cell>
          <cell r="Y183" t="str">
            <v xml:space="preserve">Great robot, slightly inconsistent scoring </v>
          </cell>
        </row>
        <row r="184">
          <cell r="A184" t="str">
            <v>AOD</v>
          </cell>
          <cell r="D184">
            <v>26</v>
          </cell>
          <cell r="O184">
            <v>0</v>
          </cell>
          <cell r="R184">
            <v>1</v>
          </cell>
          <cell r="T184">
            <v>3</v>
          </cell>
          <cell r="Y184" t="str">
            <v>Generally wasn't able to do much</v>
          </cell>
        </row>
        <row r="185">
          <cell r="A185" t="str">
            <v>Ey</v>
          </cell>
          <cell r="D185">
            <v>18</v>
          </cell>
          <cell r="O185">
            <v>0</v>
          </cell>
          <cell r="R185">
            <v>1</v>
          </cell>
          <cell r="T185">
            <v>1</v>
          </cell>
          <cell r="Y185" t="str">
            <v>They didn't drop but only picked 1 note up</v>
          </cell>
        </row>
        <row r="186">
          <cell r="A186" t="str">
            <v>GN</v>
          </cell>
          <cell r="D186">
            <v>31</v>
          </cell>
          <cell r="O186">
            <v>0</v>
          </cell>
          <cell r="R186">
            <v>1</v>
          </cell>
          <cell r="T186">
            <v>2</v>
          </cell>
          <cell r="Y186" t="str">
            <v>Was very lost and didn't do anything</v>
          </cell>
        </row>
        <row r="187">
          <cell r="A187" t="str">
            <v>KG</v>
          </cell>
          <cell r="D187">
            <v>53</v>
          </cell>
          <cell r="O187">
            <v>0</v>
          </cell>
          <cell r="R187" t="str">
            <v>x</v>
          </cell>
          <cell r="T187">
            <v>2</v>
          </cell>
        </row>
        <row r="188">
          <cell r="A188" t="str">
            <v>JB</v>
          </cell>
          <cell r="D188">
            <v>39</v>
          </cell>
          <cell r="O188">
            <v>0</v>
          </cell>
          <cell r="R188">
            <v>1</v>
          </cell>
          <cell r="T188">
            <v>1</v>
          </cell>
        </row>
        <row r="189">
          <cell r="A189" t="str">
            <v>AOD</v>
          </cell>
          <cell r="D189">
            <v>17</v>
          </cell>
          <cell r="O189">
            <v>3.1</v>
          </cell>
          <cell r="R189">
            <v>3</v>
          </cell>
          <cell r="T189">
            <v>4</v>
          </cell>
          <cell r="Y189" t="str">
            <v>Moved fast, wasn't overly aggressive</v>
          </cell>
        </row>
        <row r="190">
          <cell r="A190" t="str">
            <v>JB</v>
          </cell>
          <cell r="D190">
            <v>33</v>
          </cell>
          <cell r="O190">
            <v>0</v>
          </cell>
          <cell r="R190" t="str">
            <v>x</v>
          </cell>
          <cell r="T190">
            <v>3</v>
          </cell>
          <cell r="Y190" t="str">
            <v>Did not move during match</v>
          </cell>
        </row>
        <row r="191">
          <cell r="A191" t="str">
            <v>Jm</v>
          </cell>
          <cell r="D191">
            <v>23</v>
          </cell>
          <cell r="O191">
            <v>0</v>
          </cell>
          <cell r="R191">
            <v>2</v>
          </cell>
          <cell r="T191">
            <v>2</v>
          </cell>
        </row>
        <row r="192">
          <cell r="A192" t="str">
            <v>Jm</v>
          </cell>
          <cell r="D192">
            <v>2</v>
          </cell>
          <cell r="O192">
            <v>2.6</v>
          </cell>
          <cell r="R192">
            <v>3</v>
          </cell>
          <cell r="T192">
            <v>5</v>
          </cell>
        </row>
        <row r="193">
          <cell r="A193" t="str">
            <v>KG</v>
          </cell>
          <cell r="D193">
            <v>12</v>
          </cell>
          <cell r="O193">
            <v>0</v>
          </cell>
          <cell r="R193" t="str">
            <v>x</v>
          </cell>
          <cell r="T193">
            <v>3</v>
          </cell>
          <cell r="Y193" t="str">
            <v>Was technically moving, but barely and couldn't go far</v>
          </cell>
        </row>
        <row r="194">
          <cell r="A194" t="str">
            <v>AOD</v>
          </cell>
          <cell r="D194">
            <v>49</v>
          </cell>
          <cell r="O194">
            <v>0</v>
          </cell>
          <cell r="R194" t="str">
            <v>x</v>
          </cell>
          <cell r="T194">
            <v>1</v>
          </cell>
          <cell r="Y194" t="str">
            <v>Barely moved at all</v>
          </cell>
        </row>
        <row r="195">
          <cell r="A195" t="str">
            <v>KG</v>
          </cell>
          <cell r="D195">
            <v>42</v>
          </cell>
          <cell r="O195">
            <v>3</v>
          </cell>
          <cell r="R195">
            <v>2</v>
          </cell>
          <cell r="T195">
            <v>3</v>
          </cell>
        </row>
        <row r="196">
          <cell r="A196" t="str">
            <v>IW</v>
          </cell>
          <cell r="D196">
            <v>58</v>
          </cell>
          <cell r="O196">
            <v>5.6</v>
          </cell>
          <cell r="R196">
            <v>3</v>
          </cell>
          <cell r="T196">
            <v>5</v>
          </cell>
        </row>
        <row r="197">
          <cell r="A197" t="str">
            <v>KG</v>
          </cell>
          <cell r="D197">
            <v>9</v>
          </cell>
          <cell r="O197">
            <v>2.4</v>
          </cell>
          <cell r="R197">
            <v>2</v>
          </cell>
          <cell r="T197">
            <v>4</v>
          </cell>
        </row>
        <row r="198">
          <cell r="A198" t="str">
            <v>JG</v>
          </cell>
          <cell r="D198">
            <v>6</v>
          </cell>
          <cell r="O198">
            <v>0</v>
          </cell>
          <cell r="R198">
            <v>3</v>
          </cell>
          <cell r="T198">
            <v>5</v>
          </cell>
          <cell r="Y198" t="str">
            <v>Shooter also is climber.</v>
          </cell>
        </row>
        <row r="199">
          <cell r="A199" t="str">
            <v>Ey</v>
          </cell>
          <cell r="D199">
            <v>22</v>
          </cell>
          <cell r="O199">
            <v>0</v>
          </cell>
          <cell r="R199">
            <v>3</v>
          </cell>
          <cell r="T199">
            <v>5</v>
          </cell>
          <cell r="Y199" t="str">
            <v>Shoot note cross field for other bots</v>
          </cell>
        </row>
        <row r="200">
          <cell r="A200" t="str">
            <v>AG</v>
          </cell>
          <cell r="D200">
            <v>33</v>
          </cell>
          <cell r="O200">
            <v>8</v>
          </cell>
          <cell r="R200">
            <v>3</v>
          </cell>
          <cell r="T200">
            <v>5</v>
          </cell>
          <cell r="Y200" t="str">
            <v>Launches notes across arena for others to shoot</v>
          </cell>
        </row>
        <row r="201">
          <cell r="A201" t="str">
            <v>JB</v>
          </cell>
          <cell r="D201">
            <v>59</v>
          </cell>
          <cell r="O201">
            <v>0</v>
          </cell>
          <cell r="R201">
            <v>3</v>
          </cell>
          <cell r="T201">
            <v>5</v>
          </cell>
          <cell r="Y201" t="str">
            <v>Great teamwork, note launching</v>
          </cell>
        </row>
        <row r="202">
          <cell r="A202" t="str">
            <v>SL</v>
          </cell>
          <cell r="D202">
            <v>51</v>
          </cell>
          <cell r="O202">
            <v>0</v>
          </cell>
          <cell r="R202">
            <v>3</v>
          </cell>
          <cell r="T202">
            <v>2</v>
          </cell>
        </row>
        <row r="203">
          <cell r="A203" t="str">
            <v>SSC</v>
          </cell>
          <cell r="D203">
            <v>44</v>
          </cell>
          <cell r="O203">
            <v>0</v>
          </cell>
          <cell r="R203">
            <v>3</v>
          </cell>
          <cell r="T203">
            <v>5</v>
          </cell>
          <cell r="Y203" t="str">
            <v>Speed demon who takes notes from the opposing team</v>
          </cell>
        </row>
        <row r="204">
          <cell r="A204" t="str">
            <v>SL</v>
          </cell>
          <cell r="D204">
            <v>16</v>
          </cell>
          <cell r="O204">
            <v>2.7</v>
          </cell>
          <cell r="R204">
            <v>2</v>
          </cell>
          <cell r="T204">
            <v>4</v>
          </cell>
          <cell r="Y204" t="str">
            <v xml:space="preserve">also got harmony </v>
          </cell>
        </row>
        <row r="205">
          <cell r="A205" t="str">
            <v>SL</v>
          </cell>
          <cell r="D205">
            <v>19</v>
          </cell>
          <cell r="O205">
            <v>3</v>
          </cell>
          <cell r="R205">
            <v>2</v>
          </cell>
          <cell r="T205">
            <v>3</v>
          </cell>
        </row>
        <row r="206">
          <cell r="A206" t="str">
            <v>KG</v>
          </cell>
          <cell r="D206">
            <v>10</v>
          </cell>
          <cell r="O206">
            <v>11.9</v>
          </cell>
          <cell r="R206">
            <v>2</v>
          </cell>
          <cell r="T206">
            <v>3</v>
          </cell>
        </row>
        <row r="207">
          <cell r="A207" t="str">
            <v>SSC</v>
          </cell>
          <cell r="D207">
            <v>25</v>
          </cell>
          <cell r="O207">
            <v>0</v>
          </cell>
          <cell r="R207">
            <v>3</v>
          </cell>
          <cell r="T207">
            <v>4</v>
          </cell>
        </row>
        <row r="208">
          <cell r="A208" t="str">
            <v>SL</v>
          </cell>
          <cell r="D208">
            <v>54</v>
          </cell>
          <cell r="O208">
            <v>0</v>
          </cell>
          <cell r="R208" t="str">
            <v>x</v>
          </cell>
          <cell r="T208">
            <v>3</v>
          </cell>
        </row>
        <row r="209">
          <cell r="A209" t="str">
            <v>JB</v>
          </cell>
          <cell r="D209">
            <v>45</v>
          </cell>
          <cell r="O209">
            <v>2</v>
          </cell>
          <cell r="R209">
            <v>3</v>
          </cell>
          <cell r="T209">
            <v>4</v>
          </cell>
          <cell r="Y209" t="str">
            <v>Overall solid, auto slightly off</v>
          </cell>
        </row>
        <row r="210">
          <cell r="A210" t="str">
            <v>AOD</v>
          </cell>
          <cell r="D210">
            <v>4</v>
          </cell>
          <cell r="O210">
            <v>0</v>
          </cell>
          <cell r="R210">
            <v>2</v>
          </cell>
          <cell r="T210">
            <v>3</v>
          </cell>
          <cell r="Y210" t="str">
            <v>Ran interference and still managed to score points.</v>
          </cell>
        </row>
        <row r="211">
          <cell r="A211" t="str">
            <v>Jm</v>
          </cell>
          <cell r="D211">
            <v>18</v>
          </cell>
          <cell r="O211">
            <v>0</v>
          </cell>
          <cell r="R211">
            <v>2</v>
          </cell>
          <cell r="T211">
            <v>4</v>
          </cell>
        </row>
        <row r="212">
          <cell r="A212" t="str">
            <v>JG</v>
          </cell>
          <cell r="D212">
            <v>26</v>
          </cell>
          <cell r="O212">
            <v>9.1</v>
          </cell>
          <cell r="R212">
            <v>3</v>
          </cell>
          <cell r="T212">
            <v>4</v>
          </cell>
        </row>
        <row r="213">
          <cell r="A213" t="str">
            <v>SL</v>
          </cell>
          <cell r="D213">
            <v>36</v>
          </cell>
          <cell r="O213">
            <v>0</v>
          </cell>
          <cell r="R213">
            <v>3</v>
          </cell>
          <cell r="T213">
            <v>5</v>
          </cell>
        </row>
        <row r="214">
          <cell r="A214" t="str">
            <v>KG</v>
          </cell>
          <cell r="D214">
            <v>45</v>
          </cell>
          <cell r="O214">
            <v>0</v>
          </cell>
          <cell r="R214" t="str">
            <v>x</v>
          </cell>
          <cell r="T214">
            <v>3</v>
          </cell>
        </row>
        <row r="215">
          <cell r="A215" t="str">
            <v>KG</v>
          </cell>
          <cell r="D215">
            <v>27</v>
          </cell>
          <cell r="O215">
            <v>17.5</v>
          </cell>
          <cell r="R215">
            <v>3</v>
          </cell>
          <cell r="T215">
            <v>5</v>
          </cell>
        </row>
        <row r="216">
          <cell r="A216" t="str">
            <v>Jm</v>
          </cell>
          <cell r="D216">
            <v>10</v>
          </cell>
          <cell r="O216">
            <v>0</v>
          </cell>
          <cell r="R216">
            <v>2</v>
          </cell>
          <cell r="T216">
            <v>4</v>
          </cell>
        </row>
        <row r="217">
          <cell r="A217" t="str">
            <v>SL</v>
          </cell>
          <cell r="D217">
            <v>14</v>
          </cell>
          <cell r="O217">
            <v>0</v>
          </cell>
          <cell r="R217">
            <v>3</v>
          </cell>
          <cell r="T217">
            <v>5</v>
          </cell>
        </row>
        <row r="218">
          <cell r="A218" t="str">
            <v>JB</v>
          </cell>
          <cell r="D218">
            <v>6</v>
          </cell>
          <cell r="O218">
            <v>0</v>
          </cell>
          <cell r="R218">
            <v>3</v>
          </cell>
          <cell r="T218">
            <v>5</v>
          </cell>
          <cell r="Y218" t="str">
            <v>Extremely fast intake, good scoring</v>
          </cell>
        </row>
        <row r="219">
          <cell r="A219" t="str">
            <v>JB</v>
          </cell>
          <cell r="D219">
            <v>20</v>
          </cell>
          <cell r="O219">
            <v>0</v>
          </cell>
          <cell r="R219">
            <v>3</v>
          </cell>
          <cell r="T219">
            <v>5</v>
          </cell>
          <cell r="Y219" t="str">
            <v>Basically carried their team, even though they lost</v>
          </cell>
        </row>
        <row r="220">
          <cell r="A220" t="str">
            <v>Jm</v>
          </cell>
          <cell r="D220">
            <v>13</v>
          </cell>
          <cell r="O220">
            <v>0</v>
          </cell>
          <cell r="R220">
            <v>2</v>
          </cell>
          <cell r="T220">
            <v>3</v>
          </cell>
        </row>
        <row r="221">
          <cell r="A221" t="str">
            <v>SSC</v>
          </cell>
          <cell r="D221">
            <v>30</v>
          </cell>
          <cell r="O221">
            <v>0</v>
          </cell>
          <cell r="R221">
            <v>3</v>
          </cell>
          <cell r="T221">
            <v>5</v>
          </cell>
        </row>
        <row r="222">
          <cell r="A222" t="str">
            <v>SL</v>
          </cell>
          <cell r="D222">
            <v>21</v>
          </cell>
          <cell r="O222">
            <v>6.5</v>
          </cell>
          <cell r="R222">
            <v>1</v>
          </cell>
          <cell r="T222">
            <v>2</v>
          </cell>
        </row>
        <row r="223">
          <cell r="A223" t="str">
            <v>JB</v>
          </cell>
          <cell r="D223">
            <v>4</v>
          </cell>
          <cell r="O223">
            <v>6.6</v>
          </cell>
          <cell r="R223">
            <v>1</v>
          </cell>
          <cell r="T223">
            <v>5</v>
          </cell>
          <cell r="Y223" t="str">
            <v>Poor driving, but robot seemed good</v>
          </cell>
        </row>
        <row r="224">
          <cell r="A224" t="str">
            <v>JB</v>
          </cell>
          <cell r="D224">
            <v>19</v>
          </cell>
          <cell r="O224">
            <v>0</v>
          </cell>
          <cell r="R224">
            <v>2</v>
          </cell>
          <cell r="T224">
            <v>4</v>
          </cell>
          <cell r="Y224" t="str">
            <v>good robot, shooter was inconsistent</v>
          </cell>
        </row>
        <row r="225">
          <cell r="A225" t="str">
            <v>AOD</v>
          </cell>
          <cell r="D225">
            <v>11</v>
          </cell>
          <cell r="O225">
            <v>3.5</v>
          </cell>
          <cell r="R225">
            <v>1</v>
          </cell>
          <cell r="T225">
            <v>3</v>
          </cell>
          <cell r="Y225" t="str">
            <v>Mostly just wandered around the arena.</v>
          </cell>
        </row>
        <row r="226">
          <cell r="A226" t="str">
            <v>CT</v>
          </cell>
          <cell r="D226">
            <v>61</v>
          </cell>
          <cell r="O226">
            <v>4.5</v>
          </cell>
          <cell r="R226">
            <v>3</v>
          </cell>
          <cell r="T226">
            <v>5</v>
          </cell>
        </row>
        <row r="227">
          <cell r="A227" t="str">
            <v>KG</v>
          </cell>
          <cell r="D227">
            <v>39</v>
          </cell>
          <cell r="O227">
            <v>0</v>
          </cell>
          <cell r="R227" t="str">
            <v>x</v>
          </cell>
          <cell r="T227">
            <v>3</v>
          </cell>
          <cell r="Y227" t="str">
            <v>Were doing good until they died</v>
          </cell>
        </row>
        <row r="228">
          <cell r="A228" t="str">
            <v>KG</v>
          </cell>
          <cell r="D228">
            <v>3</v>
          </cell>
          <cell r="O228">
            <v>5.5</v>
          </cell>
          <cell r="R228">
            <v>2</v>
          </cell>
          <cell r="T228">
            <v>3</v>
          </cell>
          <cell r="Y228" t="str">
            <v>Missed multiple shots in the speaker</v>
          </cell>
        </row>
        <row r="229">
          <cell r="A229" t="str">
            <v>SSC</v>
          </cell>
          <cell r="D229">
            <v>13</v>
          </cell>
          <cell r="O229">
            <v>0</v>
          </cell>
          <cell r="R229">
            <v>1</v>
          </cell>
          <cell r="T229">
            <v>2</v>
          </cell>
          <cell r="Y229" t="str">
            <v>Bad auto and driver</v>
          </cell>
        </row>
        <row r="230">
          <cell r="A230" t="str">
            <v>Jm</v>
          </cell>
          <cell r="D230">
            <v>44</v>
          </cell>
          <cell r="O230">
            <v>0</v>
          </cell>
          <cell r="R230">
            <v>2</v>
          </cell>
          <cell r="T230">
            <v>3</v>
          </cell>
        </row>
        <row r="231">
          <cell r="A231" t="str">
            <v>KG</v>
          </cell>
          <cell r="D231">
            <v>5</v>
          </cell>
          <cell r="O231">
            <v>0</v>
          </cell>
          <cell r="R231">
            <v>3</v>
          </cell>
          <cell r="T231">
            <v>5</v>
          </cell>
        </row>
        <row r="232">
          <cell r="A232" t="str">
            <v>SL</v>
          </cell>
          <cell r="D232">
            <v>11</v>
          </cell>
          <cell r="O232">
            <v>3.7</v>
          </cell>
          <cell r="R232">
            <v>3</v>
          </cell>
          <cell r="T232">
            <v>5</v>
          </cell>
          <cell r="Y232" t="str">
            <v>great at speaker, below average at amp</v>
          </cell>
        </row>
        <row r="233">
          <cell r="A233" t="str">
            <v>Jm</v>
          </cell>
          <cell r="D233">
            <v>15</v>
          </cell>
          <cell r="O233">
            <v>9.3000000000000007</v>
          </cell>
          <cell r="R233">
            <v>2</v>
          </cell>
          <cell r="T233">
            <v>4</v>
          </cell>
        </row>
        <row r="234">
          <cell r="A234" t="str">
            <v>KG</v>
          </cell>
          <cell r="D234">
            <v>9</v>
          </cell>
          <cell r="O234">
            <v>0</v>
          </cell>
          <cell r="R234" t="str">
            <v>x</v>
          </cell>
          <cell r="T234">
            <v>3</v>
          </cell>
          <cell r="Y234" t="str">
            <v>Never moved</v>
          </cell>
        </row>
        <row r="235">
          <cell r="A235" t="str">
            <v>Ey</v>
          </cell>
          <cell r="D235">
            <v>21</v>
          </cell>
          <cell r="O235">
            <v>0</v>
          </cell>
          <cell r="R235">
            <v>3</v>
          </cell>
          <cell r="T235">
            <v>4</v>
          </cell>
          <cell r="Y235" t="str">
            <v>They did really good man</v>
          </cell>
        </row>
        <row r="236">
          <cell r="A236" t="str">
            <v>SSC</v>
          </cell>
          <cell r="D236">
            <v>36</v>
          </cell>
          <cell r="O236">
            <v>1.6</v>
          </cell>
          <cell r="R236">
            <v>3</v>
          </cell>
          <cell r="T236">
            <v>5</v>
          </cell>
        </row>
        <row r="237">
          <cell r="A237" t="str">
            <v>KG</v>
          </cell>
          <cell r="D237">
            <v>54</v>
          </cell>
          <cell r="O237">
            <v>1.5</v>
          </cell>
          <cell r="R237">
            <v>3</v>
          </cell>
          <cell r="T237">
            <v>4</v>
          </cell>
        </row>
        <row r="238">
          <cell r="A238" t="str">
            <v>JB</v>
          </cell>
          <cell r="D238">
            <v>43</v>
          </cell>
          <cell r="O238">
            <v>0.8</v>
          </cell>
          <cell r="R238">
            <v>3</v>
          </cell>
          <cell r="T238">
            <v>5</v>
          </cell>
          <cell r="Y238" t="str">
            <v>Great scoring, literally 1 second climb</v>
          </cell>
        </row>
        <row r="239">
          <cell r="A239" t="str">
            <v>JG</v>
          </cell>
          <cell r="D239">
            <v>28</v>
          </cell>
          <cell r="O239">
            <v>12.1</v>
          </cell>
          <cell r="R239">
            <v>2</v>
          </cell>
          <cell r="T239">
            <v>3</v>
          </cell>
        </row>
        <row r="240">
          <cell r="A240" t="str">
            <v>KG</v>
          </cell>
          <cell r="D240">
            <v>37</v>
          </cell>
          <cell r="O240">
            <v>12.1</v>
          </cell>
          <cell r="R240">
            <v>2</v>
          </cell>
          <cell r="T240">
            <v>3</v>
          </cell>
        </row>
        <row r="241">
          <cell r="A241" t="str">
            <v>SSC</v>
          </cell>
          <cell r="D241">
            <v>9</v>
          </cell>
          <cell r="O241">
            <v>0</v>
          </cell>
          <cell r="R241">
            <v>1</v>
          </cell>
          <cell r="T241">
            <v>2</v>
          </cell>
        </row>
        <row r="242">
          <cell r="A242" t="str">
            <v>Jm</v>
          </cell>
          <cell r="D242">
            <v>46</v>
          </cell>
          <cell r="O242">
            <v>0</v>
          </cell>
          <cell r="R242">
            <v>2</v>
          </cell>
          <cell r="T242">
            <v>3</v>
          </cell>
        </row>
        <row r="243">
          <cell r="A243" t="str">
            <v>KG</v>
          </cell>
          <cell r="D243">
            <v>15</v>
          </cell>
          <cell r="O243">
            <v>0</v>
          </cell>
          <cell r="R243">
            <v>1</v>
          </cell>
          <cell r="T243">
            <v>1</v>
          </cell>
          <cell r="Y243" t="str">
            <v>Died at the end. They weren't defense or offense</v>
          </cell>
        </row>
        <row r="244">
          <cell r="A244" t="str">
            <v>KG</v>
          </cell>
          <cell r="D244">
            <v>6</v>
          </cell>
          <cell r="O244">
            <v>17</v>
          </cell>
          <cell r="R244">
            <v>1</v>
          </cell>
          <cell r="T244">
            <v>1</v>
          </cell>
        </row>
        <row r="245">
          <cell r="A245" t="str">
            <v>AOD</v>
          </cell>
          <cell r="D245">
            <v>45</v>
          </cell>
          <cell r="O245">
            <v>0</v>
          </cell>
          <cell r="R245" t="str">
            <v>x</v>
          </cell>
          <cell r="T245">
            <v>3</v>
          </cell>
          <cell r="Y245" t="str">
            <v>Ran into random things (walls, stages, ect)</v>
          </cell>
        </row>
        <row r="246">
          <cell r="A246" t="str">
            <v>SL</v>
          </cell>
          <cell r="D246">
            <v>52</v>
          </cell>
          <cell r="O246">
            <v>7.4</v>
          </cell>
          <cell r="R246">
            <v>1</v>
          </cell>
          <cell r="T246">
            <v>3</v>
          </cell>
          <cell r="Y246" t="str">
            <v>started climbing with 40 sec left</v>
          </cell>
        </row>
        <row r="247">
          <cell r="A247" t="str">
            <v>SL</v>
          </cell>
          <cell r="D247">
            <v>62</v>
          </cell>
          <cell r="O247">
            <v>11.8</v>
          </cell>
          <cell r="R247">
            <v>2</v>
          </cell>
          <cell r="T247">
            <v>3</v>
          </cell>
        </row>
        <row r="248">
          <cell r="A248" t="str">
            <v>KG</v>
          </cell>
          <cell r="D248">
            <v>22</v>
          </cell>
          <cell r="O248">
            <v>0</v>
          </cell>
          <cell r="R248">
            <v>3</v>
          </cell>
          <cell r="T248">
            <v>4</v>
          </cell>
          <cell r="Y248" t="str">
            <v>At the end, I think they broke their drive train</v>
          </cell>
        </row>
        <row r="249">
          <cell r="A249" t="str">
            <v>AOD</v>
          </cell>
          <cell r="D249">
            <v>11</v>
          </cell>
          <cell r="O249">
            <v>0</v>
          </cell>
          <cell r="R249">
            <v>2</v>
          </cell>
          <cell r="T249">
            <v>3</v>
          </cell>
          <cell r="Y249" t="str">
            <v>Made confusing moves sometimes</v>
          </cell>
        </row>
        <row r="250">
          <cell r="A250" t="str">
            <v>JB</v>
          </cell>
          <cell r="D250">
            <v>28</v>
          </cell>
          <cell r="O250">
            <v>0</v>
          </cell>
          <cell r="R250" t="str">
            <v>x</v>
          </cell>
          <cell r="T250">
            <v>5</v>
          </cell>
        </row>
        <row r="251">
          <cell r="A251" t="str">
            <v>Jm</v>
          </cell>
          <cell r="D251">
            <v>5</v>
          </cell>
          <cell r="O251">
            <v>3.8</v>
          </cell>
          <cell r="R251">
            <v>2</v>
          </cell>
          <cell r="T251">
            <v>4</v>
          </cell>
        </row>
        <row r="252">
          <cell r="A252" t="str">
            <v>SL</v>
          </cell>
          <cell r="D252">
            <v>34</v>
          </cell>
          <cell r="O252">
            <v>11</v>
          </cell>
          <cell r="R252">
            <v>3</v>
          </cell>
          <cell r="T252">
            <v>3</v>
          </cell>
        </row>
        <row r="253">
          <cell r="A253" t="str">
            <v>KG</v>
          </cell>
          <cell r="D253">
            <v>40</v>
          </cell>
          <cell r="O253">
            <v>4</v>
          </cell>
          <cell r="R253">
            <v>3</v>
          </cell>
          <cell r="T253">
            <v>4</v>
          </cell>
        </row>
        <row r="254">
          <cell r="A254" t="str">
            <v>AOD</v>
          </cell>
          <cell r="D254">
            <v>5</v>
          </cell>
          <cell r="O254">
            <v>0</v>
          </cell>
          <cell r="R254">
            <v>2</v>
          </cell>
          <cell r="T254">
            <v>4</v>
          </cell>
        </row>
        <row r="255">
          <cell r="A255" t="str">
            <v>Jm</v>
          </cell>
          <cell r="D255">
            <v>12</v>
          </cell>
          <cell r="O255">
            <v>0</v>
          </cell>
          <cell r="R255">
            <v>2</v>
          </cell>
          <cell r="T255">
            <v>3</v>
          </cell>
        </row>
        <row r="256">
          <cell r="A256" t="str">
            <v>AG</v>
          </cell>
          <cell r="D256">
            <v>34</v>
          </cell>
          <cell r="O256">
            <v>0</v>
          </cell>
          <cell r="R256">
            <v>2</v>
          </cell>
          <cell r="T256">
            <v>4</v>
          </cell>
          <cell r="Y256" t="str">
            <v xml:space="preserve">Good movement and aim </v>
          </cell>
        </row>
        <row r="257">
          <cell r="A257" t="str">
            <v>SL</v>
          </cell>
          <cell r="D257">
            <v>59</v>
          </cell>
          <cell r="O257">
            <v>3.4</v>
          </cell>
          <cell r="R257">
            <v>2</v>
          </cell>
          <cell r="T257">
            <v>5</v>
          </cell>
          <cell r="Y257" t="str">
            <v>note got stuck on them, lost part(?)</v>
          </cell>
        </row>
        <row r="258">
          <cell r="A258" t="str">
            <v>SSC</v>
          </cell>
          <cell r="D258">
            <v>45</v>
          </cell>
          <cell r="O258">
            <v>1.4</v>
          </cell>
          <cell r="R258">
            <v>2</v>
          </cell>
          <cell r="T258">
            <v>3</v>
          </cell>
        </row>
        <row r="259">
          <cell r="A259" t="str">
            <v>AOD</v>
          </cell>
          <cell r="D259">
            <v>3</v>
          </cell>
          <cell r="O259">
            <v>0</v>
          </cell>
          <cell r="R259" t="str">
            <v>x</v>
          </cell>
          <cell r="T259">
            <v>1</v>
          </cell>
          <cell r="Y259" t="str">
            <v>Barely moved at all.</v>
          </cell>
        </row>
        <row r="260">
          <cell r="A260" t="str">
            <v>AOD</v>
          </cell>
          <cell r="D260">
            <v>10</v>
          </cell>
          <cell r="O260">
            <v>0</v>
          </cell>
          <cell r="R260">
            <v>1</v>
          </cell>
          <cell r="T260">
            <v>1</v>
          </cell>
          <cell r="Y260" t="str">
            <v>Didn't do anything other than park on the stage.</v>
          </cell>
        </row>
        <row r="261">
          <cell r="A261" t="str">
            <v>KG</v>
          </cell>
          <cell r="D261">
            <v>36</v>
          </cell>
          <cell r="O261">
            <v>0</v>
          </cell>
          <cell r="R261" t="str">
            <v>x</v>
          </cell>
          <cell r="T261">
            <v>1</v>
          </cell>
          <cell r="Y261" t="str">
            <v>Never moved</v>
          </cell>
        </row>
        <row r="262">
          <cell r="A262" t="str">
            <v>SL</v>
          </cell>
          <cell r="D262">
            <v>58</v>
          </cell>
          <cell r="O262">
            <v>0</v>
          </cell>
          <cell r="R262" t="str">
            <v>x</v>
          </cell>
          <cell r="T262">
            <v>3</v>
          </cell>
        </row>
        <row r="263">
          <cell r="A263" t="str">
            <v>SSC</v>
          </cell>
          <cell r="D263">
            <v>46</v>
          </cell>
          <cell r="O263">
            <v>0</v>
          </cell>
          <cell r="R263">
            <v>1</v>
          </cell>
          <cell r="T263">
            <v>2</v>
          </cell>
          <cell r="Y263" t="str">
            <v>Didn't do anything, just moved around</v>
          </cell>
        </row>
        <row r="264">
          <cell r="A264" t="str">
            <v>JB</v>
          </cell>
          <cell r="D264">
            <v>52</v>
          </cell>
          <cell r="O264">
            <v>0</v>
          </cell>
          <cell r="R264" t="str">
            <v>x</v>
          </cell>
          <cell r="T264">
            <v>3</v>
          </cell>
          <cell r="Y264" t="str">
            <v>Died almost immediately</v>
          </cell>
        </row>
        <row r="265">
          <cell r="A265" t="str">
            <v>AOD</v>
          </cell>
          <cell r="D265">
            <v>27</v>
          </cell>
          <cell r="O265">
            <v>0</v>
          </cell>
          <cell r="R265">
            <v>2</v>
          </cell>
          <cell r="T265">
            <v>3</v>
          </cell>
          <cell r="Y265" t="str">
            <v>Did a bit of defense and a bit of offense</v>
          </cell>
        </row>
        <row r="266">
          <cell r="A266" t="str">
            <v>SL</v>
          </cell>
          <cell r="D266">
            <v>8</v>
          </cell>
          <cell r="O266">
            <v>0</v>
          </cell>
          <cell r="R266">
            <v>1</v>
          </cell>
          <cell r="T266">
            <v>2</v>
          </cell>
        </row>
        <row r="267">
          <cell r="A267" t="str">
            <v>SL</v>
          </cell>
          <cell r="D267">
            <v>16</v>
          </cell>
          <cell r="O267">
            <v>0</v>
          </cell>
          <cell r="R267">
            <v>3</v>
          </cell>
          <cell r="T267">
            <v>5</v>
          </cell>
        </row>
        <row r="268">
          <cell r="A268" t="str">
            <v>Jm</v>
          </cell>
          <cell r="D268">
            <v>22</v>
          </cell>
          <cell r="O268">
            <v>0</v>
          </cell>
          <cell r="R268">
            <v>1</v>
          </cell>
          <cell r="T268">
            <v>2</v>
          </cell>
        </row>
        <row r="269">
          <cell r="A269" t="str">
            <v>JG</v>
          </cell>
          <cell r="D269">
            <v>29</v>
          </cell>
          <cell r="O269">
            <v>0</v>
          </cell>
          <cell r="R269">
            <v>2</v>
          </cell>
          <cell r="T269">
            <v>3</v>
          </cell>
        </row>
        <row r="270">
          <cell r="A270" t="str">
            <v>SL</v>
          </cell>
          <cell r="D270">
            <v>42</v>
          </cell>
          <cell r="O270">
            <v>0</v>
          </cell>
          <cell r="R270" t="str">
            <v>x</v>
          </cell>
          <cell r="T270">
            <v>3</v>
          </cell>
          <cell r="Y270" t="str">
            <v>seemed like the arm was broken</v>
          </cell>
        </row>
        <row r="271">
          <cell r="A271" t="str">
            <v>IW</v>
          </cell>
          <cell r="D271">
            <v>8</v>
          </cell>
          <cell r="O271">
            <v>0</v>
          </cell>
          <cell r="R271">
            <v>3</v>
          </cell>
          <cell r="T271">
            <v>5</v>
          </cell>
        </row>
        <row r="272">
          <cell r="A272" t="str">
            <v>SL</v>
          </cell>
          <cell r="D272">
            <v>22</v>
          </cell>
          <cell r="O272">
            <v>0</v>
          </cell>
          <cell r="R272">
            <v>3</v>
          </cell>
          <cell r="T272">
            <v>4</v>
          </cell>
          <cell r="Y272" t="str">
            <v>note got stuck on robot</v>
          </cell>
        </row>
        <row r="273">
          <cell r="A273" t="str">
            <v>JB</v>
          </cell>
          <cell r="D273">
            <v>1</v>
          </cell>
          <cell r="O273">
            <v>0</v>
          </cell>
          <cell r="R273">
            <v>2</v>
          </cell>
          <cell r="T273">
            <v>5</v>
          </cell>
          <cell r="Y273" t="str">
            <v>Intake/ shooter broke, played defense</v>
          </cell>
        </row>
        <row r="274">
          <cell r="A274" t="str">
            <v>SSC</v>
          </cell>
          <cell r="D274">
            <v>28</v>
          </cell>
          <cell r="O274">
            <v>0</v>
          </cell>
          <cell r="R274">
            <v>3</v>
          </cell>
          <cell r="T274">
            <v>4</v>
          </cell>
        </row>
        <row r="275">
          <cell r="A275" t="str">
            <v>SSC</v>
          </cell>
          <cell r="D275">
            <v>11</v>
          </cell>
          <cell r="O275">
            <v>0</v>
          </cell>
          <cell r="R275">
            <v>2</v>
          </cell>
          <cell r="T275">
            <v>3</v>
          </cell>
          <cell r="Y275" t="str">
            <v>Trouble with auto</v>
          </cell>
        </row>
        <row r="276">
          <cell r="A276" t="str">
            <v>AOD</v>
          </cell>
          <cell r="D276">
            <v>48</v>
          </cell>
          <cell r="O276">
            <v>0</v>
          </cell>
          <cell r="R276">
            <v>3</v>
          </cell>
          <cell r="T276">
            <v>4</v>
          </cell>
          <cell r="Y276" t="str">
            <v>Pretty quick and accurate</v>
          </cell>
        </row>
        <row r="277">
          <cell r="A277" t="str">
            <v>JB</v>
          </cell>
          <cell r="D277">
            <v>42</v>
          </cell>
          <cell r="O277">
            <v>0</v>
          </cell>
          <cell r="R277">
            <v>2</v>
          </cell>
          <cell r="T277">
            <v>4</v>
          </cell>
          <cell r="Y277" t="str">
            <v>Good robot, technical problems</v>
          </cell>
        </row>
        <row r="278">
          <cell r="A278" t="str">
            <v>AOD</v>
          </cell>
          <cell r="D278">
            <v>16</v>
          </cell>
          <cell r="O278">
            <v>0</v>
          </cell>
          <cell r="R278">
            <v>2</v>
          </cell>
          <cell r="T278">
            <v>3</v>
          </cell>
          <cell r="Y278" t="str">
            <v>Didn't seem offensive or defensive- good support role</v>
          </cell>
        </row>
        <row r="279">
          <cell r="A279" t="str">
            <v>SL</v>
          </cell>
          <cell r="D279">
            <v>7</v>
          </cell>
          <cell r="O279">
            <v>0</v>
          </cell>
          <cell r="R279">
            <v>1</v>
          </cell>
          <cell r="T279">
            <v>2</v>
          </cell>
        </row>
        <row r="280">
          <cell r="A280" t="str">
            <v>AG</v>
          </cell>
          <cell r="D280">
            <v>17</v>
          </cell>
          <cell r="O280">
            <v>0</v>
          </cell>
          <cell r="R280">
            <v>1</v>
          </cell>
          <cell r="T280">
            <v>2</v>
          </cell>
        </row>
        <row r="281">
          <cell r="A281" t="str">
            <v>JB</v>
          </cell>
          <cell r="D281">
            <v>31</v>
          </cell>
          <cell r="O281">
            <v>0</v>
          </cell>
          <cell r="R281">
            <v>2</v>
          </cell>
          <cell r="T281">
            <v>4</v>
          </cell>
          <cell r="Y281" t="str">
            <v xml:space="preserve">Good, but struggled to pick up notes </v>
          </cell>
        </row>
        <row r="282">
          <cell r="A282" t="str">
            <v>Jm</v>
          </cell>
          <cell r="D282">
            <v>10</v>
          </cell>
          <cell r="O282">
            <v>0</v>
          </cell>
          <cell r="R282">
            <v>2</v>
          </cell>
          <cell r="T282">
            <v>3</v>
          </cell>
        </row>
        <row r="283">
          <cell r="A283" t="str">
            <v>KG</v>
          </cell>
          <cell r="D283">
            <v>23</v>
          </cell>
          <cell r="O283">
            <v>0</v>
          </cell>
          <cell r="R283" t="str">
            <v>x</v>
          </cell>
          <cell r="T283">
            <v>3</v>
          </cell>
          <cell r="Y283" t="str">
            <v>Spent ~30 sec trying to pick up the same note</v>
          </cell>
        </row>
        <row r="284">
          <cell r="A284" t="str">
            <v>KG</v>
          </cell>
          <cell r="D284">
            <v>17</v>
          </cell>
          <cell r="O284">
            <v>0</v>
          </cell>
          <cell r="R284">
            <v>2</v>
          </cell>
          <cell r="T284">
            <v>3</v>
          </cell>
        </row>
        <row r="285">
          <cell r="A285" t="str">
            <v>AOD</v>
          </cell>
          <cell r="D285">
            <v>50</v>
          </cell>
          <cell r="O285">
            <v>0</v>
          </cell>
          <cell r="R285">
            <v>2</v>
          </cell>
          <cell r="T285">
            <v>3</v>
          </cell>
          <cell r="Y285" t="str">
            <v>Good support teammate</v>
          </cell>
        </row>
        <row r="286">
          <cell r="A286" t="str">
            <v>KG</v>
          </cell>
          <cell r="D286">
            <v>44</v>
          </cell>
          <cell r="O286">
            <v>0</v>
          </cell>
          <cell r="R286" t="str">
            <v>x</v>
          </cell>
          <cell r="T286">
            <v>3</v>
          </cell>
          <cell r="Y286" t="str">
            <v>Almost tipped over, didn't, then stopped moving</v>
          </cell>
        </row>
        <row r="287">
          <cell r="A287" t="str">
            <v>JB</v>
          </cell>
          <cell r="D287">
            <v>16</v>
          </cell>
          <cell r="O287">
            <v>0</v>
          </cell>
          <cell r="R287">
            <v>2</v>
          </cell>
          <cell r="T287">
            <v>2</v>
          </cell>
          <cell r="Y287" t="str">
            <v>Good defense, intake non-functional</v>
          </cell>
        </row>
        <row r="288">
          <cell r="A288" t="str">
            <v>Jm</v>
          </cell>
          <cell r="D288">
            <v>6</v>
          </cell>
          <cell r="O288">
            <v>0</v>
          </cell>
          <cell r="R288" t="str">
            <v>x</v>
          </cell>
          <cell r="T288">
            <v>3</v>
          </cell>
        </row>
        <row r="289">
          <cell r="A289" t="str">
            <v>Ey</v>
          </cell>
          <cell r="D289">
            <v>23</v>
          </cell>
          <cell r="O289">
            <v>0</v>
          </cell>
          <cell r="R289" t="str">
            <v>x</v>
          </cell>
          <cell r="T289">
            <v>3</v>
          </cell>
          <cell r="Y289" t="str">
            <v>They got a note stuck &amp; could not do anything</v>
          </cell>
        </row>
        <row r="290">
          <cell r="A290" t="str">
            <v>AG</v>
          </cell>
          <cell r="D290">
            <v>35</v>
          </cell>
          <cell r="O290">
            <v>0</v>
          </cell>
          <cell r="R290">
            <v>1</v>
          </cell>
          <cell r="T290">
            <v>2</v>
          </cell>
        </row>
        <row r="291">
          <cell r="A291" t="str">
            <v>KG</v>
          </cell>
          <cell r="D291">
            <v>46</v>
          </cell>
          <cell r="O291">
            <v>0</v>
          </cell>
          <cell r="R291" t="str">
            <v>x</v>
          </cell>
          <cell r="T291">
            <v>2</v>
          </cell>
          <cell r="Y291" t="str">
            <v>Got 2 notes stuck on the robot and couldn't get rid of</v>
          </cell>
        </row>
        <row r="292">
          <cell r="A292" t="str">
            <v>AOD</v>
          </cell>
          <cell r="D292">
            <v>24</v>
          </cell>
          <cell r="O292">
            <v>7.7</v>
          </cell>
          <cell r="R292">
            <v>3</v>
          </cell>
          <cell r="T292">
            <v>3</v>
          </cell>
          <cell r="Y292" t="str">
            <v>Didn't miss a single time</v>
          </cell>
        </row>
        <row r="293">
          <cell r="A293" t="str">
            <v>JB</v>
          </cell>
          <cell r="D293">
            <v>9</v>
          </cell>
          <cell r="O293">
            <v>0</v>
          </cell>
          <cell r="R293">
            <v>3</v>
          </cell>
          <cell r="T293">
            <v>3</v>
          </cell>
          <cell r="Y293" t="str">
            <v>Almost scored in trap, very good</v>
          </cell>
        </row>
        <row r="294">
          <cell r="A294" t="str">
            <v>JG</v>
          </cell>
          <cell r="D294">
            <v>27</v>
          </cell>
          <cell r="O294">
            <v>4.3</v>
          </cell>
          <cell r="R294">
            <v>2</v>
          </cell>
          <cell r="T294">
            <v>5</v>
          </cell>
        </row>
        <row r="295">
          <cell r="A295" t="str">
            <v>SSC</v>
          </cell>
          <cell r="D295">
            <v>33</v>
          </cell>
          <cell r="O295">
            <v>3</v>
          </cell>
          <cell r="R295" t="str">
            <v>x</v>
          </cell>
          <cell r="T295">
            <v>4</v>
          </cell>
        </row>
        <row r="296">
          <cell r="A296" t="str">
            <v>KG</v>
          </cell>
          <cell r="D296">
            <v>55</v>
          </cell>
          <cell r="O296">
            <v>7.7</v>
          </cell>
          <cell r="R296">
            <v>2</v>
          </cell>
          <cell r="T296">
            <v>3</v>
          </cell>
        </row>
        <row r="297">
          <cell r="A297" t="str">
            <v>JB</v>
          </cell>
          <cell r="D297">
            <v>40</v>
          </cell>
          <cell r="O297">
            <v>8.1999999999999993</v>
          </cell>
          <cell r="R297">
            <v>3</v>
          </cell>
          <cell r="T297">
            <v>3</v>
          </cell>
          <cell r="Y297" t="str">
            <v>Amp scoring, got a note in trap</v>
          </cell>
        </row>
        <row r="298">
          <cell r="A298" t="str">
            <v>AG</v>
          </cell>
          <cell r="D298">
            <v>15</v>
          </cell>
          <cell r="O298">
            <v>15.6</v>
          </cell>
          <cell r="R298">
            <v>2</v>
          </cell>
          <cell r="T298">
            <v>3</v>
          </cell>
        </row>
        <row r="299">
          <cell r="A299" t="str">
            <v>SL</v>
          </cell>
          <cell r="D299">
            <v>33</v>
          </cell>
          <cell r="O299">
            <v>0</v>
          </cell>
          <cell r="R299">
            <v>3</v>
          </cell>
          <cell r="T299">
            <v>3</v>
          </cell>
        </row>
        <row r="300">
          <cell r="A300" t="str">
            <v>SSC</v>
          </cell>
          <cell r="D300">
            <v>39</v>
          </cell>
          <cell r="O300">
            <v>0</v>
          </cell>
          <cell r="R300">
            <v>2</v>
          </cell>
          <cell r="T300">
            <v>3</v>
          </cell>
          <cell r="Y300" t="str">
            <v>Defense bot that isn't good at defense</v>
          </cell>
        </row>
        <row r="301">
          <cell r="A301" t="str">
            <v>SL</v>
          </cell>
          <cell r="D301">
            <v>18</v>
          </cell>
          <cell r="O301">
            <v>30.8</v>
          </cell>
          <cell r="R301">
            <v>1</v>
          </cell>
          <cell r="T301">
            <v>2</v>
          </cell>
          <cell r="Y301" t="str">
            <v>started climbing early, failed shooting</v>
          </cell>
        </row>
        <row r="302">
          <cell r="A302" t="str">
            <v>JB</v>
          </cell>
          <cell r="D302">
            <v>17</v>
          </cell>
          <cell r="O302">
            <v>2.5</v>
          </cell>
          <cell r="R302">
            <v>2</v>
          </cell>
          <cell r="T302">
            <v>3</v>
          </cell>
          <cell r="Y302" t="str">
            <v>Defense bot, shooter non-functional</v>
          </cell>
        </row>
        <row r="303">
          <cell r="A303" t="str">
            <v>AOD</v>
          </cell>
          <cell r="D303">
            <v>7</v>
          </cell>
          <cell r="O303">
            <v>0</v>
          </cell>
          <cell r="R303">
            <v>1</v>
          </cell>
          <cell r="T303">
            <v>4</v>
          </cell>
          <cell r="Y303" t="str">
            <v>Fast but would frequently stop.</v>
          </cell>
        </row>
        <row r="304">
          <cell r="A304" t="str">
            <v>Jm</v>
          </cell>
          <cell r="D304">
            <v>24</v>
          </cell>
          <cell r="O304">
            <v>0</v>
          </cell>
          <cell r="R304">
            <v>2</v>
          </cell>
          <cell r="T304">
            <v>4</v>
          </cell>
        </row>
        <row r="305">
          <cell r="A305" t="str">
            <v>SL</v>
          </cell>
          <cell r="D305">
            <v>45</v>
          </cell>
          <cell r="O305">
            <v>0</v>
          </cell>
          <cell r="R305">
            <v>3</v>
          </cell>
          <cell r="T305">
            <v>4</v>
          </cell>
        </row>
        <row r="306">
          <cell r="A306" t="str">
            <v>IW</v>
          </cell>
          <cell r="D306">
            <v>56</v>
          </cell>
          <cell r="O306">
            <v>7.4</v>
          </cell>
          <cell r="R306">
            <v>2</v>
          </cell>
          <cell r="T306">
            <v>4</v>
          </cell>
        </row>
        <row r="307">
          <cell r="A307" t="str">
            <v>KG</v>
          </cell>
          <cell r="D307">
            <v>6</v>
          </cell>
          <cell r="O307">
            <v>4</v>
          </cell>
          <cell r="R307" t="str">
            <v>x</v>
          </cell>
          <cell r="T307">
            <v>1</v>
          </cell>
          <cell r="Y307" t="str">
            <v>It's driving was weird and slow, seemed to get stuck.</v>
          </cell>
        </row>
        <row r="308">
          <cell r="A308" t="str">
            <v>AG</v>
          </cell>
          <cell r="D308">
            <v>18</v>
          </cell>
          <cell r="O308">
            <v>0</v>
          </cell>
          <cell r="R308">
            <v>1</v>
          </cell>
          <cell r="T308">
            <v>2</v>
          </cell>
        </row>
        <row r="309">
          <cell r="A309" t="str">
            <v>AG</v>
          </cell>
          <cell r="D309">
            <v>16</v>
          </cell>
          <cell r="O309">
            <v>0</v>
          </cell>
          <cell r="R309">
            <v>1</v>
          </cell>
          <cell r="T309">
            <v>2</v>
          </cell>
        </row>
        <row r="310">
          <cell r="A310" t="str">
            <v>GN</v>
          </cell>
          <cell r="D310">
            <v>32</v>
          </cell>
          <cell r="O310">
            <v>3.6</v>
          </cell>
          <cell r="R310">
            <v>2</v>
          </cell>
          <cell r="T310">
            <v>3</v>
          </cell>
          <cell r="Y310" t="str">
            <v>good auto period, focuses on amp after 2 speaker scores</v>
          </cell>
        </row>
        <row r="311">
          <cell r="A311" t="str">
            <v>Jm</v>
          </cell>
          <cell r="D311">
            <v>4</v>
          </cell>
          <cell r="O311">
            <v>0</v>
          </cell>
          <cell r="R311">
            <v>2</v>
          </cell>
          <cell r="T311">
            <v>2</v>
          </cell>
        </row>
        <row r="312">
          <cell r="A312" t="str">
            <v>CT</v>
          </cell>
          <cell r="D312">
            <v>25</v>
          </cell>
          <cell r="O312">
            <v>0</v>
          </cell>
          <cell r="R312">
            <v>2</v>
          </cell>
          <cell r="T312">
            <v>3</v>
          </cell>
          <cell r="Y312" t="str">
            <v>shooter broke</v>
          </cell>
        </row>
        <row r="313">
          <cell r="A313" t="str">
            <v>KG</v>
          </cell>
          <cell r="D313">
            <v>16</v>
          </cell>
          <cell r="O313">
            <v>0</v>
          </cell>
          <cell r="R313">
            <v>2</v>
          </cell>
          <cell r="T313">
            <v>3</v>
          </cell>
        </row>
        <row r="314">
          <cell r="A314" t="str">
            <v>SL</v>
          </cell>
          <cell r="D314">
            <v>48</v>
          </cell>
          <cell r="O314">
            <v>3.2</v>
          </cell>
          <cell r="R314">
            <v>1</v>
          </cell>
          <cell r="T314">
            <v>2</v>
          </cell>
          <cell r="Y314" t="str">
            <v>good at climbing but bad at everything else</v>
          </cell>
        </row>
        <row r="315">
          <cell r="A315" t="str">
            <v>IW</v>
          </cell>
          <cell r="D315">
            <v>14</v>
          </cell>
          <cell r="O315">
            <v>0</v>
          </cell>
          <cell r="R315">
            <v>1</v>
          </cell>
          <cell r="T315">
            <v>2</v>
          </cell>
        </row>
        <row r="316">
          <cell r="A316" t="str">
            <v>KG</v>
          </cell>
          <cell r="D316">
            <v>7</v>
          </cell>
          <cell r="O316">
            <v>0</v>
          </cell>
          <cell r="R316">
            <v>1</v>
          </cell>
          <cell r="T316">
            <v>2</v>
          </cell>
          <cell r="Y316" t="str">
            <v>Only shot 2 notes, both missed</v>
          </cell>
        </row>
        <row r="317">
          <cell r="A317" t="str">
            <v>KG</v>
          </cell>
          <cell r="D317">
            <v>13</v>
          </cell>
          <cell r="O317">
            <v>0</v>
          </cell>
          <cell r="R317" t="str">
            <v>x</v>
          </cell>
          <cell r="T317">
            <v>3</v>
          </cell>
        </row>
        <row r="318">
          <cell r="A318" t="str">
            <v>SL</v>
          </cell>
          <cell r="D318">
            <v>37</v>
          </cell>
          <cell r="O318">
            <v>0</v>
          </cell>
          <cell r="R318">
            <v>2</v>
          </cell>
          <cell r="T318">
            <v>4</v>
          </cell>
        </row>
        <row r="319">
          <cell r="A319" t="str">
            <v>AOD</v>
          </cell>
          <cell r="D319">
            <v>52</v>
          </cell>
          <cell r="O319">
            <v>0</v>
          </cell>
          <cell r="R319">
            <v>1</v>
          </cell>
          <cell r="T319">
            <v>3</v>
          </cell>
          <cell r="Y319" t="str">
            <v>Didn't score much and ran into lots of things</v>
          </cell>
        </row>
        <row r="320">
          <cell r="A320" t="str">
            <v>SSC</v>
          </cell>
          <cell r="D320">
            <v>43</v>
          </cell>
          <cell r="O320">
            <v>0</v>
          </cell>
          <cell r="R320">
            <v>2</v>
          </cell>
          <cell r="T320">
            <v>3</v>
          </cell>
          <cell r="Y320" t="str">
            <v>No auto</v>
          </cell>
        </row>
        <row r="321">
          <cell r="A321" t="str">
            <v>KG</v>
          </cell>
          <cell r="D321">
            <v>10</v>
          </cell>
          <cell r="O321">
            <v>0</v>
          </cell>
          <cell r="R321" t="str">
            <v>x</v>
          </cell>
          <cell r="T321">
            <v>1</v>
          </cell>
          <cell r="Y321" t="str">
            <v>Never moved at all</v>
          </cell>
        </row>
        <row r="322">
          <cell r="A322" t="str">
            <v>AOD</v>
          </cell>
          <cell r="D322">
            <v>13</v>
          </cell>
          <cell r="O322">
            <v>0</v>
          </cell>
          <cell r="R322" t="str">
            <v>x</v>
          </cell>
          <cell r="T322">
            <v>1</v>
          </cell>
          <cell r="Y322" t="str">
            <v>Didn't move after autonomous</v>
          </cell>
        </row>
        <row r="323">
          <cell r="A323" t="str">
            <v>SSC</v>
          </cell>
          <cell r="D323">
            <v>6</v>
          </cell>
          <cell r="O323">
            <v>0</v>
          </cell>
          <cell r="R323">
            <v>2</v>
          </cell>
          <cell r="T323">
            <v>2</v>
          </cell>
        </row>
        <row r="324">
          <cell r="A324" t="str">
            <v>JB</v>
          </cell>
          <cell r="D324">
            <v>58</v>
          </cell>
          <cell r="O324">
            <v>0</v>
          </cell>
          <cell r="R324">
            <v>1</v>
          </cell>
          <cell r="T324">
            <v>2</v>
          </cell>
        </row>
        <row r="325">
          <cell r="A325" t="str">
            <v>SL</v>
          </cell>
          <cell r="D325">
            <v>40</v>
          </cell>
          <cell r="O325">
            <v>0</v>
          </cell>
          <cell r="R325" t="str">
            <v>x</v>
          </cell>
          <cell r="T325">
            <v>3</v>
          </cell>
          <cell r="Y325" t="str">
            <v>only thing it really did was do an okay job at defence</v>
          </cell>
        </row>
        <row r="326">
          <cell r="A326" t="str">
            <v>KG</v>
          </cell>
          <cell r="D326">
            <v>24</v>
          </cell>
          <cell r="O326">
            <v>6.7</v>
          </cell>
          <cell r="R326" t="str">
            <v>x</v>
          </cell>
          <cell r="T326">
            <v>3</v>
          </cell>
          <cell r="Y326" t="str">
            <v>Was not moving for first 3/4 of match</v>
          </cell>
        </row>
        <row r="327">
          <cell r="A327" t="str">
            <v>AOD</v>
          </cell>
          <cell r="D327">
            <v>8</v>
          </cell>
          <cell r="O327">
            <v>8.3000000000000007</v>
          </cell>
          <cell r="R327">
            <v>1</v>
          </cell>
          <cell r="T327">
            <v>2</v>
          </cell>
          <cell r="Y327" t="str">
            <v>Hesitant and erratic movement</v>
          </cell>
        </row>
        <row r="328">
          <cell r="A328" t="str">
            <v>Jm</v>
          </cell>
          <cell r="D328">
            <v>17</v>
          </cell>
          <cell r="O328">
            <v>19.7</v>
          </cell>
          <cell r="R328">
            <v>2</v>
          </cell>
          <cell r="T328">
            <v>3</v>
          </cell>
        </row>
        <row r="329">
          <cell r="A329" t="str">
            <v>SSC</v>
          </cell>
          <cell r="D329">
            <v>34</v>
          </cell>
          <cell r="O329">
            <v>0</v>
          </cell>
          <cell r="R329">
            <v>1</v>
          </cell>
          <cell r="T329">
            <v>3</v>
          </cell>
          <cell r="Y329" t="str">
            <v>Didn't do much</v>
          </cell>
        </row>
        <row r="330">
          <cell r="A330" t="str">
            <v>SL</v>
          </cell>
          <cell r="D330">
            <v>56</v>
          </cell>
          <cell r="O330">
            <v>2.8</v>
          </cell>
          <cell r="R330">
            <v>1</v>
          </cell>
          <cell r="T330">
            <v>2</v>
          </cell>
        </row>
        <row r="331">
          <cell r="A331" t="str">
            <v>AOD</v>
          </cell>
          <cell r="D331">
            <v>9</v>
          </cell>
          <cell r="O331">
            <v>2.5</v>
          </cell>
          <cell r="R331">
            <v>1</v>
          </cell>
          <cell r="T331">
            <v>2</v>
          </cell>
          <cell r="Y331" t="str">
            <v>It was very wobbly</v>
          </cell>
        </row>
        <row r="332">
          <cell r="A332" t="str">
            <v>SL</v>
          </cell>
          <cell r="D332">
            <v>15</v>
          </cell>
          <cell r="O332">
            <v>13.3</v>
          </cell>
          <cell r="R332">
            <v>2</v>
          </cell>
          <cell r="T332">
            <v>3</v>
          </cell>
          <cell r="Y332" t="str">
            <v xml:space="preserve">wasn't active for a little while at beginning of tele </v>
          </cell>
        </row>
        <row r="333">
          <cell r="A333" t="str">
            <v>JB</v>
          </cell>
          <cell r="D333">
            <v>11</v>
          </cell>
          <cell r="O333">
            <v>0</v>
          </cell>
          <cell r="R333">
            <v>3</v>
          </cell>
          <cell r="T333">
            <v>4</v>
          </cell>
          <cell r="Y333" t="str">
            <v>solid team</v>
          </cell>
        </row>
        <row r="334">
          <cell r="A334" t="str">
            <v>SL</v>
          </cell>
          <cell r="D334">
            <v>30</v>
          </cell>
          <cell r="O334">
            <v>0</v>
          </cell>
          <cell r="R334">
            <v>3</v>
          </cell>
          <cell r="T334">
            <v>5</v>
          </cell>
        </row>
        <row r="335">
          <cell r="A335" t="str">
            <v>AOD</v>
          </cell>
          <cell r="D335">
            <v>47</v>
          </cell>
          <cell r="O335">
            <v>3.5</v>
          </cell>
          <cell r="R335">
            <v>2</v>
          </cell>
          <cell r="T335">
            <v>4</v>
          </cell>
          <cell r="Y335" t="str">
            <v>Fast and accurate</v>
          </cell>
        </row>
        <row r="336">
          <cell r="A336" t="str">
            <v>KG</v>
          </cell>
          <cell r="D336">
            <v>56</v>
          </cell>
          <cell r="O336">
            <v>0</v>
          </cell>
          <cell r="R336">
            <v>3</v>
          </cell>
          <cell r="T336">
            <v>4</v>
          </cell>
        </row>
        <row r="337">
          <cell r="A337" t="str">
            <v>AOD</v>
          </cell>
          <cell r="D337">
            <v>14</v>
          </cell>
          <cell r="O337">
            <v>0</v>
          </cell>
          <cell r="R337" t="str">
            <v>x</v>
          </cell>
          <cell r="T337">
            <v>1</v>
          </cell>
          <cell r="Y337" t="str">
            <v>Wasn't able to move</v>
          </cell>
        </row>
        <row r="338">
          <cell r="A338" t="str">
            <v>SL</v>
          </cell>
          <cell r="D338">
            <v>18</v>
          </cell>
          <cell r="O338">
            <v>0</v>
          </cell>
          <cell r="R338">
            <v>2</v>
          </cell>
          <cell r="T338">
            <v>3</v>
          </cell>
          <cell r="Y338" t="str">
            <v xml:space="preserve">would pick up notes from source and launch them to red </v>
          </cell>
        </row>
        <row r="339">
          <cell r="A339" t="str">
            <v>JB</v>
          </cell>
          <cell r="D339">
            <v>30</v>
          </cell>
          <cell r="O339">
            <v>0</v>
          </cell>
          <cell r="R339">
            <v>2</v>
          </cell>
          <cell r="T339">
            <v>2</v>
          </cell>
          <cell r="Y339" t="str">
            <v>Not very effective, can't pickup from ground</v>
          </cell>
        </row>
        <row r="340">
          <cell r="A340" t="str">
            <v>Ey</v>
          </cell>
          <cell r="D340">
            <v>24</v>
          </cell>
          <cell r="O340">
            <v>0</v>
          </cell>
          <cell r="R340">
            <v>2</v>
          </cell>
          <cell r="T340">
            <v>2</v>
          </cell>
          <cell r="Y340" t="str">
            <v>They were slower but they made all shots</v>
          </cell>
        </row>
        <row r="341">
          <cell r="A341" t="str">
            <v>SSC</v>
          </cell>
          <cell r="D341">
            <v>7</v>
          </cell>
          <cell r="O341">
            <v>0</v>
          </cell>
          <cell r="R341">
            <v>1</v>
          </cell>
          <cell r="T341">
            <v>3</v>
          </cell>
          <cell r="Y341" t="str">
            <v>Goes in front of other teams speaker and blocks it</v>
          </cell>
        </row>
        <row r="342">
          <cell r="A342" t="str">
            <v>KG</v>
          </cell>
          <cell r="D342">
            <v>51</v>
          </cell>
          <cell r="O342">
            <v>0</v>
          </cell>
          <cell r="R342">
            <v>2</v>
          </cell>
          <cell r="T342">
            <v>3</v>
          </cell>
        </row>
        <row r="343">
          <cell r="A343" t="str">
            <v>Jm</v>
          </cell>
          <cell r="D343">
            <v>40</v>
          </cell>
          <cell r="O343">
            <v>0</v>
          </cell>
          <cell r="R343">
            <v>2</v>
          </cell>
          <cell r="T343">
            <v>2</v>
          </cell>
        </row>
      </sheetData>
      <sheetData sheetId="1">
        <row r="2">
          <cell r="A2">
            <v>876</v>
          </cell>
          <cell r="B2" t="str">
            <v>Sound check</v>
          </cell>
          <cell r="J2" t="str">
            <v>Y</v>
          </cell>
          <cell r="M2">
            <v>0</v>
          </cell>
          <cell r="N2">
            <v>2</v>
          </cell>
          <cell r="V2" t="str">
            <v>[]</v>
          </cell>
          <cell r="W2" t="str">
            <v>[58,35,19]</v>
          </cell>
          <cell r="Z2" t="str">
            <v>Mainly speaker and stary zone</v>
          </cell>
        </row>
        <row r="3">
          <cell r="A3">
            <v>877</v>
          </cell>
          <cell r="B3" t="str">
            <v>Jerry</v>
          </cell>
          <cell r="J3" t="str">
            <v>Y</v>
          </cell>
          <cell r="M3">
            <v>0</v>
          </cell>
          <cell r="N3">
            <v>0</v>
          </cell>
          <cell r="V3" t="str">
            <v>[]</v>
          </cell>
          <cell r="W3" t="str">
            <v>[20]</v>
          </cell>
          <cell r="Z3" t="str">
            <v>Drive forward</v>
          </cell>
        </row>
        <row r="4">
          <cell r="A4">
            <v>2177</v>
          </cell>
          <cell r="B4" t="str">
            <v>Daphne</v>
          </cell>
          <cell r="J4" t="str">
            <v>Y</v>
          </cell>
          <cell r="M4">
            <v>0</v>
          </cell>
          <cell r="N4">
            <v>1</v>
          </cell>
          <cell r="V4" t="str">
            <v>[21,7,10]</v>
          </cell>
          <cell r="W4" t="str">
            <v>[21,33]</v>
          </cell>
          <cell r="Z4" t="str">
            <v>score speaker once, leave zone</v>
          </cell>
        </row>
        <row r="5">
          <cell r="A5">
            <v>2450</v>
          </cell>
          <cell r="B5" t="str">
            <v>Zane</v>
          </cell>
          <cell r="J5" t="str">
            <v>Y</v>
          </cell>
          <cell r="M5">
            <v>0</v>
          </cell>
          <cell r="N5">
            <v>1</v>
          </cell>
          <cell r="V5" t="str">
            <v>[9,7,10]</v>
          </cell>
          <cell r="W5" t="str">
            <v>[9,7,10]</v>
          </cell>
          <cell r="Z5" t="str">
            <v>Shoot note go to center</v>
          </cell>
        </row>
        <row r="6">
          <cell r="A6">
            <v>2500</v>
          </cell>
          <cell r="B6" t="str">
            <v>Btly</v>
          </cell>
          <cell r="J6" t="str">
            <v>Y</v>
          </cell>
          <cell r="M6">
            <v>0</v>
          </cell>
          <cell r="N6">
            <v>1</v>
          </cell>
          <cell r="V6" t="str">
            <v>[7,10]</v>
          </cell>
          <cell r="W6" t="str">
            <v>[21]</v>
          </cell>
          <cell r="Z6" t="str">
            <v>Score in speaker than leave</v>
          </cell>
        </row>
        <row r="7">
          <cell r="A7">
            <v>2530</v>
          </cell>
          <cell r="B7" t="str">
            <v>Riffs of insanity</v>
          </cell>
          <cell r="J7" t="str">
            <v>Y</v>
          </cell>
          <cell r="M7">
            <v>0</v>
          </cell>
          <cell r="N7">
            <v>4</v>
          </cell>
          <cell r="V7" t="str">
            <v>[7,9,10,9,21,21]</v>
          </cell>
          <cell r="W7" t="str">
            <v>[21,10,7,21,18,11]</v>
          </cell>
          <cell r="Z7" t="str">
            <v>Leave, pick up score either sides.</v>
          </cell>
        </row>
        <row r="8">
          <cell r="A8">
            <v>2549</v>
          </cell>
          <cell r="B8" t="str">
            <v>Becky</v>
          </cell>
          <cell r="J8" t="str">
            <v>Y</v>
          </cell>
          <cell r="M8">
            <v>2</v>
          </cell>
          <cell r="N8">
            <v>2</v>
          </cell>
          <cell r="V8" t="str">
            <v>[8,9,9,8]</v>
          </cell>
          <cell r="W8" t="str">
            <v>[21,11,7]</v>
          </cell>
          <cell r="Z8" t="str">
            <v>2 notes in speaker</v>
          </cell>
        </row>
        <row r="9">
          <cell r="A9">
            <v>2654</v>
          </cell>
          <cell r="B9" t="str">
            <v>Switchback</v>
          </cell>
          <cell r="J9" t="str">
            <v>N</v>
          </cell>
          <cell r="M9">
            <v>0</v>
          </cell>
          <cell r="N9">
            <v>0</v>
          </cell>
          <cell r="V9" t="str">
            <v>[21]</v>
          </cell>
          <cell r="W9" t="str">
            <v>[20]</v>
          </cell>
          <cell r="Z9" t="str">
            <v>score speaker once, leave</v>
          </cell>
        </row>
        <row r="10">
          <cell r="A10">
            <v>2883</v>
          </cell>
          <cell r="B10" t="str">
            <v>Isabella</v>
          </cell>
          <cell r="J10" t="str">
            <v>Y</v>
          </cell>
          <cell r="M10">
            <v>1</v>
          </cell>
          <cell r="N10">
            <v>3</v>
          </cell>
          <cell r="V10" t="str">
            <v>[11,6]</v>
          </cell>
          <cell r="W10" t="str">
            <v>[21,23]</v>
          </cell>
          <cell r="Z10" t="str">
            <v>Amp and speaker and start zone</v>
          </cell>
        </row>
        <row r="11">
          <cell r="A11">
            <v>3026</v>
          </cell>
          <cell r="B11" t="str">
            <v>Tuna</v>
          </cell>
          <cell r="J11" t="str">
            <v>Y</v>
          </cell>
          <cell r="M11">
            <v>0</v>
          </cell>
          <cell r="N11">
            <v>2</v>
          </cell>
          <cell r="V11" t="str">
            <v>[6,20,11]</v>
          </cell>
          <cell r="W11" t="str">
            <v>[21]</v>
          </cell>
          <cell r="Z11" t="str">
            <v>3 ring</v>
          </cell>
        </row>
        <row r="12">
          <cell r="A12">
            <v>3042</v>
          </cell>
          <cell r="B12" t="str">
            <v>Larry</v>
          </cell>
          <cell r="J12" t="str">
            <v>Y</v>
          </cell>
          <cell r="M12">
            <v>0</v>
          </cell>
          <cell r="N12">
            <v>1</v>
          </cell>
          <cell r="V12" t="str">
            <v>[21,7,11]</v>
          </cell>
          <cell r="W12" t="str">
            <v>[9,7,9]</v>
          </cell>
          <cell r="Z12" t="str">
            <v>Back up</v>
          </cell>
        </row>
        <row r="13">
          <cell r="A13">
            <v>3058</v>
          </cell>
          <cell r="B13" t="str">
            <v>Public enemy</v>
          </cell>
          <cell r="J13" t="str">
            <v>Y</v>
          </cell>
          <cell r="M13">
            <v>0</v>
          </cell>
          <cell r="N13">
            <v>2</v>
          </cell>
          <cell r="V13" t="str">
            <v>[21,8]</v>
          </cell>
          <cell r="W13" t="str">
            <v>[9,9]</v>
          </cell>
          <cell r="Z13" t="str">
            <v>Can shoot in speaker and get off line and grab note</v>
          </cell>
        </row>
        <row r="14">
          <cell r="A14">
            <v>3275</v>
          </cell>
          <cell r="B14" t="str">
            <v xml:space="preserve">Phoenix </v>
          </cell>
          <cell r="J14" t="str">
            <v>Y</v>
          </cell>
          <cell r="M14">
            <v>0</v>
          </cell>
          <cell r="N14">
            <v>1</v>
          </cell>
          <cell r="V14" t="str">
            <v>[21]</v>
          </cell>
          <cell r="W14" t="str">
            <v>[9]</v>
          </cell>
          <cell r="Z14" t="str">
            <v>Shoot speaker</v>
          </cell>
        </row>
        <row r="15">
          <cell r="A15">
            <v>3276</v>
          </cell>
          <cell r="B15" t="str">
            <v>Piccolo</v>
          </cell>
          <cell r="J15" t="str">
            <v>Y</v>
          </cell>
          <cell r="M15">
            <v>2</v>
          </cell>
          <cell r="N15">
            <v>4</v>
          </cell>
          <cell r="V15" t="str">
            <v>[21]</v>
          </cell>
          <cell r="W15" t="str">
            <v>[8,7,-2,24,18,21,22,23]</v>
          </cell>
          <cell r="Z15" t="str">
            <v>Speaker and amp</v>
          </cell>
        </row>
        <row r="16">
          <cell r="A16">
            <v>3277</v>
          </cell>
          <cell r="B16" t="str">
            <v>The maestro</v>
          </cell>
          <cell r="J16" t="str">
            <v>Y</v>
          </cell>
          <cell r="M16">
            <v>0</v>
          </cell>
          <cell r="N16">
            <v>4</v>
          </cell>
          <cell r="V16" t="str">
            <v>[3]</v>
          </cell>
          <cell r="W16" t="str">
            <v>[24,21,9,7,10,7]</v>
          </cell>
          <cell r="Z16" t="str">
            <v>Score speaker</v>
          </cell>
        </row>
        <row r="17">
          <cell r="A17">
            <v>3278</v>
          </cell>
          <cell r="B17" t="str">
            <v>Squatchbot</v>
          </cell>
          <cell r="J17" t="str">
            <v>Y</v>
          </cell>
          <cell r="M17">
            <v>0</v>
          </cell>
          <cell r="N17">
            <v>0</v>
          </cell>
          <cell r="V17" t="str">
            <v>[11]</v>
          </cell>
          <cell r="W17" t="str">
            <v>[9,7]</v>
          </cell>
          <cell r="Z17" t="str">
            <v>pick up note</v>
          </cell>
        </row>
        <row r="18">
          <cell r="A18">
            <v>3293</v>
          </cell>
          <cell r="B18" t="str">
            <v>Big G</v>
          </cell>
          <cell r="J18" t="str">
            <v>Y</v>
          </cell>
          <cell r="M18">
            <v>2</v>
          </cell>
          <cell r="N18">
            <v>0</v>
          </cell>
          <cell r="V18" t="str">
            <v>[10,7,10]</v>
          </cell>
          <cell r="W18" t="str">
            <v>[]</v>
          </cell>
          <cell r="Z18" t="str">
            <v>Score in amp pick up 2 middle and put in shooters way.</v>
          </cell>
        </row>
        <row r="19">
          <cell r="A19">
            <v>3293</v>
          </cell>
          <cell r="B19" t="str">
            <v>Big G</v>
          </cell>
          <cell r="J19" t="str">
            <v>Y</v>
          </cell>
          <cell r="M19">
            <v>2</v>
          </cell>
          <cell r="N19">
            <v>0</v>
          </cell>
          <cell r="V19" t="str">
            <v>[24,24]</v>
          </cell>
          <cell r="W19" t="str">
            <v>[]</v>
          </cell>
          <cell r="Z19" t="str">
            <v>2 notes, give to shooter, score in amp</v>
          </cell>
        </row>
        <row r="20">
          <cell r="A20">
            <v>3298</v>
          </cell>
          <cell r="B20" t="str">
            <v>Cortana</v>
          </cell>
          <cell r="J20" t="str">
            <v>Y</v>
          </cell>
          <cell r="M20">
            <v>1</v>
          </cell>
          <cell r="N20">
            <v>0</v>
          </cell>
          <cell r="V20" t="str">
            <v>[24]</v>
          </cell>
          <cell r="W20" t="str">
            <v>[25]</v>
          </cell>
          <cell r="Z20" t="str">
            <v>Score in amp</v>
          </cell>
        </row>
        <row r="21">
          <cell r="A21">
            <v>3313</v>
          </cell>
          <cell r="B21" t="str">
            <v>Sound wave</v>
          </cell>
          <cell r="J21" t="str">
            <v>N</v>
          </cell>
          <cell r="M21">
            <v>0</v>
          </cell>
          <cell r="N21">
            <v>0</v>
          </cell>
          <cell r="V21" t="str">
            <v>[]</v>
          </cell>
          <cell r="W21" t="str">
            <v>[]</v>
          </cell>
          <cell r="Z21" t="str">
            <v>Nothing</v>
          </cell>
        </row>
        <row r="22">
          <cell r="A22">
            <v>3755</v>
          </cell>
          <cell r="B22" t="str">
            <v>elmo</v>
          </cell>
          <cell r="J22" t="str">
            <v>N</v>
          </cell>
          <cell r="M22">
            <v>0</v>
          </cell>
          <cell r="N22">
            <v>1</v>
          </cell>
          <cell r="V22" t="str">
            <v>[6,21,11]</v>
          </cell>
          <cell r="W22" t="str">
            <v>[9,10]</v>
          </cell>
          <cell r="Z22" t="str">
            <v>none</v>
          </cell>
        </row>
        <row r="23">
          <cell r="A23">
            <v>3871</v>
          </cell>
          <cell r="B23" t="str">
            <v>None</v>
          </cell>
          <cell r="J23" t="str">
            <v>Y</v>
          </cell>
          <cell r="M23">
            <v>0</v>
          </cell>
          <cell r="N23">
            <v>1</v>
          </cell>
          <cell r="V23" t="str">
            <v>[21]</v>
          </cell>
          <cell r="W23" t="str">
            <v>[9,7,10]</v>
          </cell>
          <cell r="Z23" t="str">
            <v>1 in speaker</v>
          </cell>
        </row>
        <row r="24">
          <cell r="A24">
            <v>3926</v>
          </cell>
          <cell r="B24" t="str">
            <v>icespit</v>
          </cell>
          <cell r="J24" t="str">
            <v>Y</v>
          </cell>
          <cell r="M24">
            <v>0</v>
          </cell>
          <cell r="N24">
            <v>3</v>
          </cell>
          <cell r="V24" t="str">
            <v>[9,7]</v>
          </cell>
          <cell r="W24" t="str">
            <v>[9]</v>
          </cell>
          <cell r="Z24" t="str">
            <v>score 1</v>
          </cell>
        </row>
        <row r="25">
          <cell r="A25">
            <v>4181</v>
          </cell>
          <cell r="B25" t="str">
            <v>none</v>
          </cell>
          <cell r="J25" t="str">
            <v>Y</v>
          </cell>
          <cell r="M25">
            <v>0</v>
          </cell>
          <cell r="N25">
            <v>2</v>
          </cell>
          <cell r="V25" t="str">
            <v>[21,21]</v>
          </cell>
          <cell r="W25" t="str">
            <v>[21,21]</v>
          </cell>
          <cell r="Z25" t="str">
            <v>score 1</v>
          </cell>
        </row>
        <row r="26">
          <cell r="A26">
            <v>4198</v>
          </cell>
          <cell r="B26" t="str">
            <v>fish</v>
          </cell>
          <cell r="J26" t="str">
            <v>Y</v>
          </cell>
          <cell r="M26">
            <v>0</v>
          </cell>
          <cell r="N26">
            <v>1</v>
          </cell>
          <cell r="V26" t="str">
            <v>[6]</v>
          </cell>
          <cell r="W26" t="str">
            <v>[21,10,7]</v>
          </cell>
          <cell r="Z26" t="str">
            <v>1 note</v>
          </cell>
        </row>
        <row r="27">
          <cell r="A27">
            <v>4226</v>
          </cell>
          <cell r="B27" t="str">
            <v>bounty</v>
          </cell>
          <cell r="J27" t="str">
            <v>Y</v>
          </cell>
          <cell r="M27">
            <v>0</v>
          </cell>
          <cell r="N27">
            <v>1</v>
          </cell>
          <cell r="V27" t="str">
            <v>[21]</v>
          </cell>
          <cell r="W27" t="str">
            <v>[21,21,9]</v>
          </cell>
          <cell r="Z27" t="str">
            <v>score 1</v>
          </cell>
        </row>
        <row r="28">
          <cell r="A28">
            <v>4238</v>
          </cell>
          <cell r="J28" t="str">
            <v>N</v>
          </cell>
          <cell r="M28">
            <v>0</v>
          </cell>
          <cell r="N28">
            <v>1</v>
          </cell>
          <cell r="V28" t="str">
            <v>[21]</v>
          </cell>
          <cell r="W28" t="str">
            <v>[9,10,7]</v>
          </cell>
          <cell r="Z28" t="str">
            <v>shoot 3 and grab a 4th</v>
          </cell>
        </row>
        <row r="29">
          <cell r="A29">
            <v>4239</v>
          </cell>
          <cell r="B29" t="str">
            <v>jawn</v>
          </cell>
          <cell r="J29" t="str">
            <v>Y</v>
          </cell>
          <cell r="M29">
            <v>0</v>
          </cell>
          <cell r="N29">
            <v>2</v>
          </cell>
          <cell r="V29" t="str">
            <v>[5,6]</v>
          </cell>
          <cell r="W29" t="str">
            <v>[9]</v>
          </cell>
          <cell r="Z29" t="str">
            <v>2 and out</v>
          </cell>
        </row>
        <row r="30">
          <cell r="A30">
            <v>4360</v>
          </cell>
          <cell r="B30" t="str">
            <v>ferdanand</v>
          </cell>
          <cell r="J30" t="str">
            <v>N</v>
          </cell>
          <cell r="M30">
            <v>0</v>
          </cell>
          <cell r="N30">
            <v>0</v>
          </cell>
          <cell r="V30" t="str">
            <v>[]</v>
          </cell>
          <cell r="W30" t="str">
            <v>[]</v>
          </cell>
          <cell r="Z30" t="str">
            <v>none</v>
          </cell>
        </row>
        <row r="31">
          <cell r="A31">
            <v>4539</v>
          </cell>
          <cell r="B31" t="str">
            <v xml:space="preserve">kashmir </v>
          </cell>
          <cell r="J31" t="str">
            <v>Y</v>
          </cell>
          <cell r="M31">
            <v>0</v>
          </cell>
          <cell r="N31">
            <v>2</v>
          </cell>
          <cell r="V31" t="str">
            <v>[21]</v>
          </cell>
          <cell r="W31" t="str">
            <v>[21]</v>
          </cell>
          <cell r="Z31" t="str">
            <v xml:space="preserve">pick up notes </v>
          </cell>
        </row>
        <row r="32">
          <cell r="A32">
            <v>4596</v>
          </cell>
          <cell r="B32" t="str">
            <v>cassiopea</v>
          </cell>
          <cell r="J32" t="str">
            <v>Y</v>
          </cell>
          <cell r="M32">
            <v>0</v>
          </cell>
          <cell r="N32">
            <v>3</v>
          </cell>
          <cell r="V32" t="str">
            <v>[6]</v>
          </cell>
          <cell r="W32" t="str">
            <v>[21,20]</v>
          </cell>
          <cell r="Z32" t="str">
            <v>score 2-3</v>
          </cell>
        </row>
        <row r="33">
          <cell r="A33">
            <v>4663</v>
          </cell>
          <cell r="B33" t="str">
            <v>mcmera</v>
          </cell>
          <cell r="J33" t="str">
            <v>Y</v>
          </cell>
          <cell r="M33">
            <v>0</v>
          </cell>
          <cell r="N33">
            <v>4</v>
          </cell>
          <cell r="V33" t="str">
            <v>[8]</v>
          </cell>
          <cell r="W33" t="str">
            <v>[21,21,21,21]</v>
          </cell>
          <cell r="Z33" t="str">
            <v>4 score</v>
          </cell>
        </row>
        <row r="34">
          <cell r="A34">
            <v>4674</v>
          </cell>
          <cell r="B34" t="str">
            <v>none</v>
          </cell>
          <cell r="J34" t="str">
            <v>Y</v>
          </cell>
          <cell r="M34">
            <v>1</v>
          </cell>
          <cell r="N34">
            <v>0</v>
          </cell>
          <cell r="V34" t="str">
            <v>[21]</v>
          </cell>
          <cell r="W34" t="str">
            <v>[21,9]</v>
          </cell>
          <cell r="Z34" t="str">
            <v>score 1</v>
          </cell>
        </row>
        <row r="35">
          <cell r="A35">
            <v>5464</v>
          </cell>
          <cell r="B35" t="str">
            <v xml:space="preserve">thunderstruck </v>
          </cell>
          <cell r="J35" t="str">
            <v>Y</v>
          </cell>
          <cell r="M35">
            <v>0</v>
          </cell>
          <cell r="N35">
            <v>4</v>
          </cell>
          <cell r="V35" t="str">
            <v>[8,21,21,21]</v>
          </cell>
          <cell r="W35" t="str">
            <v>[21,7,10]</v>
          </cell>
          <cell r="Z35" t="str">
            <v xml:space="preserve">4 peice </v>
          </cell>
        </row>
        <row r="36">
          <cell r="A36">
            <v>5576</v>
          </cell>
          <cell r="B36" t="str">
            <v>gary</v>
          </cell>
          <cell r="J36" t="str">
            <v>Y</v>
          </cell>
          <cell r="M36">
            <v>0</v>
          </cell>
          <cell r="N36">
            <v>1</v>
          </cell>
          <cell r="V36" t="str">
            <v>[5,21,12]</v>
          </cell>
          <cell r="W36" t="str">
            <v>[9,21]</v>
          </cell>
          <cell r="Z36" t="str">
            <v>score and move out</v>
          </cell>
        </row>
        <row r="37">
          <cell r="A37">
            <v>5638</v>
          </cell>
          <cell r="B37" t="str">
            <v>Michael jukeson</v>
          </cell>
          <cell r="J37" t="str">
            <v>Y</v>
          </cell>
          <cell r="M37">
            <v>0</v>
          </cell>
          <cell r="N37">
            <v>4</v>
          </cell>
          <cell r="V37" t="str">
            <v>[9]</v>
          </cell>
          <cell r="W37" t="str">
            <v>[9,8,10]</v>
          </cell>
          <cell r="Z37" t="str">
            <v>Score in speaker 4 times</v>
          </cell>
        </row>
        <row r="38">
          <cell r="A38">
            <v>5658</v>
          </cell>
          <cell r="B38" t="str">
            <v>filipe</v>
          </cell>
          <cell r="J38" t="str">
            <v>N</v>
          </cell>
          <cell r="M38">
            <v>0</v>
          </cell>
          <cell r="N38">
            <v>0</v>
          </cell>
          <cell r="V38" t="str">
            <v>[11,5]</v>
          </cell>
          <cell r="W38" t="str">
            <v>[9,9]</v>
          </cell>
          <cell r="Z38" t="str">
            <v xml:space="preserve">none </v>
          </cell>
        </row>
        <row r="39">
          <cell r="A39">
            <v>5929</v>
          </cell>
          <cell r="B39" t="str">
            <v>wally</v>
          </cell>
          <cell r="J39" t="str">
            <v>Y</v>
          </cell>
          <cell r="M39">
            <v>0</v>
          </cell>
          <cell r="N39">
            <v>0</v>
          </cell>
          <cell r="V39" t="str">
            <v>[10,6]</v>
          </cell>
          <cell r="W39" t="str">
            <v>[24,24]</v>
          </cell>
          <cell r="Z39" t="str">
            <v xml:space="preserve">drove forward </v>
          </cell>
        </row>
        <row r="40">
          <cell r="A40">
            <v>6146</v>
          </cell>
          <cell r="B40" t="str">
            <v xml:space="preserve">maestro </v>
          </cell>
          <cell r="J40" t="str">
            <v>Y</v>
          </cell>
          <cell r="M40">
            <v>0</v>
          </cell>
          <cell r="N40">
            <v>2</v>
          </cell>
          <cell r="V40" t="str">
            <v>[21,21]</v>
          </cell>
          <cell r="W40" t="str">
            <v>[9,45]</v>
          </cell>
          <cell r="Z40" t="str">
            <v>score 3</v>
          </cell>
        </row>
        <row r="41">
          <cell r="A41">
            <v>6175</v>
          </cell>
          <cell r="B41" t="str">
            <v>Phantom virus</v>
          </cell>
          <cell r="J41" t="str">
            <v>Y</v>
          </cell>
          <cell r="M41">
            <v>0</v>
          </cell>
          <cell r="N41">
            <v>0</v>
          </cell>
          <cell r="V41" t="str">
            <v>[6,11,21]</v>
          </cell>
          <cell r="W41" t="str">
            <v>[45,9,7,10,24]</v>
          </cell>
          <cell r="Z41" t="str">
            <v>Didn't know</v>
          </cell>
        </row>
        <row r="42">
          <cell r="A42">
            <v>6453</v>
          </cell>
          <cell r="B42" t="str">
            <v>X</v>
          </cell>
          <cell r="J42" t="str">
            <v>N</v>
          </cell>
          <cell r="M42">
            <v>0</v>
          </cell>
          <cell r="N42">
            <v>0</v>
          </cell>
          <cell r="V42" t="str">
            <v>[]</v>
          </cell>
          <cell r="W42" t="str">
            <v>[]</v>
          </cell>
          <cell r="Z42" t="str">
            <v>Nothing</v>
          </cell>
        </row>
        <row r="43">
          <cell r="A43">
            <v>6628</v>
          </cell>
          <cell r="B43" t="str">
            <v>Scrat</v>
          </cell>
          <cell r="J43" t="str">
            <v>Y</v>
          </cell>
          <cell r="M43">
            <v>0</v>
          </cell>
          <cell r="N43">
            <v>0</v>
          </cell>
          <cell r="V43" t="str">
            <v>[3,11]</v>
          </cell>
          <cell r="W43" t="str">
            <v>[24]</v>
          </cell>
          <cell r="Z43" t="str">
            <v>Move</v>
          </cell>
        </row>
        <row r="44">
          <cell r="A44">
            <v>7028</v>
          </cell>
          <cell r="B44" t="str">
            <v>Tempo</v>
          </cell>
          <cell r="J44" t="str">
            <v>Y</v>
          </cell>
          <cell r="M44">
            <v>0</v>
          </cell>
          <cell r="N44">
            <v>6</v>
          </cell>
          <cell r="V44" t="str">
            <v>[7,11]</v>
          </cell>
          <cell r="W44" t="str">
            <v>[21,24,8,16,19,14,22]</v>
          </cell>
          <cell r="Z44" t="str">
            <v xml:space="preserve">Everything </v>
          </cell>
        </row>
        <row r="45">
          <cell r="A45">
            <v>7048</v>
          </cell>
          <cell r="J45" t="str">
            <v>Y</v>
          </cell>
          <cell r="M45">
            <v>0</v>
          </cell>
          <cell r="N45">
            <v>1</v>
          </cell>
          <cell r="V45" t="str">
            <v>[9,11,7]</v>
          </cell>
          <cell r="W45" t="str">
            <v>[9]</v>
          </cell>
          <cell r="Z45" t="str">
            <v>shoot one</v>
          </cell>
        </row>
        <row r="46">
          <cell r="A46">
            <v>7235</v>
          </cell>
          <cell r="B46" t="str">
            <v>Walter</v>
          </cell>
          <cell r="J46" t="str">
            <v>Y</v>
          </cell>
          <cell r="M46">
            <v>1</v>
          </cell>
          <cell r="N46">
            <v>0</v>
          </cell>
          <cell r="V46" t="str">
            <v>[11]</v>
          </cell>
          <cell r="W46" t="str">
            <v>[25]</v>
          </cell>
          <cell r="Z46" t="str">
            <v>Amp</v>
          </cell>
        </row>
        <row r="47">
          <cell r="A47">
            <v>7257</v>
          </cell>
          <cell r="B47" t="str">
            <v>Mack</v>
          </cell>
          <cell r="J47" t="str">
            <v>Y</v>
          </cell>
          <cell r="M47">
            <v>0</v>
          </cell>
          <cell r="N47">
            <v>4</v>
          </cell>
          <cell r="V47" t="str">
            <v>[6]</v>
          </cell>
          <cell r="W47" t="str">
            <v>[21,7,10,24]</v>
          </cell>
          <cell r="Z47" t="str">
            <v>Move and speaker score</v>
          </cell>
        </row>
        <row r="48">
          <cell r="A48">
            <v>7677</v>
          </cell>
          <cell r="B48" t="str">
            <v>Crazy kim</v>
          </cell>
          <cell r="J48" t="str">
            <v>Y</v>
          </cell>
          <cell r="M48">
            <v>0</v>
          </cell>
          <cell r="N48">
            <v>2</v>
          </cell>
          <cell r="V48" t="str">
            <v>[7,21,11]</v>
          </cell>
          <cell r="W48" t="str">
            <v>[7,9,10]</v>
          </cell>
          <cell r="Z48" t="str">
            <v>Speaker</v>
          </cell>
        </row>
        <row r="49">
          <cell r="A49">
            <v>8188</v>
          </cell>
          <cell r="B49" t="str">
            <v>Brent</v>
          </cell>
          <cell r="J49" t="str">
            <v>Y</v>
          </cell>
          <cell r="M49">
            <v>0</v>
          </cell>
          <cell r="N49">
            <v>4</v>
          </cell>
          <cell r="V49" t="str">
            <v>[9,11]</v>
          </cell>
          <cell r="W49" t="str">
            <v>[45,29,10,24]</v>
          </cell>
          <cell r="Z49" t="str">
            <v>Move and score speaker</v>
          </cell>
        </row>
        <row r="50">
          <cell r="A50">
            <v>8255</v>
          </cell>
          <cell r="B50" t="str">
            <v>Big bertha</v>
          </cell>
          <cell r="J50" t="str">
            <v>Y</v>
          </cell>
          <cell r="M50">
            <v>0</v>
          </cell>
          <cell r="N50">
            <v>1</v>
          </cell>
          <cell r="V50" t="str">
            <v>[9]</v>
          </cell>
          <cell r="W50" t="str">
            <v>[8,7,10]</v>
          </cell>
          <cell r="Z50" t="str">
            <v>Speaker</v>
          </cell>
        </row>
        <row r="51">
          <cell r="A51">
            <v>8586</v>
          </cell>
          <cell r="B51" t="str">
            <v>Firebot</v>
          </cell>
          <cell r="J51" t="str">
            <v>N</v>
          </cell>
          <cell r="M51">
            <v>0</v>
          </cell>
          <cell r="N51">
            <v>0</v>
          </cell>
          <cell r="V51" t="str">
            <v>[]</v>
          </cell>
          <cell r="W51" t="str">
            <v>[8]</v>
          </cell>
          <cell r="Z51" t="str">
            <v>Nothing</v>
          </cell>
        </row>
        <row r="52">
          <cell r="A52">
            <v>8878</v>
          </cell>
          <cell r="B52" t="str">
            <v>Hippobottumus</v>
          </cell>
          <cell r="J52" t="str">
            <v>Y</v>
          </cell>
          <cell r="M52">
            <v>0</v>
          </cell>
          <cell r="N52">
            <v>1</v>
          </cell>
          <cell r="V52" t="str">
            <v>[7,4,11]</v>
          </cell>
          <cell r="W52" t="str">
            <v>[9,24]</v>
          </cell>
          <cell r="Z52" t="str">
            <v>Score speaker</v>
          </cell>
        </row>
        <row r="53">
          <cell r="A53">
            <v>9474</v>
          </cell>
          <cell r="B53" t="str">
            <v>Real</v>
          </cell>
          <cell r="J53" t="str">
            <v>Y</v>
          </cell>
          <cell r="M53">
            <v>0</v>
          </cell>
          <cell r="N53">
            <v>0</v>
          </cell>
          <cell r="V53" t="str">
            <v>[]</v>
          </cell>
          <cell r="W53" t="str">
            <v>[25]</v>
          </cell>
          <cell r="Z53" t="str">
            <v>Leave starting zone</v>
          </cell>
        </row>
        <row r="54">
          <cell r="A54">
            <v>9576</v>
          </cell>
          <cell r="B54" t="str">
            <v>None</v>
          </cell>
          <cell r="J54" t="str">
            <v>Y</v>
          </cell>
          <cell r="M54">
            <v>1</v>
          </cell>
          <cell r="N54">
            <v>1</v>
          </cell>
          <cell r="V54" t="str">
            <v>[3,6,11,21]</v>
          </cell>
          <cell r="W54" t="str">
            <v>[9,7,10]</v>
          </cell>
          <cell r="Z54" t="str">
            <v>Score speaker</v>
          </cell>
        </row>
        <row r="55">
          <cell r="A55">
            <v>9745</v>
          </cell>
          <cell r="B55" t="str">
            <v>X</v>
          </cell>
          <cell r="J55" t="str">
            <v>Y</v>
          </cell>
          <cell r="M55">
            <v>0</v>
          </cell>
          <cell r="N55">
            <v>0</v>
          </cell>
          <cell r="V55" t="str">
            <v>[21]</v>
          </cell>
          <cell r="W55" t="str">
            <v>[21,24,24,10]</v>
          </cell>
          <cell r="Z55" t="str">
            <v>Move</v>
          </cell>
        </row>
        <row r="56">
          <cell r="J56" t="str">
            <v>Y</v>
          </cell>
          <cell r="M56">
            <v>1</v>
          </cell>
          <cell r="N56">
            <v>1</v>
          </cell>
          <cell r="V56" t="str">
            <v>[3,6,11,21]</v>
          </cell>
          <cell r="W56" t="str">
            <v>[9,7,10]</v>
          </cell>
          <cell r="Z56" t="str">
            <v>Score speaker</v>
          </cell>
        </row>
      </sheetData>
      <sheetData sheetId="2">
        <row r="1">
          <cell r="A1">
            <v>3755</v>
          </cell>
        </row>
      </sheetData>
      <sheetData sheetId="3">
        <row r="2">
          <cell r="B2" t="str">
            <v>Thunder Robotics</v>
          </cell>
          <cell r="F2" t="e">
            <v>#VALUE!</v>
          </cell>
        </row>
        <row r="3">
          <cell r="B3" t="str">
            <v>Pi Rho 'botics @ North Star</v>
          </cell>
          <cell r="F3" t="e">
            <v>#VALUE!</v>
          </cell>
        </row>
        <row r="4">
          <cell r="B4" t="str">
            <v>The Robettes</v>
          </cell>
          <cell r="F4" t="e">
            <v>#VALUE!</v>
          </cell>
        </row>
        <row r="5">
          <cell r="B5" t="str">
            <v>Wind Chill</v>
          </cell>
          <cell r="F5" t="e">
            <v>#VALUE!</v>
          </cell>
        </row>
        <row r="6">
          <cell r="B6" t="str">
            <v>Herobotics</v>
          </cell>
          <cell r="F6" t="e">
            <v>#VALUE!</v>
          </cell>
        </row>
        <row r="7">
          <cell r="B7" t="str">
            <v>Armada</v>
          </cell>
          <cell r="F7" t="e">
            <v>#VALUE!</v>
          </cell>
        </row>
        <row r="8">
          <cell r="B8" t="str">
            <v>Inconceivable</v>
          </cell>
          <cell r="F8" t="e">
            <v>#VALUE!</v>
          </cell>
        </row>
        <row r="9">
          <cell r="B9" t="str">
            <v>Millerbots</v>
          </cell>
          <cell r="F9" t="e">
            <v>#VALUE!</v>
          </cell>
        </row>
        <row r="10">
          <cell r="B10" t="str">
            <v>Polar Rams</v>
          </cell>
        </row>
        <row r="11">
          <cell r="B11" t="str">
            <v>F.R.E.D (FIRST Robotics Engineering and Design)</v>
          </cell>
          <cell r="F11" t="e">
            <v>#VALUE!</v>
          </cell>
        </row>
        <row r="12">
          <cell r="B12" t="str">
            <v>Orange Crush Robotics</v>
          </cell>
          <cell r="F12" t="e">
            <v>#VALUE!</v>
          </cell>
        </row>
        <row r="13">
          <cell r="B13" t="str">
            <v>Cobalt Catalysts</v>
          </cell>
          <cell r="F13" t="e">
            <v>#VALUE!</v>
          </cell>
        </row>
        <row r="14">
          <cell r="B14" t="str">
            <v>ANNDROIDS</v>
          </cell>
          <cell r="F14" t="e">
            <v>#VALUE!</v>
          </cell>
          <cell r="G14" t="e">
            <v>#VALUE!</v>
          </cell>
        </row>
        <row r="15">
          <cell r="B15" t="str">
            <v>The Accelerators</v>
          </cell>
          <cell r="F15" t="e">
            <v>#VALUE!</v>
          </cell>
        </row>
        <row r="16">
          <cell r="B16" t="str">
            <v>The Regulators</v>
          </cell>
          <cell r="F16" t="e">
            <v>#VALUE!</v>
          </cell>
        </row>
        <row r="17">
          <cell r="B17" t="str">
            <v>TOOLCATS</v>
          </cell>
        </row>
        <row r="18">
          <cell r="B18" t="str">
            <v>ProDigi</v>
          </cell>
          <cell r="F18" t="e">
            <v>#VALUE!</v>
          </cell>
        </row>
        <row r="19">
          <cell r="B19" t="str">
            <v>The Electric Lakers</v>
          </cell>
        </row>
        <row r="20">
          <cell r="B20" t="str">
            <v>OtterBots</v>
          </cell>
        </row>
        <row r="21">
          <cell r="B21" t="str">
            <v>ArrowBots</v>
          </cell>
        </row>
        <row r="22">
          <cell r="B22" t="str">
            <v>Mechatronics</v>
          </cell>
          <cell r="F22" t="e">
            <v>#VALUE!</v>
          </cell>
        </row>
        <row r="23">
          <cell r="B23" t="str">
            <v>Dragon Robotics</v>
          </cell>
        </row>
        <row r="24">
          <cell r="B24" t="str">
            <v>Trojan Robotics #3871</v>
          </cell>
        </row>
        <row r="25">
          <cell r="B25" t="str">
            <v>MPArors</v>
          </cell>
          <cell r="F25" t="e">
            <v>#VALUE!</v>
          </cell>
        </row>
        <row r="26">
          <cell r="B26" t="str">
            <v>Quack Attack</v>
          </cell>
        </row>
        <row r="27">
          <cell r="B27" t="str">
            <v>RoboCats 4198</v>
          </cell>
          <cell r="F27" t="e">
            <v>#VALUE!</v>
          </cell>
        </row>
        <row r="28">
          <cell r="B28" t="str">
            <v>Huskies</v>
          </cell>
          <cell r="F28" t="e">
            <v>#VALUE!</v>
          </cell>
        </row>
        <row r="29">
          <cell r="B29" t="str">
            <v>Resistance Robotics</v>
          </cell>
          <cell r="F29" t="e">
            <v>#VALUE!</v>
          </cell>
        </row>
        <row r="30">
          <cell r="B30" t="str">
            <v>WARPSPEED</v>
          </cell>
          <cell r="F30" t="e">
            <v>#VALUE!</v>
          </cell>
        </row>
        <row r="31">
          <cell r="B31" t="str">
            <v>Spudnik</v>
          </cell>
        </row>
        <row r="32">
          <cell r="B32" t="str">
            <v>MinuteBots</v>
          </cell>
          <cell r="F32" t="e">
            <v>#VALUE!</v>
          </cell>
          <cell r="G32" t="e">
            <v>#VALUE!</v>
          </cell>
        </row>
        <row r="33">
          <cell r="B33" t="str">
            <v>KAOTIC Robotics</v>
          </cell>
          <cell r="F33" t="e">
            <v>#VALUE!</v>
          </cell>
          <cell r="G33" t="e">
            <v>#VALUE!</v>
          </cell>
        </row>
        <row r="34">
          <cell r="B34" t="str">
            <v>Cyber Tigers</v>
          </cell>
          <cell r="F34" t="e">
            <v>#VALUE!</v>
          </cell>
          <cell r="G34" t="e">
            <v>#VALUE!</v>
          </cell>
        </row>
        <row r="35">
          <cell r="B35" t="str">
            <v>RoboJacks</v>
          </cell>
          <cell r="F35" t="e">
            <v>#VALUE!</v>
          </cell>
          <cell r="G35" t="e">
            <v>#VALUE!</v>
          </cell>
        </row>
        <row r="36">
          <cell r="B36" t="str">
            <v>Gators</v>
          </cell>
        </row>
        <row r="37">
          <cell r="B37" t="str">
            <v>Bluejacket Robotics</v>
          </cell>
          <cell r="F37" t="e">
            <v>#VALUE!</v>
          </cell>
          <cell r="G37" t="e">
            <v>#VALUE!</v>
          </cell>
        </row>
        <row r="38">
          <cell r="B38" t="str">
            <v>Team Terminator</v>
          </cell>
        </row>
        <row r="39">
          <cell r="B39" t="str">
            <v>JukeBots</v>
          </cell>
          <cell r="G39" t="e">
            <v>#VALUE!</v>
          </cell>
        </row>
        <row r="40">
          <cell r="B40" t="str">
            <v>STORMBOTICS</v>
          </cell>
        </row>
        <row r="41">
          <cell r="B41" t="str">
            <v>Raider Robotics</v>
          </cell>
        </row>
        <row r="42">
          <cell r="B42" t="str">
            <v>Blackjacks</v>
          </cell>
          <cell r="F42" t="e">
            <v>#VALUE!</v>
          </cell>
        </row>
        <row r="43">
          <cell r="B43" t="str">
            <v>EVW Mystery Machine</v>
          </cell>
          <cell r="F43" t="e">
            <v>#VALUE!</v>
          </cell>
        </row>
        <row r="44">
          <cell r="B44" t="str">
            <v>Bog Bots!</v>
          </cell>
          <cell r="F44" t="e">
            <v>#VALUE!</v>
          </cell>
        </row>
        <row r="45">
          <cell r="B45" t="str">
            <v>KMS BOTKICKERS</v>
          </cell>
        </row>
        <row r="46">
          <cell r="B46" t="str">
            <v>Binary Battalion</v>
          </cell>
          <cell r="F46" t="e">
            <v>#VALUE!</v>
          </cell>
          <cell r="G46" t="e">
            <v>#VALUE!</v>
          </cell>
        </row>
        <row r="47">
          <cell r="B47" t="str">
            <v>Red River Rage</v>
          </cell>
          <cell r="F47" t="e">
            <v>#VALUE!</v>
          </cell>
        </row>
        <row r="48">
          <cell r="B48" t="str">
            <v>Red Lake Ogichidaag</v>
          </cell>
          <cell r="F48" t="e">
            <v>#VALUE!</v>
          </cell>
          <cell r="G48" t="e">
            <v>#VALUE!</v>
          </cell>
        </row>
        <row r="49">
          <cell r="B49" t="str">
            <v>Semiconductors</v>
          </cell>
        </row>
        <row r="50">
          <cell r="B50" t="str">
            <v>Bodacious Bulldogs</v>
          </cell>
          <cell r="F50" t="e">
            <v>#VALUE!</v>
          </cell>
          <cell r="G50" t="e">
            <v>#VALUE!</v>
          </cell>
        </row>
        <row r="51">
          <cell r="B51" t="str">
            <v>Grand Force</v>
          </cell>
          <cell r="F51" t="e">
            <v>#VALUE!</v>
          </cell>
        </row>
        <row r="52">
          <cell r="B52" t="str">
            <v>Robodogs</v>
          </cell>
        </row>
        <row r="53">
          <cell r="B53" t="str">
            <v>Firebirds Robotics</v>
          </cell>
          <cell r="G53" t="e">
            <v>#VALUE!</v>
          </cell>
        </row>
        <row r="54">
          <cell r="B54" t="str">
            <v>ArrowBot</v>
          </cell>
        </row>
        <row r="55">
          <cell r="B55" t="str">
            <v>3R (Red River Resistance)</v>
          </cell>
          <cell r="F55" t="e">
            <v>#VALUE!</v>
          </cell>
        </row>
        <row r="56">
          <cell r="B56" t="str">
            <v>Loretto Lightning</v>
          </cell>
        </row>
        <row r="57">
          <cell r="B57" t="str">
            <v>Lazer Sharkz</v>
          </cell>
        </row>
      </sheetData>
      <sheetData sheetId="4"/>
      <sheetData sheetId="5"/>
      <sheetData sheetId="6">
        <row r="2">
          <cell r="B2">
            <v>0</v>
          </cell>
          <cell r="C2">
            <v>10</v>
          </cell>
          <cell r="D2">
            <v>1</v>
          </cell>
          <cell r="E2">
            <v>4</v>
          </cell>
        </row>
        <row r="3">
          <cell r="B3">
            <v>0</v>
          </cell>
          <cell r="C3">
            <v>0</v>
          </cell>
          <cell r="D3">
            <v>0</v>
          </cell>
          <cell r="E3">
            <v>30.8</v>
          </cell>
        </row>
        <row r="4">
          <cell r="B4">
            <v>0</v>
          </cell>
          <cell r="C4">
            <v>5</v>
          </cell>
          <cell r="D4">
            <v>0</v>
          </cell>
          <cell r="E4">
            <v>30.8</v>
          </cell>
        </row>
        <row r="5">
          <cell r="B5">
            <v>0</v>
          </cell>
          <cell r="C5">
            <v>5</v>
          </cell>
          <cell r="D5" t="str">
            <v>x</v>
          </cell>
          <cell r="E5" t="str">
            <v>x</v>
          </cell>
        </row>
        <row r="6">
          <cell r="B6">
            <v>0</v>
          </cell>
          <cell r="C6">
            <v>0</v>
          </cell>
          <cell r="D6">
            <v>1</v>
          </cell>
          <cell r="E6">
            <v>3.4</v>
          </cell>
        </row>
        <row r="7">
          <cell r="B7">
            <v>0</v>
          </cell>
          <cell r="C7">
            <v>0</v>
          </cell>
          <cell r="D7">
            <v>1</v>
          </cell>
          <cell r="E7">
            <v>1.4</v>
          </cell>
        </row>
        <row r="8">
          <cell r="B8">
            <v>0</v>
          </cell>
          <cell r="C8">
            <v>0</v>
          </cell>
          <cell r="D8" t="str">
            <v>x</v>
          </cell>
          <cell r="E8" t="str">
            <v>x</v>
          </cell>
        </row>
        <row r="9">
          <cell r="B9">
            <v>0</v>
          </cell>
          <cell r="C9">
            <v>0</v>
          </cell>
          <cell r="D9" t="str">
            <v>p</v>
          </cell>
          <cell r="E9" t="str">
            <v/>
          </cell>
        </row>
        <row r="10">
          <cell r="B10">
            <v>0</v>
          </cell>
          <cell r="C10">
            <v>0</v>
          </cell>
          <cell r="D10" t="str">
            <v>x</v>
          </cell>
          <cell r="E10" t="str">
            <v>x</v>
          </cell>
        </row>
        <row r="11">
          <cell r="B11">
            <v>0</v>
          </cell>
          <cell r="C11">
            <v>0</v>
          </cell>
          <cell r="D11" t="str">
            <v>p</v>
          </cell>
          <cell r="E11" t="str">
            <v/>
          </cell>
        </row>
        <row r="12">
          <cell r="B12">
            <v>0</v>
          </cell>
          <cell r="C12">
            <v>0</v>
          </cell>
          <cell r="D12" t="str">
            <v>x</v>
          </cell>
          <cell r="E12" t="str">
            <v>x</v>
          </cell>
        </row>
        <row r="13">
          <cell r="B13">
            <v>0</v>
          </cell>
          <cell r="C13">
            <v>0</v>
          </cell>
          <cell r="D13" t="str">
            <v>p</v>
          </cell>
          <cell r="E13" t="str">
            <v/>
          </cell>
        </row>
        <row r="14">
          <cell r="B14">
            <v>0</v>
          </cell>
          <cell r="C14">
            <v>0</v>
          </cell>
          <cell r="D14" t="str">
            <v>p</v>
          </cell>
          <cell r="E14" t="str">
            <v/>
          </cell>
        </row>
        <row r="15">
          <cell r="B15">
            <v>2</v>
          </cell>
          <cell r="C15">
            <v>0</v>
          </cell>
          <cell r="D15" t="str">
            <v>x</v>
          </cell>
          <cell r="E15" t="str">
            <v>x</v>
          </cell>
        </row>
        <row r="16">
          <cell r="B16">
            <v>0</v>
          </cell>
          <cell r="C16">
            <v>0</v>
          </cell>
          <cell r="D16" t="str">
            <v>p</v>
          </cell>
          <cell r="E16" t="str">
            <v/>
          </cell>
        </row>
        <row r="17">
          <cell r="B17">
            <v>0</v>
          </cell>
          <cell r="C17">
            <v>0</v>
          </cell>
          <cell r="D17">
            <v>0</v>
          </cell>
          <cell r="E17">
            <v>30.8</v>
          </cell>
        </row>
        <row r="18">
          <cell r="B18">
            <v>0</v>
          </cell>
          <cell r="C18">
            <v>0</v>
          </cell>
          <cell r="D18" t="str">
            <v>x</v>
          </cell>
          <cell r="E18" t="str">
            <v>x</v>
          </cell>
        </row>
        <row r="19">
          <cell r="B19">
            <v>0</v>
          </cell>
          <cell r="C19">
            <v>5</v>
          </cell>
          <cell r="D19" t="str">
            <v>p</v>
          </cell>
          <cell r="E19" t="str">
            <v/>
          </cell>
        </row>
        <row r="20">
          <cell r="B20">
            <v>0</v>
          </cell>
          <cell r="C20">
            <v>5</v>
          </cell>
          <cell r="D20" t="str">
            <v>x</v>
          </cell>
          <cell r="E20" t="str">
            <v>x</v>
          </cell>
        </row>
        <row r="21">
          <cell r="B21">
            <v>0</v>
          </cell>
          <cell r="C21">
            <v>0</v>
          </cell>
          <cell r="D21" t="str">
            <v>x</v>
          </cell>
          <cell r="E21" t="str">
            <v>x</v>
          </cell>
        </row>
        <row r="22">
          <cell r="B22">
            <v>0</v>
          </cell>
          <cell r="C22">
            <v>0</v>
          </cell>
          <cell r="D22" t="str">
            <v>p</v>
          </cell>
          <cell r="E22" t="str">
            <v/>
          </cell>
        </row>
        <row r="23">
          <cell r="B23">
            <v>0</v>
          </cell>
          <cell r="C23">
            <v>10</v>
          </cell>
          <cell r="D23" t="str">
            <v>p</v>
          </cell>
          <cell r="E23" t="str">
            <v/>
          </cell>
        </row>
        <row r="24">
          <cell r="B24">
            <v>0</v>
          </cell>
          <cell r="C24">
            <v>0</v>
          </cell>
          <cell r="D24" t="str">
            <v>p</v>
          </cell>
          <cell r="E24" t="str">
            <v/>
          </cell>
        </row>
        <row r="25">
          <cell r="B25">
            <v>0</v>
          </cell>
          <cell r="C25">
            <v>0</v>
          </cell>
          <cell r="D25" t="str">
            <v>p</v>
          </cell>
          <cell r="E25" t="str">
            <v/>
          </cell>
        </row>
        <row r="26">
          <cell r="B26">
            <v>0</v>
          </cell>
          <cell r="C26">
            <v>10</v>
          </cell>
          <cell r="D26" t="str">
            <v>p</v>
          </cell>
          <cell r="E26" t="str">
            <v/>
          </cell>
        </row>
        <row r="27">
          <cell r="B27">
            <v>0</v>
          </cell>
          <cell r="C27">
            <v>0</v>
          </cell>
          <cell r="D27" t="str">
            <v>x</v>
          </cell>
          <cell r="E27" t="str">
            <v>x</v>
          </cell>
        </row>
        <row r="28">
          <cell r="B28">
            <v>0</v>
          </cell>
          <cell r="C28">
            <v>0</v>
          </cell>
          <cell r="D28" t="str">
            <v>x</v>
          </cell>
          <cell r="E28" t="str">
            <v>x</v>
          </cell>
        </row>
        <row r="29">
          <cell r="B29">
            <v>0</v>
          </cell>
          <cell r="C29">
            <v>5</v>
          </cell>
          <cell r="D29" t="str">
            <v>p</v>
          </cell>
          <cell r="E29" t="str">
            <v/>
          </cell>
        </row>
        <row r="30">
          <cell r="B30">
            <v>0</v>
          </cell>
          <cell r="C30">
            <v>5</v>
          </cell>
          <cell r="D30" t="str">
            <v>p</v>
          </cell>
          <cell r="E30" t="str">
            <v/>
          </cell>
        </row>
        <row r="31">
          <cell r="B31">
            <v>0</v>
          </cell>
          <cell r="C31">
            <v>5</v>
          </cell>
          <cell r="D31" t="str">
            <v>x</v>
          </cell>
          <cell r="E31" t="str">
            <v>x</v>
          </cell>
        </row>
        <row r="32">
          <cell r="B32">
            <v>0</v>
          </cell>
          <cell r="C32">
            <v>5</v>
          </cell>
          <cell r="D32" t="str">
            <v>p</v>
          </cell>
          <cell r="E32" t="str">
            <v/>
          </cell>
        </row>
        <row r="33">
          <cell r="B33">
            <v>0</v>
          </cell>
          <cell r="C33">
            <v>0</v>
          </cell>
          <cell r="D33" t="str">
            <v>x</v>
          </cell>
          <cell r="E33" t="str">
            <v>x</v>
          </cell>
        </row>
        <row r="34">
          <cell r="B34">
            <v>0</v>
          </cell>
          <cell r="C34">
            <v>5</v>
          </cell>
          <cell r="D34" t="str">
            <v>p</v>
          </cell>
          <cell r="E34" t="str">
            <v/>
          </cell>
        </row>
        <row r="35">
          <cell r="B35">
            <v>0</v>
          </cell>
          <cell r="C35">
            <v>5</v>
          </cell>
          <cell r="D35" t="str">
            <v>x</v>
          </cell>
          <cell r="E35" t="str">
            <v>x</v>
          </cell>
        </row>
        <row r="36">
          <cell r="B36">
            <v>0</v>
          </cell>
          <cell r="C36">
            <v>0</v>
          </cell>
          <cell r="D36" t="str">
            <v>p</v>
          </cell>
          <cell r="E36" t="str">
            <v/>
          </cell>
        </row>
        <row r="37">
          <cell r="B37">
            <v>0</v>
          </cell>
          <cell r="C37">
            <v>0</v>
          </cell>
          <cell r="D37" t="str">
            <v>x</v>
          </cell>
          <cell r="E37" t="str">
            <v>x</v>
          </cell>
        </row>
        <row r="38">
          <cell r="B38">
            <v>0</v>
          </cell>
          <cell r="C38">
            <v>0</v>
          </cell>
          <cell r="D38" t="str">
            <v>p</v>
          </cell>
          <cell r="E38" t="str">
            <v/>
          </cell>
        </row>
        <row r="39">
          <cell r="B39">
            <v>0</v>
          </cell>
          <cell r="C39">
            <v>0</v>
          </cell>
          <cell r="D39" t="str">
            <v>x</v>
          </cell>
          <cell r="E39" t="str">
            <v>x</v>
          </cell>
        </row>
        <row r="40">
          <cell r="B40">
            <v>0</v>
          </cell>
          <cell r="C40">
            <v>0</v>
          </cell>
          <cell r="D40" t="str">
            <v>p</v>
          </cell>
          <cell r="E40" t="str">
            <v/>
          </cell>
        </row>
        <row r="41">
          <cell r="B41">
            <v>0</v>
          </cell>
          <cell r="C41">
            <v>5</v>
          </cell>
          <cell r="D41">
            <v>1</v>
          </cell>
          <cell r="E41">
            <v>7.7</v>
          </cell>
        </row>
        <row r="42">
          <cell r="B42">
            <v>0</v>
          </cell>
          <cell r="C42">
            <v>10</v>
          </cell>
          <cell r="D42">
            <v>1</v>
          </cell>
          <cell r="E42">
            <v>2.9380116959064337</v>
          </cell>
        </row>
        <row r="43">
          <cell r="B43">
            <v>0</v>
          </cell>
          <cell r="C43">
            <v>0</v>
          </cell>
          <cell r="D43">
            <v>1</v>
          </cell>
          <cell r="E43">
            <v>4.3</v>
          </cell>
        </row>
        <row r="44">
          <cell r="B44">
            <v>0</v>
          </cell>
          <cell r="C44">
            <v>10</v>
          </cell>
          <cell r="D44">
            <v>1</v>
          </cell>
          <cell r="E44">
            <v>3</v>
          </cell>
        </row>
        <row r="45">
          <cell r="B45">
            <v>0</v>
          </cell>
          <cell r="C45">
            <v>5</v>
          </cell>
          <cell r="D45">
            <v>1</v>
          </cell>
          <cell r="E45">
            <v>7.7</v>
          </cell>
        </row>
        <row r="46">
          <cell r="B46">
            <v>0</v>
          </cell>
          <cell r="C46">
            <v>10</v>
          </cell>
          <cell r="D46">
            <v>1</v>
          </cell>
          <cell r="E46">
            <v>8.1999999999999993</v>
          </cell>
        </row>
        <row r="47">
          <cell r="B47">
            <v>0</v>
          </cell>
          <cell r="C47">
            <v>0</v>
          </cell>
          <cell r="D47" t="str">
            <v>p</v>
          </cell>
          <cell r="E47" t="str">
            <v/>
          </cell>
        </row>
        <row r="48">
          <cell r="B48">
            <v>0</v>
          </cell>
          <cell r="C48">
            <v>0</v>
          </cell>
          <cell r="D48" t="str">
            <v>p</v>
          </cell>
          <cell r="E48" t="str">
            <v/>
          </cell>
        </row>
        <row r="49">
          <cell r="B49">
            <v>0</v>
          </cell>
          <cell r="C49">
            <v>0</v>
          </cell>
          <cell r="D49" t="str">
            <v>x</v>
          </cell>
          <cell r="E49" t="str">
            <v>x</v>
          </cell>
        </row>
        <row r="50">
          <cell r="B50">
            <v>0</v>
          </cell>
          <cell r="C50">
            <v>5</v>
          </cell>
          <cell r="D50">
            <v>0</v>
          </cell>
          <cell r="E50">
            <v>30.8</v>
          </cell>
        </row>
        <row r="51">
          <cell r="B51">
            <v>0</v>
          </cell>
          <cell r="C51">
            <v>0</v>
          </cell>
          <cell r="D51">
            <v>1</v>
          </cell>
          <cell r="E51">
            <v>2.5</v>
          </cell>
        </row>
        <row r="52">
          <cell r="B52">
            <v>0</v>
          </cell>
          <cell r="C52">
            <v>5</v>
          </cell>
          <cell r="D52" t="str">
            <v>x</v>
          </cell>
          <cell r="E52" t="str">
            <v>x</v>
          </cell>
        </row>
        <row r="53">
          <cell r="B53">
            <v>0</v>
          </cell>
          <cell r="C53">
            <v>5</v>
          </cell>
          <cell r="D53">
            <v>1</v>
          </cell>
          <cell r="E53">
            <v>2.9380116959064337</v>
          </cell>
        </row>
        <row r="54">
          <cell r="B54">
            <v>0</v>
          </cell>
          <cell r="C54">
            <v>15</v>
          </cell>
          <cell r="D54" t="str">
            <v>x</v>
          </cell>
          <cell r="E54" t="str">
            <v>x</v>
          </cell>
        </row>
        <row r="55">
          <cell r="B55">
            <v>0</v>
          </cell>
          <cell r="C55">
            <v>10</v>
          </cell>
          <cell r="D55">
            <v>1</v>
          </cell>
          <cell r="E55">
            <v>7.4</v>
          </cell>
        </row>
        <row r="56">
          <cell r="B56">
            <v>0</v>
          </cell>
          <cell r="C56">
            <v>0</v>
          </cell>
          <cell r="D56">
            <v>0</v>
          </cell>
          <cell r="E56">
            <v>30.8</v>
          </cell>
        </row>
        <row r="57">
          <cell r="B57">
            <v>0</v>
          </cell>
          <cell r="C57">
            <v>0</v>
          </cell>
          <cell r="D57" t="str">
            <v>x</v>
          </cell>
          <cell r="E57" t="str">
            <v>x</v>
          </cell>
        </row>
        <row r="58">
          <cell r="B58">
            <v>0</v>
          </cell>
          <cell r="C58">
            <v>0</v>
          </cell>
          <cell r="D58" t="str">
            <v>p</v>
          </cell>
          <cell r="E58" t="str">
            <v/>
          </cell>
        </row>
        <row r="59">
          <cell r="B59">
            <v>0</v>
          </cell>
          <cell r="C59">
            <v>5</v>
          </cell>
          <cell r="D59">
            <v>1</v>
          </cell>
          <cell r="E59">
            <v>3.6</v>
          </cell>
        </row>
        <row r="60">
          <cell r="B60">
            <v>0</v>
          </cell>
          <cell r="C60">
            <v>5</v>
          </cell>
          <cell r="D60" t="str">
            <v>x</v>
          </cell>
          <cell r="E60" t="str">
            <v>x</v>
          </cell>
        </row>
        <row r="61">
          <cell r="B61">
            <v>0</v>
          </cell>
          <cell r="C61">
            <v>0</v>
          </cell>
          <cell r="D61" t="str">
            <v>p</v>
          </cell>
          <cell r="E61" t="str">
            <v/>
          </cell>
        </row>
        <row r="62">
          <cell r="B62">
            <v>0</v>
          </cell>
          <cell r="C62">
            <v>5</v>
          </cell>
          <cell r="D62" t="str">
            <v>x</v>
          </cell>
          <cell r="E62" t="str">
            <v>x</v>
          </cell>
        </row>
        <row r="63">
          <cell r="B63">
            <v>0</v>
          </cell>
          <cell r="C63">
            <v>0</v>
          </cell>
          <cell r="D63">
            <v>1</v>
          </cell>
          <cell r="E63">
            <v>3.2</v>
          </cell>
        </row>
        <row r="64">
          <cell r="B64">
            <v>0</v>
          </cell>
          <cell r="C64">
            <v>0</v>
          </cell>
          <cell r="D64" t="str">
            <v>x</v>
          </cell>
          <cell r="E64" t="str">
            <v>x</v>
          </cell>
        </row>
        <row r="65">
          <cell r="B65">
            <v>0</v>
          </cell>
          <cell r="C65">
            <v>0</v>
          </cell>
          <cell r="D65" t="str">
            <v>x</v>
          </cell>
          <cell r="E65" t="str">
            <v>x</v>
          </cell>
        </row>
        <row r="66">
          <cell r="B66">
            <v>0</v>
          </cell>
          <cell r="C66">
            <v>0</v>
          </cell>
          <cell r="D66" t="str">
            <v>x</v>
          </cell>
          <cell r="E66" t="str">
            <v>x</v>
          </cell>
        </row>
        <row r="67">
          <cell r="B67">
            <v>0</v>
          </cell>
          <cell r="C67">
            <v>0</v>
          </cell>
          <cell r="D67" t="str">
            <v>p</v>
          </cell>
          <cell r="E67" t="str">
            <v/>
          </cell>
        </row>
        <row r="68">
          <cell r="B68">
            <v>0</v>
          </cell>
          <cell r="C68">
            <v>0</v>
          </cell>
          <cell r="D68">
            <v>0</v>
          </cell>
          <cell r="E68">
            <v>30.8</v>
          </cell>
        </row>
        <row r="69">
          <cell r="B69">
            <v>0</v>
          </cell>
          <cell r="C69">
            <v>0</v>
          </cell>
          <cell r="D69" t="str">
            <v>p</v>
          </cell>
          <cell r="E69" t="str">
            <v/>
          </cell>
        </row>
        <row r="70">
          <cell r="B70">
            <v>0</v>
          </cell>
          <cell r="C70">
            <v>0</v>
          </cell>
          <cell r="D70" t="str">
            <v>x</v>
          </cell>
          <cell r="E70" t="str">
            <v>x</v>
          </cell>
        </row>
        <row r="71">
          <cell r="B71">
            <v>0</v>
          </cell>
          <cell r="C71">
            <v>0</v>
          </cell>
          <cell r="D71" t="str">
            <v>x</v>
          </cell>
          <cell r="E71" t="str">
            <v>x</v>
          </cell>
        </row>
        <row r="72">
          <cell r="B72">
            <v>0</v>
          </cell>
          <cell r="C72">
            <v>0</v>
          </cell>
          <cell r="D72" t="str">
            <v>x</v>
          </cell>
          <cell r="E72" t="str">
            <v>x</v>
          </cell>
        </row>
        <row r="73">
          <cell r="B73">
            <v>0</v>
          </cell>
          <cell r="C73">
            <v>0</v>
          </cell>
          <cell r="D73" t="str">
            <v>p</v>
          </cell>
          <cell r="E73" t="str">
            <v/>
          </cell>
        </row>
        <row r="74">
          <cell r="B74">
            <v>0</v>
          </cell>
          <cell r="C74">
            <v>0</v>
          </cell>
          <cell r="D74" t="str">
            <v>x</v>
          </cell>
          <cell r="E74" t="str">
            <v>x</v>
          </cell>
        </row>
        <row r="75">
          <cell r="B75">
            <v>0</v>
          </cell>
          <cell r="C75">
            <v>0</v>
          </cell>
          <cell r="D75">
            <v>1</v>
          </cell>
          <cell r="E75">
            <v>6.7</v>
          </cell>
        </row>
        <row r="76">
          <cell r="B76">
            <v>0</v>
          </cell>
          <cell r="C76">
            <v>0</v>
          </cell>
          <cell r="D76">
            <v>1</v>
          </cell>
          <cell r="E76">
            <v>8.3000000000000007</v>
          </cell>
        </row>
        <row r="77">
          <cell r="B77">
            <v>0</v>
          </cell>
          <cell r="C77">
            <v>0</v>
          </cell>
          <cell r="D77">
            <v>1</v>
          </cell>
          <cell r="E77">
            <v>19.7</v>
          </cell>
        </row>
        <row r="78">
          <cell r="B78">
            <v>0</v>
          </cell>
          <cell r="C78">
            <v>0</v>
          </cell>
          <cell r="D78">
            <v>0</v>
          </cell>
          <cell r="E78">
            <v>30.8</v>
          </cell>
        </row>
        <row r="79">
          <cell r="B79">
            <v>0</v>
          </cell>
          <cell r="C79">
            <v>0</v>
          </cell>
          <cell r="D79">
            <v>1</v>
          </cell>
          <cell r="E79">
            <v>2.5</v>
          </cell>
        </row>
        <row r="80">
          <cell r="B80">
            <v>0</v>
          </cell>
          <cell r="C80">
            <v>0</v>
          </cell>
          <cell r="D80">
            <v>0</v>
          </cell>
          <cell r="E80">
            <v>30.8</v>
          </cell>
        </row>
        <row r="81">
          <cell r="B81">
            <v>0</v>
          </cell>
          <cell r="C81">
            <v>5</v>
          </cell>
          <cell r="D81" t="str">
            <v>p</v>
          </cell>
          <cell r="E81" t="str">
            <v/>
          </cell>
        </row>
        <row r="82">
          <cell r="B82">
            <v>0</v>
          </cell>
          <cell r="C82">
            <v>5</v>
          </cell>
          <cell r="D82" t="str">
            <v>x</v>
          </cell>
          <cell r="E82" t="str">
            <v>x</v>
          </cell>
        </row>
        <row r="83">
          <cell r="B83">
            <v>0</v>
          </cell>
          <cell r="C83">
            <v>5</v>
          </cell>
          <cell r="D83">
            <v>1</v>
          </cell>
          <cell r="E83">
            <v>3.5</v>
          </cell>
        </row>
        <row r="84">
          <cell r="B84">
            <v>0</v>
          </cell>
          <cell r="C84">
            <v>10</v>
          </cell>
          <cell r="D84" t="str">
            <v>p</v>
          </cell>
          <cell r="E84" t="str">
            <v/>
          </cell>
        </row>
        <row r="85">
          <cell r="B85">
            <v>0</v>
          </cell>
          <cell r="C85">
            <v>0</v>
          </cell>
          <cell r="D85" t="str">
            <v>x</v>
          </cell>
          <cell r="E85" t="str">
            <v>x</v>
          </cell>
        </row>
        <row r="86">
          <cell r="B86">
            <v>0</v>
          </cell>
          <cell r="C86">
            <v>5</v>
          </cell>
          <cell r="D86" t="str">
            <v>p</v>
          </cell>
          <cell r="E86" t="str">
            <v/>
          </cell>
        </row>
        <row r="87">
          <cell r="B87">
            <v>0</v>
          </cell>
          <cell r="C87">
            <v>5</v>
          </cell>
          <cell r="D87" t="str">
            <v>x</v>
          </cell>
          <cell r="E87" t="str">
            <v>x</v>
          </cell>
        </row>
        <row r="88">
          <cell r="B88">
            <v>0</v>
          </cell>
          <cell r="C88">
            <v>5</v>
          </cell>
          <cell r="D88">
            <v>1</v>
          </cell>
          <cell r="E88">
            <v>2.9380116959064337</v>
          </cell>
        </row>
        <row r="89">
          <cell r="B89">
            <v>0</v>
          </cell>
          <cell r="C89">
            <v>15</v>
          </cell>
          <cell r="D89" t="str">
            <v>p</v>
          </cell>
          <cell r="E89" t="str">
            <v/>
          </cell>
        </row>
        <row r="90">
          <cell r="B90">
            <v>0</v>
          </cell>
          <cell r="C90">
            <v>15</v>
          </cell>
          <cell r="D90">
            <v>0</v>
          </cell>
          <cell r="E90">
            <v>30.8</v>
          </cell>
        </row>
        <row r="91">
          <cell r="B91">
            <v>0</v>
          </cell>
          <cell r="C91">
            <v>5</v>
          </cell>
          <cell r="D91">
            <v>0</v>
          </cell>
          <cell r="E91">
            <v>30.8</v>
          </cell>
        </row>
        <row r="92">
          <cell r="B92">
            <v>0</v>
          </cell>
          <cell r="C92">
            <v>10</v>
          </cell>
          <cell r="D92">
            <v>1</v>
          </cell>
          <cell r="E92">
            <v>3.6</v>
          </cell>
        </row>
        <row r="93">
          <cell r="B93">
            <v>0</v>
          </cell>
          <cell r="C93">
            <v>15</v>
          </cell>
          <cell r="D93" t="str">
            <v>x</v>
          </cell>
          <cell r="E93" t="str">
            <v>x</v>
          </cell>
        </row>
        <row r="94">
          <cell r="B94">
            <v>0</v>
          </cell>
          <cell r="C94">
            <v>15</v>
          </cell>
          <cell r="D94" t="str">
            <v>x</v>
          </cell>
          <cell r="E94" t="str">
            <v>x</v>
          </cell>
        </row>
        <row r="95">
          <cell r="B95">
            <v>0</v>
          </cell>
          <cell r="C95">
            <v>0</v>
          </cell>
          <cell r="D95" t="str">
            <v>x</v>
          </cell>
          <cell r="E95" t="str">
            <v>x</v>
          </cell>
        </row>
        <row r="96">
          <cell r="B96">
            <v>0</v>
          </cell>
          <cell r="C96">
            <v>0</v>
          </cell>
          <cell r="D96" t="str">
            <v>x</v>
          </cell>
          <cell r="E96" t="str">
            <v>x</v>
          </cell>
        </row>
        <row r="97">
          <cell r="B97">
            <v>0</v>
          </cell>
          <cell r="C97">
            <v>10</v>
          </cell>
          <cell r="D97" t="str">
            <v>p</v>
          </cell>
          <cell r="E97" t="str">
            <v/>
          </cell>
        </row>
        <row r="98">
          <cell r="B98">
            <v>0</v>
          </cell>
          <cell r="C98">
            <v>0</v>
          </cell>
          <cell r="D98" t="str">
            <v>x</v>
          </cell>
          <cell r="E98" t="str">
            <v>x</v>
          </cell>
        </row>
        <row r="99">
          <cell r="B99">
            <v>0</v>
          </cell>
          <cell r="C99">
            <v>15</v>
          </cell>
          <cell r="D99">
            <v>1</v>
          </cell>
          <cell r="E99">
            <v>16.600000000000001</v>
          </cell>
        </row>
        <row r="100">
          <cell r="B100">
            <v>0</v>
          </cell>
          <cell r="C100">
            <v>15</v>
          </cell>
          <cell r="D100">
            <v>1</v>
          </cell>
          <cell r="E100">
            <v>3.6</v>
          </cell>
        </row>
        <row r="101">
          <cell r="B101">
            <v>0</v>
          </cell>
          <cell r="C101">
            <v>20</v>
          </cell>
          <cell r="D101">
            <v>1</v>
          </cell>
          <cell r="E101">
            <v>9.8000000000000007</v>
          </cell>
        </row>
        <row r="102">
          <cell r="B102">
            <v>0</v>
          </cell>
          <cell r="C102">
            <v>20</v>
          </cell>
          <cell r="D102" t="str">
            <v>x</v>
          </cell>
          <cell r="E102" t="str">
            <v>x</v>
          </cell>
        </row>
        <row r="103">
          <cell r="B103">
            <v>0</v>
          </cell>
          <cell r="C103">
            <v>20</v>
          </cell>
          <cell r="D103">
            <v>0</v>
          </cell>
          <cell r="E103">
            <v>30.8</v>
          </cell>
        </row>
        <row r="104">
          <cell r="B104">
            <v>0</v>
          </cell>
          <cell r="C104">
            <v>0</v>
          </cell>
          <cell r="D104" t="str">
            <v>p</v>
          </cell>
          <cell r="E104" t="str">
            <v/>
          </cell>
        </row>
        <row r="105">
          <cell r="B105">
            <v>0</v>
          </cell>
          <cell r="C105">
            <v>0</v>
          </cell>
          <cell r="D105" t="str">
            <v>x</v>
          </cell>
          <cell r="E105" t="str">
            <v>x</v>
          </cell>
        </row>
        <row r="106">
          <cell r="B106">
            <v>0</v>
          </cell>
          <cell r="C106">
            <v>0</v>
          </cell>
          <cell r="D106" t="str">
            <v>x</v>
          </cell>
          <cell r="E106" t="str">
            <v>x</v>
          </cell>
        </row>
        <row r="107">
          <cell r="B107">
            <v>0</v>
          </cell>
          <cell r="C107">
            <v>0</v>
          </cell>
          <cell r="D107">
            <v>0</v>
          </cell>
          <cell r="E107">
            <v>30.8</v>
          </cell>
        </row>
        <row r="108">
          <cell r="B108">
            <v>0</v>
          </cell>
          <cell r="C108">
            <v>0</v>
          </cell>
          <cell r="D108">
            <v>0</v>
          </cell>
          <cell r="E108">
            <v>30.8</v>
          </cell>
        </row>
        <row r="109">
          <cell r="B109">
            <v>0</v>
          </cell>
          <cell r="C109">
            <v>0</v>
          </cell>
          <cell r="D109">
            <v>1</v>
          </cell>
          <cell r="E109">
            <v>2.9380116959064337</v>
          </cell>
        </row>
        <row r="110">
          <cell r="B110">
            <v>0</v>
          </cell>
          <cell r="C110">
            <v>0</v>
          </cell>
          <cell r="D110" t="str">
            <v>x</v>
          </cell>
          <cell r="E110" t="str">
            <v>x</v>
          </cell>
        </row>
        <row r="111">
          <cell r="B111">
            <v>0</v>
          </cell>
          <cell r="C111">
            <v>15</v>
          </cell>
          <cell r="D111">
            <v>0</v>
          </cell>
          <cell r="E111">
            <v>30.8</v>
          </cell>
        </row>
        <row r="112">
          <cell r="B112">
            <v>0</v>
          </cell>
          <cell r="C112">
            <v>0</v>
          </cell>
          <cell r="D112" t="str">
            <v>x</v>
          </cell>
          <cell r="E112" t="str">
            <v>x</v>
          </cell>
        </row>
        <row r="113">
          <cell r="B113">
            <v>0</v>
          </cell>
          <cell r="C113">
            <v>0</v>
          </cell>
          <cell r="D113" t="str">
            <v>x</v>
          </cell>
          <cell r="E113" t="str">
            <v>x</v>
          </cell>
        </row>
        <row r="114">
          <cell r="B114">
            <v>2</v>
          </cell>
          <cell r="C114">
            <v>0</v>
          </cell>
          <cell r="D114">
            <v>1</v>
          </cell>
          <cell r="E114">
            <v>8.6</v>
          </cell>
        </row>
        <row r="115">
          <cell r="B115">
            <v>4</v>
          </cell>
          <cell r="C115">
            <v>0</v>
          </cell>
          <cell r="D115">
            <v>1</v>
          </cell>
          <cell r="E115">
            <v>4.5</v>
          </cell>
        </row>
        <row r="116">
          <cell r="B116">
            <v>0</v>
          </cell>
          <cell r="C116">
            <v>10</v>
          </cell>
          <cell r="D116">
            <v>1</v>
          </cell>
          <cell r="E116">
            <v>4.8</v>
          </cell>
        </row>
        <row r="117">
          <cell r="B117">
            <v>0</v>
          </cell>
          <cell r="C117">
            <v>0</v>
          </cell>
          <cell r="D117" t="str">
            <v>x</v>
          </cell>
          <cell r="E117" t="str">
            <v>x</v>
          </cell>
        </row>
        <row r="118">
          <cell r="B118">
            <v>4</v>
          </cell>
          <cell r="C118">
            <v>0</v>
          </cell>
          <cell r="D118">
            <v>1</v>
          </cell>
          <cell r="E118">
            <v>2</v>
          </cell>
        </row>
        <row r="119">
          <cell r="B119">
            <v>4</v>
          </cell>
          <cell r="C119">
            <v>0</v>
          </cell>
          <cell r="D119">
            <v>1</v>
          </cell>
          <cell r="E119">
            <v>2.6</v>
          </cell>
        </row>
        <row r="120">
          <cell r="B120">
            <v>0</v>
          </cell>
          <cell r="C120">
            <v>5</v>
          </cell>
          <cell r="D120" t="str">
            <v>x</v>
          </cell>
          <cell r="E120" t="str">
            <v>x</v>
          </cell>
        </row>
        <row r="121">
          <cell r="B121">
            <v>0</v>
          </cell>
          <cell r="C121">
            <v>0</v>
          </cell>
          <cell r="D121">
            <v>1</v>
          </cell>
          <cell r="E121">
            <v>20.6</v>
          </cell>
        </row>
        <row r="122">
          <cell r="B122">
            <v>0</v>
          </cell>
          <cell r="C122">
            <v>0</v>
          </cell>
          <cell r="D122" t="str">
            <v>x</v>
          </cell>
          <cell r="E122" t="str">
            <v>x</v>
          </cell>
        </row>
        <row r="123">
          <cell r="B123">
            <v>0</v>
          </cell>
          <cell r="C123">
            <v>0</v>
          </cell>
          <cell r="D123">
            <v>1</v>
          </cell>
          <cell r="E123">
            <v>12.3</v>
          </cell>
        </row>
        <row r="124">
          <cell r="B124">
            <v>0</v>
          </cell>
          <cell r="C124">
            <v>0</v>
          </cell>
          <cell r="D124">
            <v>1</v>
          </cell>
          <cell r="E124">
            <v>2.2999999999999998</v>
          </cell>
        </row>
        <row r="125">
          <cell r="B125">
            <v>0</v>
          </cell>
          <cell r="C125">
            <v>0</v>
          </cell>
          <cell r="D125">
            <v>1</v>
          </cell>
          <cell r="E125">
            <v>3.8</v>
          </cell>
        </row>
        <row r="126">
          <cell r="B126">
            <v>0</v>
          </cell>
          <cell r="C126">
            <v>0</v>
          </cell>
          <cell r="D126">
            <v>1</v>
          </cell>
          <cell r="E126">
            <v>5.6</v>
          </cell>
        </row>
        <row r="127">
          <cell r="B127">
            <v>0</v>
          </cell>
          <cell r="C127">
            <v>0</v>
          </cell>
          <cell r="D127" t="str">
            <v>x</v>
          </cell>
          <cell r="E127" t="str">
            <v>x</v>
          </cell>
        </row>
        <row r="128">
          <cell r="B128">
            <v>0</v>
          </cell>
          <cell r="C128">
            <v>10</v>
          </cell>
          <cell r="D128">
            <v>1</v>
          </cell>
          <cell r="E128">
            <v>9</v>
          </cell>
        </row>
        <row r="129">
          <cell r="B129">
            <v>0</v>
          </cell>
          <cell r="C129">
            <v>5</v>
          </cell>
          <cell r="D129" t="str">
            <v>p</v>
          </cell>
          <cell r="E129" t="str">
            <v/>
          </cell>
        </row>
        <row r="130">
          <cell r="B130">
            <v>0</v>
          </cell>
          <cell r="C130">
            <v>0</v>
          </cell>
          <cell r="D130" t="str">
            <v>x</v>
          </cell>
          <cell r="E130" t="str">
            <v>x</v>
          </cell>
        </row>
        <row r="131">
          <cell r="B131">
            <v>0</v>
          </cell>
          <cell r="C131">
            <v>0</v>
          </cell>
          <cell r="D131" t="str">
            <v>p</v>
          </cell>
          <cell r="E131" t="str">
            <v/>
          </cell>
        </row>
        <row r="132">
          <cell r="B132">
            <v>0</v>
          </cell>
          <cell r="C132">
            <v>5</v>
          </cell>
          <cell r="D132" t="str">
            <v>p</v>
          </cell>
          <cell r="E132" t="str">
            <v/>
          </cell>
        </row>
        <row r="133">
          <cell r="B133">
            <v>0</v>
          </cell>
          <cell r="C133">
            <v>0</v>
          </cell>
          <cell r="D133">
            <v>1</v>
          </cell>
          <cell r="E133">
            <v>9.1999999999999993</v>
          </cell>
        </row>
        <row r="134">
          <cell r="B134">
            <v>0</v>
          </cell>
          <cell r="C134">
            <v>0</v>
          </cell>
          <cell r="D134">
            <v>1</v>
          </cell>
          <cell r="E134">
            <v>17.899999999999999</v>
          </cell>
        </row>
        <row r="135">
          <cell r="B135">
            <v>0</v>
          </cell>
          <cell r="C135">
            <v>0</v>
          </cell>
          <cell r="D135" t="str">
            <v>p</v>
          </cell>
          <cell r="E135" t="str">
            <v/>
          </cell>
        </row>
        <row r="136">
          <cell r="B136">
            <v>0</v>
          </cell>
          <cell r="C136">
            <v>0</v>
          </cell>
          <cell r="D136" t="str">
            <v>p</v>
          </cell>
          <cell r="E136" t="str">
            <v/>
          </cell>
        </row>
        <row r="137">
          <cell r="B137">
            <v>0</v>
          </cell>
          <cell r="C137">
            <v>5</v>
          </cell>
          <cell r="D137">
            <v>1</v>
          </cell>
          <cell r="E137">
            <v>6.6</v>
          </cell>
        </row>
        <row r="138">
          <cell r="B138">
            <v>0</v>
          </cell>
          <cell r="C138">
            <v>0</v>
          </cell>
          <cell r="D138">
            <v>1</v>
          </cell>
          <cell r="E138">
            <v>12.7</v>
          </cell>
        </row>
        <row r="139">
          <cell r="B139">
            <v>0</v>
          </cell>
          <cell r="C139">
            <v>0</v>
          </cell>
          <cell r="D139">
            <v>0</v>
          </cell>
          <cell r="E139">
            <v>30.8</v>
          </cell>
        </row>
        <row r="140">
          <cell r="B140">
            <v>0</v>
          </cell>
          <cell r="C140">
            <v>0</v>
          </cell>
          <cell r="D140" t="str">
            <v>x</v>
          </cell>
          <cell r="E140" t="str">
            <v>x</v>
          </cell>
        </row>
        <row r="141">
          <cell r="B141">
            <v>0</v>
          </cell>
          <cell r="C141">
            <v>0</v>
          </cell>
          <cell r="D141" t="str">
            <v>x</v>
          </cell>
          <cell r="E141" t="str">
            <v>x</v>
          </cell>
        </row>
        <row r="142">
          <cell r="B142">
            <v>0</v>
          </cell>
          <cell r="C142">
            <v>0</v>
          </cell>
          <cell r="D142" t="str">
            <v>x</v>
          </cell>
          <cell r="E142" t="str">
            <v>x</v>
          </cell>
        </row>
        <row r="143">
          <cell r="B143">
            <v>0</v>
          </cell>
          <cell r="C143">
            <v>0</v>
          </cell>
          <cell r="D143" t="str">
            <v>x</v>
          </cell>
          <cell r="E143" t="str">
            <v>x</v>
          </cell>
        </row>
        <row r="144">
          <cell r="B144">
            <v>0</v>
          </cell>
          <cell r="C144">
            <v>5</v>
          </cell>
          <cell r="D144">
            <v>0</v>
          </cell>
          <cell r="E144">
            <v>30.8</v>
          </cell>
        </row>
        <row r="145">
          <cell r="B145">
            <v>0</v>
          </cell>
          <cell r="C145">
            <v>0</v>
          </cell>
          <cell r="D145" t="str">
            <v>p</v>
          </cell>
          <cell r="E145" t="str">
            <v/>
          </cell>
        </row>
        <row r="146">
          <cell r="B146">
            <v>0</v>
          </cell>
          <cell r="C146">
            <v>10</v>
          </cell>
          <cell r="D146" t="str">
            <v>p</v>
          </cell>
          <cell r="E146" t="str">
            <v/>
          </cell>
        </row>
        <row r="147">
          <cell r="B147">
            <v>0</v>
          </cell>
          <cell r="C147">
            <v>0</v>
          </cell>
          <cell r="D147">
            <v>1</v>
          </cell>
          <cell r="E147">
            <v>3.6</v>
          </cell>
        </row>
        <row r="148">
          <cell r="B148">
            <v>0</v>
          </cell>
          <cell r="C148">
            <v>0</v>
          </cell>
          <cell r="D148">
            <v>0</v>
          </cell>
          <cell r="E148">
            <v>30.8</v>
          </cell>
        </row>
        <row r="149">
          <cell r="B149">
            <v>0</v>
          </cell>
          <cell r="C149">
            <v>5</v>
          </cell>
          <cell r="D149">
            <v>1</v>
          </cell>
          <cell r="E149">
            <v>12.3</v>
          </cell>
        </row>
        <row r="150">
          <cell r="B150">
            <v>0</v>
          </cell>
          <cell r="C150">
            <v>0</v>
          </cell>
          <cell r="D150">
            <v>0</v>
          </cell>
          <cell r="E150">
            <v>30.8</v>
          </cell>
        </row>
        <row r="151">
          <cell r="B151">
            <v>0</v>
          </cell>
          <cell r="C151">
            <v>5</v>
          </cell>
          <cell r="D151">
            <v>1</v>
          </cell>
          <cell r="E151">
            <v>2.9380116959064337</v>
          </cell>
        </row>
        <row r="152">
          <cell r="B152">
            <v>0</v>
          </cell>
          <cell r="C152">
            <v>5</v>
          </cell>
          <cell r="D152">
            <v>1</v>
          </cell>
          <cell r="E152">
            <v>3.7</v>
          </cell>
        </row>
        <row r="153">
          <cell r="B153">
            <v>0</v>
          </cell>
          <cell r="C153">
            <v>5</v>
          </cell>
          <cell r="D153">
            <v>1</v>
          </cell>
          <cell r="E153">
            <v>7.2</v>
          </cell>
        </row>
        <row r="154">
          <cell r="B154">
            <v>0</v>
          </cell>
          <cell r="C154">
            <v>10</v>
          </cell>
          <cell r="D154">
            <v>0</v>
          </cell>
          <cell r="E154">
            <v>30.8</v>
          </cell>
        </row>
        <row r="155">
          <cell r="B155">
            <v>0</v>
          </cell>
          <cell r="C155">
            <v>5</v>
          </cell>
          <cell r="D155" t="str">
            <v>x</v>
          </cell>
          <cell r="E155" t="str">
            <v>x</v>
          </cell>
        </row>
        <row r="156">
          <cell r="B156">
            <v>0</v>
          </cell>
          <cell r="C156">
            <v>5</v>
          </cell>
          <cell r="D156">
            <v>1</v>
          </cell>
          <cell r="E156">
            <v>8.4</v>
          </cell>
        </row>
        <row r="157">
          <cell r="B157">
            <v>0</v>
          </cell>
          <cell r="C157">
            <v>10</v>
          </cell>
          <cell r="D157">
            <v>1</v>
          </cell>
          <cell r="E157">
            <v>7.7</v>
          </cell>
        </row>
        <row r="158">
          <cell r="B158">
            <v>0</v>
          </cell>
          <cell r="C158">
            <v>5</v>
          </cell>
          <cell r="D158" t="str">
            <v>x</v>
          </cell>
          <cell r="E158" t="str">
            <v>x</v>
          </cell>
        </row>
        <row r="159">
          <cell r="B159">
            <v>0</v>
          </cell>
          <cell r="C159">
            <v>5</v>
          </cell>
          <cell r="D159">
            <v>0</v>
          </cell>
          <cell r="E159">
            <v>30.8</v>
          </cell>
        </row>
        <row r="160">
          <cell r="B160">
            <v>0</v>
          </cell>
          <cell r="C160">
            <v>5</v>
          </cell>
          <cell r="D160">
            <v>1</v>
          </cell>
          <cell r="E160">
            <v>1.7</v>
          </cell>
        </row>
        <row r="161">
          <cell r="B161">
            <v>0</v>
          </cell>
          <cell r="C161">
            <v>0</v>
          </cell>
          <cell r="D161">
            <v>1</v>
          </cell>
          <cell r="E161">
            <v>2.9380116959064337</v>
          </cell>
        </row>
        <row r="162">
          <cell r="B162">
            <v>0</v>
          </cell>
          <cell r="C162">
            <v>0</v>
          </cell>
          <cell r="D162">
            <v>1</v>
          </cell>
          <cell r="E162">
            <v>3.9</v>
          </cell>
        </row>
        <row r="163">
          <cell r="B163">
            <v>0</v>
          </cell>
          <cell r="C163">
            <v>0</v>
          </cell>
          <cell r="D163">
            <v>0</v>
          </cell>
          <cell r="E163">
            <v>30.8</v>
          </cell>
        </row>
        <row r="164">
          <cell r="B164">
            <v>0</v>
          </cell>
          <cell r="C164">
            <v>0</v>
          </cell>
          <cell r="D164">
            <v>1</v>
          </cell>
          <cell r="E164">
            <v>2.9380116959064337</v>
          </cell>
        </row>
        <row r="165">
          <cell r="B165">
            <v>0</v>
          </cell>
          <cell r="C165">
            <v>5</v>
          </cell>
          <cell r="D165" t="str">
            <v>x</v>
          </cell>
          <cell r="E165" t="str">
            <v>x</v>
          </cell>
        </row>
        <row r="166">
          <cell r="B166">
            <v>0</v>
          </cell>
          <cell r="C166">
            <v>5</v>
          </cell>
          <cell r="D166">
            <v>0</v>
          </cell>
          <cell r="E166">
            <v>30.8</v>
          </cell>
        </row>
        <row r="167">
          <cell r="B167">
            <v>0</v>
          </cell>
          <cell r="C167">
            <v>5</v>
          </cell>
          <cell r="D167">
            <v>1</v>
          </cell>
          <cell r="E167">
            <v>2.9380116959064337</v>
          </cell>
        </row>
        <row r="168">
          <cell r="B168">
            <v>0</v>
          </cell>
          <cell r="C168">
            <v>0</v>
          </cell>
          <cell r="D168">
            <v>0</v>
          </cell>
          <cell r="E168">
            <v>30.8</v>
          </cell>
        </row>
        <row r="169">
          <cell r="B169">
            <v>0</v>
          </cell>
          <cell r="C169">
            <v>0</v>
          </cell>
          <cell r="D169">
            <v>1</v>
          </cell>
          <cell r="E169">
            <v>2.6</v>
          </cell>
        </row>
        <row r="170">
          <cell r="B170">
            <v>0</v>
          </cell>
          <cell r="C170">
            <v>5</v>
          </cell>
          <cell r="D170">
            <v>1</v>
          </cell>
          <cell r="E170">
            <v>12.3</v>
          </cell>
        </row>
        <row r="171">
          <cell r="B171">
            <v>0</v>
          </cell>
          <cell r="C171">
            <v>5</v>
          </cell>
          <cell r="D171">
            <v>1</v>
          </cell>
          <cell r="E171">
            <v>8.5</v>
          </cell>
        </row>
        <row r="172">
          <cell r="B172">
            <v>0</v>
          </cell>
          <cell r="C172">
            <v>0</v>
          </cell>
          <cell r="D172">
            <v>1</v>
          </cell>
          <cell r="E172">
            <v>3.9</v>
          </cell>
        </row>
        <row r="173">
          <cell r="B173">
            <v>0</v>
          </cell>
          <cell r="C173">
            <v>0</v>
          </cell>
          <cell r="D173" t="str">
            <v>x</v>
          </cell>
          <cell r="E173" t="str">
            <v>x</v>
          </cell>
        </row>
        <row r="174">
          <cell r="B174">
            <v>0</v>
          </cell>
          <cell r="C174">
            <v>5</v>
          </cell>
          <cell r="D174">
            <v>1</v>
          </cell>
          <cell r="E174">
            <v>3.6</v>
          </cell>
        </row>
        <row r="175">
          <cell r="B175">
            <v>0</v>
          </cell>
          <cell r="C175">
            <v>5</v>
          </cell>
          <cell r="D175" t="str">
            <v>x</v>
          </cell>
          <cell r="E175" t="str">
            <v>x</v>
          </cell>
        </row>
        <row r="176">
          <cell r="B176">
            <v>0</v>
          </cell>
          <cell r="C176">
            <v>0</v>
          </cell>
          <cell r="D176">
            <v>1</v>
          </cell>
          <cell r="E176">
            <v>3</v>
          </cell>
        </row>
        <row r="177">
          <cell r="B177">
            <v>0</v>
          </cell>
          <cell r="C177">
            <v>5</v>
          </cell>
          <cell r="D177">
            <v>1</v>
          </cell>
          <cell r="E177">
            <v>8.8000000000000007</v>
          </cell>
        </row>
        <row r="178">
          <cell r="B178">
            <v>0</v>
          </cell>
          <cell r="C178">
            <v>0</v>
          </cell>
          <cell r="D178">
            <v>1</v>
          </cell>
          <cell r="E178">
            <v>2.9380116959064337</v>
          </cell>
        </row>
        <row r="179">
          <cell r="B179">
            <v>0</v>
          </cell>
          <cell r="C179">
            <v>10</v>
          </cell>
          <cell r="D179">
            <v>1</v>
          </cell>
          <cell r="E179">
            <v>2.2999999999999998</v>
          </cell>
        </row>
        <row r="180">
          <cell r="B180">
            <v>0</v>
          </cell>
          <cell r="C180">
            <v>15</v>
          </cell>
          <cell r="D180" t="str">
            <v>x</v>
          </cell>
          <cell r="E180" t="str">
            <v>x</v>
          </cell>
        </row>
        <row r="181">
          <cell r="B181">
            <v>0</v>
          </cell>
          <cell r="C181">
            <v>10</v>
          </cell>
          <cell r="D181">
            <v>0</v>
          </cell>
          <cell r="E181">
            <v>30.8</v>
          </cell>
        </row>
        <row r="182">
          <cell r="B182">
            <v>0</v>
          </cell>
          <cell r="C182">
            <v>5</v>
          </cell>
          <cell r="D182">
            <v>1</v>
          </cell>
          <cell r="E182">
            <v>2.5</v>
          </cell>
        </row>
        <row r="183">
          <cell r="B183">
            <v>0</v>
          </cell>
          <cell r="C183">
            <v>0</v>
          </cell>
          <cell r="D183" t="str">
            <v>x</v>
          </cell>
          <cell r="E183" t="str">
            <v>x</v>
          </cell>
        </row>
        <row r="184">
          <cell r="B184">
            <v>0</v>
          </cell>
          <cell r="C184">
            <v>0</v>
          </cell>
          <cell r="D184" t="str">
            <v>p</v>
          </cell>
          <cell r="E184" t="str">
            <v/>
          </cell>
        </row>
        <row r="185">
          <cell r="B185">
            <v>0</v>
          </cell>
          <cell r="C185">
            <v>0</v>
          </cell>
          <cell r="D185" t="str">
            <v>x</v>
          </cell>
          <cell r="E185" t="str">
            <v>x</v>
          </cell>
        </row>
        <row r="186">
          <cell r="B186">
            <v>0</v>
          </cell>
          <cell r="C186">
            <v>0</v>
          </cell>
          <cell r="D186" t="str">
            <v>x</v>
          </cell>
          <cell r="E186" t="str">
            <v>x</v>
          </cell>
        </row>
        <row r="187">
          <cell r="B187">
            <v>0</v>
          </cell>
          <cell r="C187">
            <v>0</v>
          </cell>
          <cell r="D187" t="str">
            <v>x</v>
          </cell>
          <cell r="E187" t="str">
            <v>x</v>
          </cell>
        </row>
        <row r="188">
          <cell r="B188">
            <v>0</v>
          </cell>
          <cell r="C188">
            <v>0</v>
          </cell>
          <cell r="D188">
            <v>1</v>
          </cell>
          <cell r="E188">
            <v>3.1</v>
          </cell>
        </row>
        <row r="189">
          <cell r="B189">
            <v>0</v>
          </cell>
          <cell r="C189">
            <v>0</v>
          </cell>
          <cell r="D189" t="str">
            <v>x</v>
          </cell>
          <cell r="E189" t="str">
            <v>x</v>
          </cell>
        </row>
        <row r="190">
          <cell r="B190">
            <v>0</v>
          </cell>
          <cell r="C190">
            <v>5</v>
          </cell>
          <cell r="D190">
            <v>1</v>
          </cell>
          <cell r="E190">
            <v>2.9380116959064337</v>
          </cell>
        </row>
        <row r="191">
          <cell r="B191">
            <v>0</v>
          </cell>
          <cell r="C191">
            <v>5</v>
          </cell>
          <cell r="D191">
            <v>1</v>
          </cell>
          <cell r="E191">
            <v>2.6</v>
          </cell>
        </row>
        <row r="192">
          <cell r="B192">
            <v>0</v>
          </cell>
          <cell r="C192">
            <v>0</v>
          </cell>
          <cell r="D192" t="str">
            <v>x</v>
          </cell>
          <cell r="E192" t="str">
            <v>x</v>
          </cell>
        </row>
        <row r="193">
          <cell r="B193">
            <v>0</v>
          </cell>
          <cell r="C193">
            <v>0</v>
          </cell>
          <cell r="D193" t="str">
            <v>x</v>
          </cell>
          <cell r="E193" t="str">
            <v>x</v>
          </cell>
        </row>
        <row r="194">
          <cell r="B194">
            <v>0</v>
          </cell>
          <cell r="C194">
            <v>5</v>
          </cell>
          <cell r="D194" t="str">
            <v>p</v>
          </cell>
          <cell r="E194" t="str">
            <v/>
          </cell>
        </row>
        <row r="195">
          <cell r="B195">
            <v>4</v>
          </cell>
          <cell r="C195">
            <v>0</v>
          </cell>
          <cell r="D195">
            <v>1</v>
          </cell>
          <cell r="E195">
            <v>5.6</v>
          </cell>
        </row>
        <row r="196">
          <cell r="B196">
            <v>0</v>
          </cell>
          <cell r="C196">
            <v>0</v>
          </cell>
          <cell r="D196">
            <v>1</v>
          </cell>
          <cell r="E196">
            <v>2.4</v>
          </cell>
        </row>
        <row r="197">
          <cell r="B197">
            <v>0</v>
          </cell>
          <cell r="C197">
            <v>5</v>
          </cell>
          <cell r="D197">
            <v>0</v>
          </cell>
          <cell r="E197">
            <v>30.8</v>
          </cell>
        </row>
        <row r="198">
          <cell r="B198">
            <v>0</v>
          </cell>
          <cell r="C198">
            <v>0</v>
          </cell>
          <cell r="D198">
            <v>1</v>
          </cell>
          <cell r="E198">
            <v>2.9380116959064337</v>
          </cell>
        </row>
        <row r="199">
          <cell r="B199">
            <v>0</v>
          </cell>
          <cell r="C199">
            <v>0</v>
          </cell>
          <cell r="D199">
            <v>0</v>
          </cell>
          <cell r="E199">
            <v>30.8</v>
          </cell>
        </row>
        <row r="200">
          <cell r="B200">
            <v>0</v>
          </cell>
          <cell r="C200">
            <v>15</v>
          </cell>
          <cell r="D200" t="str">
            <v>x</v>
          </cell>
          <cell r="E200" t="str">
            <v>x</v>
          </cell>
        </row>
        <row r="201">
          <cell r="B201">
            <v>0</v>
          </cell>
          <cell r="C201">
            <v>15</v>
          </cell>
          <cell r="D201" t="str">
            <v>p</v>
          </cell>
          <cell r="E201" t="str">
            <v/>
          </cell>
        </row>
        <row r="202">
          <cell r="B202">
            <v>0</v>
          </cell>
          <cell r="C202">
            <v>20</v>
          </cell>
          <cell r="D202" t="str">
            <v>x</v>
          </cell>
          <cell r="E202" t="str">
            <v>x</v>
          </cell>
        </row>
        <row r="203">
          <cell r="B203">
            <v>0</v>
          </cell>
          <cell r="C203">
            <v>5</v>
          </cell>
          <cell r="D203">
            <v>1</v>
          </cell>
          <cell r="E203">
            <v>2.7</v>
          </cell>
        </row>
        <row r="204">
          <cell r="B204">
            <v>0</v>
          </cell>
          <cell r="C204">
            <v>0</v>
          </cell>
          <cell r="D204">
            <v>1</v>
          </cell>
          <cell r="E204">
            <v>3</v>
          </cell>
        </row>
        <row r="205">
          <cell r="B205">
            <v>0</v>
          </cell>
          <cell r="C205">
            <v>5</v>
          </cell>
          <cell r="D205">
            <v>0</v>
          </cell>
          <cell r="E205">
            <v>30.8</v>
          </cell>
        </row>
        <row r="206">
          <cell r="B206">
            <v>0</v>
          </cell>
          <cell r="C206">
            <v>0</v>
          </cell>
          <cell r="D206">
            <v>0</v>
          </cell>
          <cell r="E206">
            <v>30.8</v>
          </cell>
        </row>
        <row r="207">
          <cell r="B207">
            <v>0</v>
          </cell>
          <cell r="C207">
            <v>0</v>
          </cell>
          <cell r="D207" t="str">
            <v>x</v>
          </cell>
          <cell r="E207" t="str">
            <v>x</v>
          </cell>
        </row>
        <row r="208">
          <cell r="B208">
            <v>0</v>
          </cell>
          <cell r="C208">
            <v>0</v>
          </cell>
          <cell r="D208">
            <v>0</v>
          </cell>
          <cell r="E208">
            <v>30.8</v>
          </cell>
        </row>
        <row r="209">
          <cell r="B209">
            <v>0</v>
          </cell>
          <cell r="C209">
            <v>5</v>
          </cell>
          <cell r="D209">
            <v>0</v>
          </cell>
          <cell r="E209">
            <v>30.8</v>
          </cell>
        </row>
        <row r="210">
          <cell r="B210">
            <v>0</v>
          </cell>
          <cell r="C210">
            <v>5</v>
          </cell>
          <cell r="D210" t="str">
            <v>x</v>
          </cell>
          <cell r="E210" t="str">
            <v>x</v>
          </cell>
        </row>
        <row r="211">
          <cell r="B211">
            <v>0</v>
          </cell>
          <cell r="C211">
            <v>5</v>
          </cell>
          <cell r="D211" t="str">
            <v>p</v>
          </cell>
          <cell r="E211" t="str">
            <v/>
          </cell>
        </row>
        <row r="212">
          <cell r="B212">
            <v>0</v>
          </cell>
          <cell r="C212">
            <v>0</v>
          </cell>
          <cell r="D212" t="str">
            <v>p</v>
          </cell>
          <cell r="E212" t="str">
            <v/>
          </cell>
        </row>
        <row r="213">
          <cell r="B213">
            <v>0</v>
          </cell>
          <cell r="C213">
            <v>5</v>
          </cell>
          <cell r="D213" t="str">
            <v>p</v>
          </cell>
          <cell r="E213" t="str">
            <v/>
          </cell>
        </row>
        <row r="214">
          <cell r="B214">
            <v>0</v>
          </cell>
          <cell r="C214">
            <v>0</v>
          </cell>
          <cell r="D214">
            <v>1</v>
          </cell>
          <cell r="E214">
            <v>17.5</v>
          </cell>
        </row>
        <row r="215">
          <cell r="B215">
            <v>0</v>
          </cell>
          <cell r="C215">
            <v>5</v>
          </cell>
          <cell r="D215" t="str">
            <v>x</v>
          </cell>
          <cell r="E215" t="str">
            <v>x</v>
          </cell>
        </row>
        <row r="216">
          <cell r="B216">
            <v>0</v>
          </cell>
          <cell r="C216">
            <v>10</v>
          </cell>
          <cell r="D216" t="str">
            <v>x</v>
          </cell>
          <cell r="E216" t="str">
            <v>x</v>
          </cell>
        </row>
        <row r="217">
          <cell r="B217">
            <v>0</v>
          </cell>
          <cell r="C217">
            <v>5</v>
          </cell>
          <cell r="D217" t="str">
            <v>p</v>
          </cell>
          <cell r="E217" t="str">
            <v/>
          </cell>
        </row>
        <row r="218">
          <cell r="B218">
            <v>0</v>
          </cell>
          <cell r="C218">
            <v>0</v>
          </cell>
          <cell r="D218" t="str">
            <v>x</v>
          </cell>
          <cell r="E218" t="str">
            <v>x</v>
          </cell>
        </row>
        <row r="219">
          <cell r="B219">
            <v>0</v>
          </cell>
          <cell r="C219">
            <v>0</v>
          </cell>
          <cell r="D219" t="str">
            <v>x</v>
          </cell>
          <cell r="E219" t="str">
            <v>x</v>
          </cell>
        </row>
        <row r="220">
          <cell r="B220">
            <v>0</v>
          </cell>
          <cell r="C220">
            <v>5</v>
          </cell>
          <cell r="D220" t="str">
            <v>p</v>
          </cell>
          <cell r="E220" t="str">
            <v/>
          </cell>
        </row>
        <row r="221">
          <cell r="B221">
            <v>0</v>
          </cell>
          <cell r="C221">
            <v>0</v>
          </cell>
          <cell r="D221">
            <v>0</v>
          </cell>
          <cell r="E221">
            <v>30.8</v>
          </cell>
        </row>
        <row r="222">
          <cell r="B222">
            <v>0</v>
          </cell>
          <cell r="C222">
            <v>5</v>
          </cell>
          <cell r="D222">
            <v>1</v>
          </cell>
          <cell r="E222">
            <v>6.6</v>
          </cell>
        </row>
        <row r="223">
          <cell r="B223">
            <v>0</v>
          </cell>
          <cell r="C223">
            <v>10</v>
          </cell>
          <cell r="D223">
            <v>0</v>
          </cell>
          <cell r="E223">
            <v>30.8</v>
          </cell>
        </row>
        <row r="224">
          <cell r="B224">
            <v>0</v>
          </cell>
          <cell r="C224">
            <v>0</v>
          </cell>
          <cell r="D224">
            <v>1</v>
          </cell>
          <cell r="E224">
            <v>3.5</v>
          </cell>
        </row>
        <row r="225">
          <cell r="B225">
            <v>0</v>
          </cell>
          <cell r="C225">
            <v>20</v>
          </cell>
          <cell r="D225">
            <v>1</v>
          </cell>
          <cell r="E225">
            <v>4.5</v>
          </cell>
        </row>
        <row r="226">
          <cell r="B226">
            <v>0</v>
          </cell>
          <cell r="C226">
            <v>15</v>
          </cell>
          <cell r="D226" t="str">
            <v>x</v>
          </cell>
          <cell r="E226" t="str">
            <v>x</v>
          </cell>
        </row>
        <row r="227">
          <cell r="B227">
            <v>0</v>
          </cell>
          <cell r="C227">
            <v>0</v>
          </cell>
          <cell r="D227">
            <v>1</v>
          </cell>
          <cell r="E227">
            <v>5.5</v>
          </cell>
        </row>
        <row r="228">
          <cell r="B228">
            <v>0</v>
          </cell>
          <cell r="C228">
            <v>0</v>
          </cell>
          <cell r="D228" t="str">
            <v>p</v>
          </cell>
          <cell r="E228" t="str">
            <v/>
          </cell>
        </row>
        <row r="229">
          <cell r="B229">
            <v>0</v>
          </cell>
          <cell r="C229">
            <v>0</v>
          </cell>
          <cell r="D229" t="str">
            <v>x</v>
          </cell>
          <cell r="E229" t="str">
            <v>x</v>
          </cell>
        </row>
        <row r="230">
          <cell r="B230">
            <v>0</v>
          </cell>
          <cell r="C230">
            <v>20</v>
          </cell>
          <cell r="D230">
            <v>0</v>
          </cell>
          <cell r="E230">
            <v>30.8</v>
          </cell>
        </row>
        <row r="231">
          <cell r="B231">
            <v>0</v>
          </cell>
          <cell r="C231">
            <v>5</v>
          </cell>
          <cell r="D231">
            <v>0</v>
          </cell>
          <cell r="E231">
            <v>30.8</v>
          </cell>
        </row>
        <row r="232">
          <cell r="B232">
            <v>0</v>
          </cell>
          <cell r="C232">
            <v>15</v>
          </cell>
          <cell r="D232">
            <v>1</v>
          </cell>
          <cell r="E232">
            <v>9.3000000000000007</v>
          </cell>
        </row>
        <row r="233">
          <cell r="B233">
            <v>0</v>
          </cell>
          <cell r="C233">
            <v>0</v>
          </cell>
          <cell r="D233" t="str">
            <v>x</v>
          </cell>
          <cell r="E233" t="str">
            <v>x</v>
          </cell>
        </row>
        <row r="234">
          <cell r="B234">
            <v>0</v>
          </cell>
          <cell r="C234">
            <v>10</v>
          </cell>
          <cell r="D234" t="str">
            <v>x</v>
          </cell>
          <cell r="E234" t="str">
            <v>x</v>
          </cell>
        </row>
        <row r="235">
          <cell r="B235">
            <v>0</v>
          </cell>
          <cell r="C235">
            <v>10</v>
          </cell>
          <cell r="D235">
            <v>1</v>
          </cell>
          <cell r="E235">
            <v>1.6</v>
          </cell>
        </row>
        <row r="236">
          <cell r="B236">
            <v>0</v>
          </cell>
          <cell r="C236">
            <v>5</v>
          </cell>
          <cell r="D236">
            <v>0</v>
          </cell>
          <cell r="E236">
            <v>30.8</v>
          </cell>
        </row>
        <row r="237">
          <cell r="B237">
            <v>0</v>
          </cell>
          <cell r="C237">
            <v>0</v>
          </cell>
          <cell r="D237">
            <v>1</v>
          </cell>
          <cell r="E237">
            <v>0.8</v>
          </cell>
        </row>
        <row r="238">
          <cell r="B238">
            <v>0</v>
          </cell>
          <cell r="C238">
            <v>0</v>
          </cell>
          <cell r="D238">
            <v>1</v>
          </cell>
          <cell r="E238">
            <v>12.1</v>
          </cell>
        </row>
        <row r="239">
          <cell r="B239">
            <v>0</v>
          </cell>
          <cell r="C239">
            <v>0</v>
          </cell>
          <cell r="D239">
            <v>1</v>
          </cell>
          <cell r="E239">
            <v>12.1</v>
          </cell>
        </row>
        <row r="240">
          <cell r="B240">
            <v>0</v>
          </cell>
          <cell r="C240">
            <v>0</v>
          </cell>
          <cell r="D240" t="str">
            <v>p</v>
          </cell>
          <cell r="E240" t="str">
            <v/>
          </cell>
        </row>
        <row r="241">
          <cell r="B241">
            <v>0</v>
          </cell>
          <cell r="C241">
            <v>0</v>
          </cell>
          <cell r="D241">
            <v>1</v>
          </cell>
          <cell r="E241">
            <v>2.9380116959064337</v>
          </cell>
        </row>
        <row r="242">
          <cell r="B242">
            <v>0</v>
          </cell>
          <cell r="C242">
            <v>0</v>
          </cell>
          <cell r="D242" t="str">
            <v>x</v>
          </cell>
          <cell r="E242" t="str">
            <v>x</v>
          </cell>
        </row>
        <row r="243">
          <cell r="B243">
            <v>0</v>
          </cell>
          <cell r="C243">
            <v>0</v>
          </cell>
          <cell r="D243" t="str">
            <v>p</v>
          </cell>
          <cell r="E243" t="str">
            <v/>
          </cell>
        </row>
        <row r="244">
          <cell r="B244">
            <v>0</v>
          </cell>
          <cell r="C244">
            <v>0</v>
          </cell>
          <cell r="D244">
            <v>0</v>
          </cell>
          <cell r="E244">
            <v>30.8</v>
          </cell>
        </row>
        <row r="245">
          <cell r="B245">
            <v>0</v>
          </cell>
          <cell r="C245">
            <v>0</v>
          </cell>
          <cell r="D245">
            <v>1</v>
          </cell>
          <cell r="E245">
            <v>7.4</v>
          </cell>
        </row>
        <row r="246">
          <cell r="B246">
            <v>0</v>
          </cell>
          <cell r="C246">
            <v>0</v>
          </cell>
          <cell r="D246">
            <v>0</v>
          </cell>
          <cell r="E246">
            <v>30.8</v>
          </cell>
        </row>
        <row r="247">
          <cell r="B247">
            <v>0</v>
          </cell>
          <cell r="C247">
            <v>15</v>
          </cell>
          <cell r="D247" t="str">
            <v>x</v>
          </cell>
          <cell r="E247" t="str">
            <v>x</v>
          </cell>
        </row>
        <row r="248">
          <cell r="B248">
            <v>0</v>
          </cell>
          <cell r="C248">
            <v>0</v>
          </cell>
          <cell r="D248">
            <v>0</v>
          </cell>
          <cell r="E248">
            <v>30.8</v>
          </cell>
        </row>
        <row r="249">
          <cell r="B249">
            <v>0</v>
          </cell>
          <cell r="C249">
            <v>10</v>
          </cell>
          <cell r="D249" t="str">
            <v>x</v>
          </cell>
          <cell r="E249" t="str">
            <v>x</v>
          </cell>
        </row>
        <row r="250">
          <cell r="B250">
            <v>0</v>
          </cell>
          <cell r="C250">
            <v>5</v>
          </cell>
          <cell r="D250">
            <v>1</v>
          </cell>
          <cell r="E250">
            <v>3.8</v>
          </cell>
        </row>
        <row r="251">
          <cell r="B251">
            <v>0</v>
          </cell>
          <cell r="C251">
            <v>5</v>
          </cell>
          <cell r="D251">
            <v>1</v>
          </cell>
          <cell r="E251">
            <v>11</v>
          </cell>
        </row>
        <row r="252">
          <cell r="B252" t="e">
            <v>#REF!</v>
          </cell>
          <cell r="C252" t="e">
            <v>#REF!</v>
          </cell>
          <cell r="D252" t="e">
            <v>#REF!</v>
          </cell>
          <cell r="E252" t="str">
            <v/>
          </cell>
        </row>
        <row r="253">
          <cell r="B253" t="e">
            <v>#REF!</v>
          </cell>
          <cell r="C253" t="e">
            <v>#REF!</v>
          </cell>
          <cell r="D253" t="e">
            <v>#REF!</v>
          </cell>
          <cell r="E253" t="str">
            <v/>
          </cell>
        </row>
        <row r="254">
          <cell r="B254" t="e">
            <v>#REF!</v>
          </cell>
          <cell r="C254" t="e">
            <v>#REF!</v>
          </cell>
          <cell r="D254" t="e">
            <v>#REF!</v>
          </cell>
          <cell r="E254" t="str">
            <v/>
          </cell>
        </row>
        <row r="255">
          <cell r="B255" t="e">
            <v>#REF!</v>
          </cell>
          <cell r="C255" t="e">
            <v>#REF!</v>
          </cell>
          <cell r="D255" t="e">
            <v>#REF!</v>
          </cell>
          <cell r="E255" t="str">
            <v/>
          </cell>
        </row>
        <row r="256">
          <cell r="B256" t="e">
            <v>#REF!</v>
          </cell>
          <cell r="C256" t="e">
            <v>#REF!</v>
          </cell>
          <cell r="D256" t="e">
            <v>#REF!</v>
          </cell>
          <cell r="E256" t="str">
            <v/>
          </cell>
        </row>
        <row r="257">
          <cell r="B257" t="e">
            <v>#REF!</v>
          </cell>
          <cell r="C257" t="e">
            <v>#REF!</v>
          </cell>
          <cell r="D257" t="e">
            <v>#REF!</v>
          </cell>
          <cell r="E257" t="str">
            <v/>
          </cell>
        </row>
        <row r="258">
          <cell r="B258" t="e">
            <v>#REF!</v>
          </cell>
          <cell r="C258" t="e">
            <v>#REF!</v>
          </cell>
          <cell r="D258" t="e">
            <v>#REF!</v>
          </cell>
          <cell r="E258" t="str">
            <v/>
          </cell>
        </row>
        <row r="259">
          <cell r="B259" t="e">
            <v>#REF!</v>
          </cell>
          <cell r="C259" t="e">
            <v>#REF!</v>
          </cell>
          <cell r="D259" t="e">
            <v>#REF!</v>
          </cell>
          <cell r="E259" t="str">
            <v/>
          </cell>
        </row>
        <row r="260">
          <cell r="B260" t="e">
            <v>#REF!</v>
          </cell>
          <cell r="C260" t="e">
            <v>#REF!</v>
          </cell>
          <cell r="D260" t="e">
            <v>#REF!</v>
          </cell>
          <cell r="E260" t="str">
            <v/>
          </cell>
        </row>
        <row r="261">
          <cell r="B261" t="e">
            <v>#REF!</v>
          </cell>
          <cell r="C261" t="e">
            <v>#REF!</v>
          </cell>
          <cell r="D261" t="e">
            <v>#REF!</v>
          </cell>
          <cell r="E261" t="str">
            <v/>
          </cell>
        </row>
        <row r="262">
          <cell r="B262" t="e">
            <v>#REF!</v>
          </cell>
          <cell r="C262" t="e">
            <v>#REF!</v>
          </cell>
          <cell r="D262" t="e">
            <v>#REF!</v>
          </cell>
          <cell r="E262" t="str">
            <v/>
          </cell>
        </row>
        <row r="263">
          <cell r="B263" t="e">
            <v>#REF!</v>
          </cell>
          <cell r="C263" t="e">
            <v>#REF!</v>
          </cell>
          <cell r="D263" t="e">
            <v>#REF!</v>
          </cell>
          <cell r="E263" t="str">
            <v/>
          </cell>
        </row>
        <row r="264">
          <cell r="B264" t="e">
            <v>#REF!</v>
          </cell>
          <cell r="C264" t="e">
            <v>#REF!</v>
          </cell>
          <cell r="D264" t="e">
            <v>#REF!</v>
          </cell>
          <cell r="E264" t="str">
            <v/>
          </cell>
        </row>
        <row r="265">
          <cell r="B265" t="e">
            <v>#REF!</v>
          </cell>
          <cell r="C265" t="e">
            <v>#REF!</v>
          </cell>
          <cell r="D265" t="e">
            <v>#REF!</v>
          </cell>
          <cell r="E265" t="str">
            <v/>
          </cell>
        </row>
        <row r="266">
          <cell r="B266" t="e">
            <v>#REF!</v>
          </cell>
          <cell r="C266" t="e">
            <v>#REF!</v>
          </cell>
          <cell r="D266" t="e">
            <v>#REF!</v>
          </cell>
          <cell r="E266" t="str">
            <v/>
          </cell>
        </row>
        <row r="267">
          <cell r="B267" t="e">
            <v>#REF!</v>
          </cell>
          <cell r="C267" t="e">
            <v>#REF!</v>
          </cell>
          <cell r="D267" t="e">
            <v>#REF!</v>
          </cell>
          <cell r="E267" t="str">
            <v/>
          </cell>
        </row>
        <row r="268">
          <cell r="B268" t="e">
            <v>#REF!</v>
          </cell>
          <cell r="C268" t="e">
            <v>#REF!</v>
          </cell>
          <cell r="D268" t="e">
            <v>#REF!</v>
          </cell>
          <cell r="E268" t="str">
            <v/>
          </cell>
        </row>
        <row r="269">
          <cell r="B269" t="e">
            <v>#REF!</v>
          </cell>
          <cell r="C269" t="e">
            <v>#REF!</v>
          </cell>
          <cell r="D269" t="e">
            <v>#REF!</v>
          </cell>
          <cell r="E269" t="str">
            <v/>
          </cell>
        </row>
        <row r="270">
          <cell r="B270" t="e">
            <v>#REF!</v>
          </cell>
          <cell r="C270" t="e">
            <v>#REF!</v>
          </cell>
          <cell r="D270" t="e">
            <v>#REF!</v>
          </cell>
          <cell r="E270" t="str">
            <v/>
          </cell>
        </row>
        <row r="271">
          <cell r="B271" t="e">
            <v>#REF!</v>
          </cell>
          <cell r="C271" t="e">
            <v>#REF!</v>
          </cell>
          <cell r="D271" t="e">
            <v>#REF!</v>
          </cell>
          <cell r="E271" t="str">
            <v/>
          </cell>
        </row>
        <row r="272">
          <cell r="B272" t="e">
            <v>#REF!</v>
          </cell>
          <cell r="C272" t="e">
            <v>#REF!</v>
          </cell>
          <cell r="D272" t="e">
            <v>#REF!</v>
          </cell>
          <cell r="E272" t="str">
            <v/>
          </cell>
        </row>
        <row r="273">
          <cell r="B273" t="e">
            <v>#REF!</v>
          </cell>
          <cell r="C273" t="e">
            <v>#REF!</v>
          </cell>
          <cell r="D273" t="e">
            <v>#REF!</v>
          </cell>
          <cell r="E273" t="str">
            <v/>
          </cell>
        </row>
        <row r="274">
          <cell r="B274" t="e">
            <v>#REF!</v>
          </cell>
          <cell r="C274" t="e">
            <v>#REF!</v>
          </cell>
          <cell r="D274" t="e">
            <v>#REF!</v>
          </cell>
          <cell r="E274" t="str">
            <v/>
          </cell>
        </row>
        <row r="275">
          <cell r="B275" t="e">
            <v>#REF!</v>
          </cell>
          <cell r="C275" t="e">
            <v>#REF!</v>
          </cell>
          <cell r="D275" t="e">
            <v>#REF!</v>
          </cell>
          <cell r="E275" t="str">
            <v/>
          </cell>
        </row>
        <row r="276">
          <cell r="B276" t="e">
            <v>#REF!</v>
          </cell>
          <cell r="C276" t="e">
            <v>#REF!</v>
          </cell>
          <cell r="D276" t="e">
            <v>#REF!</v>
          </cell>
          <cell r="E276" t="str">
            <v/>
          </cell>
        </row>
        <row r="277">
          <cell r="B277" t="e">
            <v>#REF!</v>
          </cell>
          <cell r="C277" t="e">
            <v>#REF!</v>
          </cell>
          <cell r="D277" t="e">
            <v>#REF!</v>
          </cell>
          <cell r="E277" t="str">
            <v/>
          </cell>
        </row>
        <row r="278">
          <cell r="B278" t="e">
            <v>#REF!</v>
          </cell>
          <cell r="C278" t="e">
            <v>#REF!</v>
          </cell>
          <cell r="D278" t="e">
            <v>#REF!</v>
          </cell>
          <cell r="E278" t="str">
            <v/>
          </cell>
        </row>
        <row r="279">
          <cell r="B279" t="e">
            <v>#REF!</v>
          </cell>
          <cell r="C279" t="e">
            <v>#REF!</v>
          </cell>
          <cell r="D279" t="e">
            <v>#REF!</v>
          </cell>
          <cell r="E279" t="str">
            <v/>
          </cell>
        </row>
        <row r="280">
          <cell r="B280" t="e">
            <v>#REF!</v>
          </cell>
          <cell r="C280" t="e">
            <v>#REF!</v>
          </cell>
          <cell r="D280" t="e">
            <v>#REF!</v>
          </cell>
          <cell r="E280" t="str">
            <v/>
          </cell>
        </row>
        <row r="281">
          <cell r="B281" t="e">
            <v>#REF!</v>
          </cell>
          <cell r="C281" t="e">
            <v>#REF!</v>
          </cell>
          <cell r="D281" t="e">
            <v>#REF!</v>
          </cell>
          <cell r="E281" t="str">
            <v/>
          </cell>
        </row>
        <row r="282">
          <cell r="B282" t="e">
            <v>#REF!</v>
          </cell>
          <cell r="C282" t="e">
            <v>#REF!</v>
          </cell>
          <cell r="D282" t="e">
            <v>#REF!</v>
          </cell>
          <cell r="E282" t="str">
            <v/>
          </cell>
        </row>
        <row r="283">
          <cell r="B283" t="e">
            <v>#REF!</v>
          </cell>
          <cell r="C283" t="e">
            <v>#REF!</v>
          </cell>
          <cell r="D283" t="e">
            <v>#REF!</v>
          </cell>
          <cell r="E283" t="str">
            <v/>
          </cell>
        </row>
        <row r="284">
          <cell r="B284" t="e">
            <v>#REF!</v>
          </cell>
          <cell r="C284" t="e">
            <v>#REF!</v>
          </cell>
          <cell r="D284" t="e">
            <v>#REF!</v>
          </cell>
          <cell r="E284" t="str">
            <v/>
          </cell>
        </row>
        <row r="285">
          <cell r="B285" t="e">
            <v>#REF!</v>
          </cell>
          <cell r="C285" t="e">
            <v>#REF!</v>
          </cell>
          <cell r="D285" t="e">
            <v>#REF!</v>
          </cell>
          <cell r="E285" t="str">
            <v/>
          </cell>
        </row>
        <row r="286">
          <cell r="B286" t="e">
            <v>#REF!</v>
          </cell>
          <cell r="C286" t="e">
            <v>#REF!</v>
          </cell>
          <cell r="D286" t="e">
            <v>#REF!</v>
          </cell>
          <cell r="E286" t="str">
            <v/>
          </cell>
        </row>
        <row r="287">
          <cell r="B287" t="e">
            <v>#REF!</v>
          </cell>
          <cell r="C287" t="e">
            <v>#REF!</v>
          </cell>
          <cell r="D287" t="e">
            <v>#REF!</v>
          </cell>
          <cell r="E287" t="str">
            <v/>
          </cell>
        </row>
        <row r="288">
          <cell r="B288" t="e">
            <v>#REF!</v>
          </cell>
          <cell r="C288" t="e">
            <v>#REF!</v>
          </cell>
          <cell r="D288" t="e">
            <v>#REF!</v>
          </cell>
          <cell r="E288" t="str">
            <v/>
          </cell>
        </row>
        <row r="289">
          <cell r="B289" t="e">
            <v>#REF!</v>
          </cell>
          <cell r="C289" t="e">
            <v>#REF!</v>
          </cell>
          <cell r="D289" t="e">
            <v>#REF!</v>
          </cell>
          <cell r="E289" t="str">
            <v/>
          </cell>
        </row>
        <row r="290">
          <cell r="B290" t="e">
            <v>#REF!</v>
          </cell>
          <cell r="C290" t="e">
            <v>#REF!</v>
          </cell>
          <cell r="D290" t="e">
            <v>#REF!</v>
          </cell>
          <cell r="E290" t="str">
            <v/>
          </cell>
        </row>
        <row r="291">
          <cell r="B291" t="e">
            <v>#REF!</v>
          </cell>
          <cell r="C291" t="e">
            <v>#REF!</v>
          </cell>
          <cell r="D291" t="e">
            <v>#REF!</v>
          </cell>
          <cell r="E291" t="str">
            <v/>
          </cell>
        </row>
        <row r="292">
          <cell r="B292" t="e">
            <v>#REF!</v>
          </cell>
          <cell r="C292" t="e">
            <v>#REF!</v>
          </cell>
          <cell r="D292" t="e">
            <v>#REF!</v>
          </cell>
          <cell r="E292" t="str">
            <v/>
          </cell>
        </row>
        <row r="293">
          <cell r="B293" t="e">
            <v>#REF!</v>
          </cell>
          <cell r="C293" t="e">
            <v>#REF!</v>
          </cell>
          <cell r="D293" t="e">
            <v>#REF!</v>
          </cell>
          <cell r="E293" t="str">
            <v/>
          </cell>
        </row>
        <row r="294">
          <cell r="B294" t="e">
            <v>#REF!</v>
          </cell>
          <cell r="C294" t="e">
            <v>#REF!</v>
          </cell>
          <cell r="D294" t="e">
            <v>#REF!</v>
          </cell>
          <cell r="E294" t="str">
            <v/>
          </cell>
        </row>
        <row r="295">
          <cell r="B295" t="e">
            <v>#REF!</v>
          </cell>
          <cell r="C295" t="e">
            <v>#REF!</v>
          </cell>
          <cell r="D295" t="e">
            <v>#REF!</v>
          </cell>
          <cell r="E295" t="str">
            <v/>
          </cell>
        </row>
        <row r="296">
          <cell r="B296" t="e">
            <v>#REF!</v>
          </cell>
          <cell r="C296" t="e">
            <v>#REF!</v>
          </cell>
          <cell r="D296" t="e">
            <v>#REF!</v>
          </cell>
          <cell r="E296" t="str">
            <v/>
          </cell>
        </row>
        <row r="297">
          <cell r="B297" t="e">
            <v>#REF!</v>
          </cell>
          <cell r="C297" t="e">
            <v>#REF!</v>
          </cell>
          <cell r="D297" t="e">
            <v>#REF!</v>
          </cell>
          <cell r="E297" t="str">
            <v/>
          </cell>
        </row>
        <row r="298">
          <cell r="B298" t="e">
            <v>#REF!</v>
          </cell>
          <cell r="C298" t="e">
            <v>#REF!</v>
          </cell>
          <cell r="D298" t="e">
            <v>#REF!</v>
          </cell>
          <cell r="E298" t="str">
            <v/>
          </cell>
        </row>
        <row r="299">
          <cell r="B299" t="e">
            <v>#REF!</v>
          </cell>
          <cell r="C299" t="e">
            <v>#REF!</v>
          </cell>
          <cell r="D299" t="e">
            <v>#REF!</v>
          </cell>
          <cell r="E299" t="str">
            <v/>
          </cell>
        </row>
        <row r="300">
          <cell r="B300" t="e">
            <v>#REF!</v>
          </cell>
          <cell r="C300" t="e">
            <v>#REF!</v>
          </cell>
          <cell r="D300" t="e">
            <v>#REF!</v>
          </cell>
          <cell r="E300" t="str">
            <v/>
          </cell>
        </row>
        <row r="301">
          <cell r="B301" t="e">
            <v>#REF!</v>
          </cell>
          <cell r="C301" t="e">
            <v>#REF!</v>
          </cell>
          <cell r="D301" t="e">
            <v>#REF!</v>
          </cell>
          <cell r="E301" t="str">
            <v/>
          </cell>
        </row>
        <row r="302">
          <cell r="B302" t="e">
            <v>#REF!</v>
          </cell>
          <cell r="C302" t="e">
            <v>#REF!</v>
          </cell>
          <cell r="D302" t="e">
            <v>#REF!</v>
          </cell>
          <cell r="E302" t="str">
            <v/>
          </cell>
        </row>
        <row r="303">
          <cell r="B303" t="e">
            <v>#REF!</v>
          </cell>
          <cell r="C303" t="e">
            <v>#REF!</v>
          </cell>
          <cell r="D303" t="e">
            <v>#REF!</v>
          </cell>
          <cell r="E303" t="str">
            <v/>
          </cell>
        </row>
        <row r="304">
          <cell r="B304" t="e">
            <v>#REF!</v>
          </cell>
          <cell r="C304" t="e">
            <v>#REF!</v>
          </cell>
          <cell r="D304" t="e">
            <v>#REF!</v>
          </cell>
          <cell r="E304" t="str">
            <v/>
          </cell>
        </row>
        <row r="305">
          <cell r="B305" t="e">
            <v>#REF!</v>
          </cell>
          <cell r="C305" t="e">
            <v>#REF!</v>
          </cell>
          <cell r="D305" t="e">
            <v>#REF!</v>
          </cell>
          <cell r="E305" t="str">
            <v/>
          </cell>
        </row>
        <row r="306">
          <cell r="B306" t="e">
            <v>#REF!</v>
          </cell>
          <cell r="C306" t="e">
            <v>#REF!</v>
          </cell>
          <cell r="D306" t="e">
            <v>#REF!</v>
          </cell>
          <cell r="E306" t="str">
            <v/>
          </cell>
        </row>
        <row r="307">
          <cell r="B307" t="e">
            <v>#REF!</v>
          </cell>
          <cell r="C307" t="e">
            <v>#REF!</v>
          </cell>
          <cell r="D307" t="e">
            <v>#REF!</v>
          </cell>
          <cell r="E307" t="str">
            <v/>
          </cell>
        </row>
        <row r="308">
          <cell r="B308" t="e">
            <v>#REF!</v>
          </cell>
          <cell r="C308" t="e">
            <v>#REF!</v>
          </cell>
          <cell r="D308" t="e">
            <v>#REF!</v>
          </cell>
          <cell r="E308" t="str">
            <v/>
          </cell>
        </row>
        <row r="309">
          <cell r="B309" t="e">
            <v>#REF!</v>
          </cell>
          <cell r="C309" t="e">
            <v>#REF!</v>
          </cell>
          <cell r="D309" t="e">
            <v>#REF!</v>
          </cell>
          <cell r="E309" t="str">
            <v/>
          </cell>
        </row>
        <row r="310">
          <cell r="B310" t="e">
            <v>#REF!</v>
          </cell>
          <cell r="C310" t="e">
            <v>#REF!</v>
          </cell>
          <cell r="D310" t="e">
            <v>#REF!</v>
          </cell>
          <cell r="E310" t="str">
            <v/>
          </cell>
        </row>
        <row r="311">
          <cell r="B311" t="e">
            <v>#REF!</v>
          </cell>
          <cell r="C311" t="e">
            <v>#REF!</v>
          </cell>
          <cell r="D311" t="e">
            <v>#REF!</v>
          </cell>
          <cell r="E311" t="str">
            <v/>
          </cell>
        </row>
        <row r="312">
          <cell r="B312" t="e">
            <v>#REF!</v>
          </cell>
          <cell r="C312" t="e">
            <v>#REF!</v>
          </cell>
          <cell r="D312" t="e">
            <v>#REF!</v>
          </cell>
          <cell r="E312" t="str">
            <v/>
          </cell>
        </row>
        <row r="313">
          <cell r="B313" t="e">
            <v>#REF!</v>
          </cell>
          <cell r="C313" t="e">
            <v>#REF!</v>
          </cell>
          <cell r="D313" t="e">
            <v>#REF!</v>
          </cell>
          <cell r="E313" t="str">
            <v/>
          </cell>
        </row>
        <row r="314">
          <cell r="B314" t="e">
            <v>#REF!</v>
          </cell>
          <cell r="C314" t="e">
            <v>#REF!</v>
          </cell>
          <cell r="D314" t="e">
            <v>#REF!</v>
          </cell>
          <cell r="E314" t="str">
            <v/>
          </cell>
        </row>
        <row r="315">
          <cell r="B315" t="e">
            <v>#REF!</v>
          </cell>
          <cell r="C315" t="e">
            <v>#REF!</v>
          </cell>
          <cell r="D315" t="e">
            <v>#REF!</v>
          </cell>
          <cell r="E315" t="str">
            <v/>
          </cell>
        </row>
        <row r="316">
          <cell r="B316" t="e">
            <v>#REF!</v>
          </cell>
          <cell r="C316" t="e">
            <v>#REF!</v>
          </cell>
          <cell r="D316" t="e">
            <v>#REF!</v>
          </cell>
          <cell r="E316" t="str">
            <v/>
          </cell>
        </row>
        <row r="317">
          <cell r="B317" t="e">
            <v>#REF!</v>
          </cell>
          <cell r="C317" t="e">
            <v>#REF!</v>
          </cell>
          <cell r="D317" t="e">
            <v>#REF!</v>
          </cell>
          <cell r="E317" t="str">
            <v/>
          </cell>
        </row>
        <row r="318">
          <cell r="B318" t="e">
            <v>#REF!</v>
          </cell>
          <cell r="C318" t="e">
            <v>#REF!</v>
          </cell>
          <cell r="D318" t="e">
            <v>#REF!</v>
          </cell>
          <cell r="E318" t="str">
            <v/>
          </cell>
        </row>
        <row r="319">
          <cell r="B319" t="e">
            <v>#REF!</v>
          </cell>
          <cell r="C319" t="e">
            <v>#REF!</v>
          </cell>
          <cell r="D319" t="e">
            <v>#REF!</v>
          </cell>
          <cell r="E319" t="str">
            <v/>
          </cell>
        </row>
        <row r="320">
          <cell r="B320" t="e">
            <v>#REF!</v>
          </cell>
          <cell r="C320" t="e">
            <v>#REF!</v>
          </cell>
          <cell r="D320" t="e">
            <v>#REF!</v>
          </cell>
          <cell r="E320" t="str">
            <v/>
          </cell>
        </row>
        <row r="321">
          <cell r="B321" t="e">
            <v>#REF!</v>
          </cell>
          <cell r="C321" t="e">
            <v>#REF!</v>
          </cell>
          <cell r="D321" t="e">
            <v>#REF!</v>
          </cell>
          <cell r="E321" t="str">
            <v/>
          </cell>
        </row>
        <row r="322">
          <cell r="B322" t="e">
            <v>#REF!</v>
          </cell>
          <cell r="C322" t="e">
            <v>#REF!</v>
          </cell>
          <cell r="D322" t="e">
            <v>#REF!</v>
          </cell>
          <cell r="E322" t="str">
            <v/>
          </cell>
        </row>
        <row r="323">
          <cell r="B323" t="e">
            <v>#REF!</v>
          </cell>
          <cell r="C323" t="e">
            <v>#REF!</v>
          </cell>
          <cell r="D323" t="e">
            <v>#REF!</v>
          </cell>
          <cell r="E323" t="str">
            <v/>
          </cell>
        </row>
        <row r="324">
          <cell r="B324" t="e">
            <v>#REF!</v>
          </cell>
          <cell r="C324" t="e">
            <v>#REF!</v>
          </cell>
          <cell r="D324" t="e">
            <v>#REF!</v>
          </cell>
          <cell r="E324" t="str">
            <v/>
          </cell>
        </row>
        <row r="325">
          <cell r="B325" t="e">
            <v>#REF!</v>
          </cell>
          <cell r="C325" t="e">
            <v>#REF!</v>
          </cell>
          <cell r="D325" t="e">
            <v>#REF!</v>
          </cell>
          <cell r="E325" t="str">
            <v/>
          </cell>
        </row>
        <row r="326">
          <cell r="B326" t="e">
            <v>#REF!</v>
          </cell>
          <cell r="C326" t="e">
            <v>#REF!</v>
          </cell>
          <cell r="D326" t="e">
            <v>#REF!</v>
          </cell>
          <cell r="E326" t="str">
            <v/>
          </cell>
        </row>
        <row r="327">
          <cell r="B327" t="e">
            <v>#REF!</v>
          </cell>
          <cell r="C327" t="e">
            <v>#REF!</v>
          </cell>
          <cell r="D327" t="e">
            <v>#REF!</v>
          </cell>
          <cell r="E327" t="str">
            <v/>
          </cell>
        </row>
        <row r="328">
          <cell r="B328" t="e">
            <v>#REF!</v>
          </cell>
          <cell r="C328" t="e">
            <v>#REF!</v>
          </cell>
          <cell r="D328" t="e">
            <v>#REF!</v>
          </cell>
          <cell r="E328" t="str">
            <v/>
          </cell>
        </row>
        <row r="329">
          <cell r="B329" t="e">
            <v>#REF!</v>
          </cell>
          <cell r="C329" t="e">
            <v>#REF!</v>
          </cell>
          <cell r="D329" t="e">
            <v>#REF!</v>
          </cell>
          <cell r="E329" t="str">
            <v/>
          </cell>
        </row>
        <row r="330">
          <cell r="B330" t="e">
            <v>#REF!</v>
          </cell>
          <cell r="C330" t="e">
            <v>#REF!</v>
          </cell>
          <cell r="D330" t="e">
            <v>#REF!</v>
          </cell>
          <cell r="E330" t="str">
            <v/>
          </cell>
        </row>
        <row r="331">
          <cell r="B331" t="e">
            <v>#REF!</v>
          </cell>
          <cell r="C331" t="e">
            <v>#REF!</v>
          </cell>
          <cell r="D331" t="e">
            <v>#REF!</v>
          </cell>
          <cell r="E331" t="str">
            <v/>
          </cell>
        </row>
        <row r="332">
          <cell r="B332" t="e">
            <v>#REF!</v>
          </cell>
          <cell r="C332" t="e">
            <v>#REF!</v>
          </cell>
          <cell r="D332" t="e">
            <v>#REF!</v>
          </cell>
          <cell r="E332" t="str">
            <v/>
          </cell>
        </row>
        <row r="333">
          <cell r="B333" t="e">
            <v>#REF!</v>
          </cell>
          <cell r="C333" t="e">
            <v>#REF!</v>
          </cell>
          <cell r="D333" t="e">
            <v>#REF!</v>
          </cell>
          <cell r="E333" t="str">
            <v/>
          </cell>
        </row>
        <row r="334">
          <cell r="B334" t="e">
            <v>#REF!</v>
          </cell>
          <cell r="C334" t="e">
            <v>#REF!</v>
          </cell>
          <cell r="D334" t="e">
            <v>#REF!</v>
          </cell>
          <cell r="E334" t="str">
            <v/>
          </cell>
        </row>
        <row r="335">
          <cell r="B335" t="e">
            <v>#REF!</v>
          </cell>
          <cell r="C335" t="e">
            <v>#REF!</v>
          </cell>
          <cell r="D335" t="e">
            <v>#REF!</v>
          </cell>
          <cell r="E335" t="str">
            <v/>
          </cell>
        </row>
        <row r="336">
          <cell r="B336" t="e">
            <v>#REF!</v>
          </cell>
          <cell r="C336" t="e">
            <v>#REF!</v>
          </cell>
          <cell r="D336" t="e">
            <v>#REF!</v>
          </cell>
          <cell r="E336" t="str">
            <v/>
          </cell>
        </row>
        <row r="337">
          <cell r="B337" t="e">
            <v>#REF!</v>
          </cell>
          <cell r="C337" t="e">
            <v>#REF!</v>
          </cell>
          <cell r="D337" t="e">
            <v>#REF!</v>
          </cell>
          <cell r="E337" t="str">
            <v/>
          </cell>
        </row>
        <row r="338">
          <cell r="B338" t="e">
            <v>#REF!</v>
          </cell>
          <cell r="C338" t="e">
            <v>#REF!</v>
          </cell>
          <cell r="D338" t="e">
            <v>#REF!</v>
          </cell>
          <cell r="E338" t="str">
            <v/>
          </cell>
        </row>
        <row r="339">
          <cell r="B339">
            <v>0</v>
          </cell>
          <cell r="C339">
            <v>5</v>
          </cell>
          <cell r="D339" t="str">
            <v>p</v>
          </cell>
          <cell r="E339" t="str">
            <v/>
          </cell>
        </row>
        <row r="340">
          <cell r="B340">
            <v>0</v>
          </cell>
          <cell r="C340">
            <v>0</v>
          </cell>
          <cell r="D340" t="str">
            <v>p</v>
          </cell>
          <cell r="E340" t="str">
            <v/>
          </cell>
        </row>
        <row r="341">
          <cell r="B341">
            <v>0</v>
          </cell>
          <cell r="C341">
            <v>5</v>
          </cell>
          <cell r="D341" t="str">
            <v>p</v>
          </cell>
          <cell r="E341" t="str">
            <v/>
          </cell>
        </row>
        <row r="342">
          <cell r="B342">
            <v>0</v>
          </cell>
          <cell r="C342">
            <v>5</v>
          </cell>
          <cell r="D342">
            <v>1</v>
          </cell>
          <cell r="E342">
            <v>2.9380116959064337</v>
          </cell>
        </row>
        <row r="343">
          <cell r="B343" t="str">
            <v>null</v>
          </cell>
          <cell r="C343" t="str">
            <v>null</v>
          </cell>
          <cell r="D343" t="str">
            <v>null</v>
          </cell>
          <cell r="E343" t="str">
            <v/>
          </cell>
        </row>
        <row r="344">
          <cell r="B344" t="str">
            <v>null</v>
          </cell>
          <cell r="C344" t="str">
            <v>null</v>
          </cell>
          <cell r="D344" t="str">
            <v>null</v>
          </cell>
          <cell r="E344" t="str">
            <v/>
          </cell>
        </row>
        <row r="345">
          <cell r="B345" t="str">
            <v>null</v>
          </cell>
          <cell r="C345" t="str">
            <v>null</v>
          </cell>
          <cell r="D345" t="str">
            <v>null</v>
          </cell>
          <cell r="E345" t="str">
            <v/>
          </cell>
        </row>
        <row r="346">
          <cell r="B346" t="str">
            <v>null</v>
          </cell>
          <cell r="C346" t="str">
            <v>null</v>
          </cell>
          <cell r="D346" t="str">
            <v>null</v>
          </cell>
          <cell r="E346" t="str">
            <v/>
          </cell>
        </row>
        <row r="347">
          <cell r="B347" t="str">
            <v>null</v>
          </cell>
          <cell r="C347" t="str">
            <v>null</v>
          </cell>
          <cell r="D347" t="str">
            <v>null</v>
          </cell>
          <cell r="E347" t="str">
            <v/>
          </cell>
        </row>
        <row r="348">
          <cell r="B348" t="str">
            <v>null</v>
          </cell>
          <cell r="C348" t="str">
            <v>null</v>
          </cell>
          <cell r="D348" t="str">
            <v>null</v>
          </cell>
          <cell r="E348" t="str">
            <v/>
          </cell>
        </row>
        <row r="349">
          <cell r="B349" t="str">
            <v>null</v>
          </cell>
          <cell r="C349" t="str">
            <v>null</v>
          </cell>
          <cell r="D349" t="str">
            <v>null</v>
          </cell>
          <cell r="E349" t="str">
            <v/>
          </cell>
        </row>
        <row r="350">
          <cell r="B350" t="str">
            <v>null</v>
          </cell>
          <cell r="C350" t="str">
            <v>null</v>
          </cell>
          <cell r="D350" t="str">
            <v>null</v>
          </cell>
          <cell r="E350" t="str">
            <v/>
          </cell>
        </row>
        <row r="351">
          <cell r="B351" t="str">
            <v>null</v>
          </cell>
          <cell r="C351" t="str">
            <v>null</v>
          </cell>
          <cell r="D351" t="str">
            <v>null</v>
          </cell>
          <cell r="E351" t="str">
            <v/>
          </cell>
        </row>
        <row r="352">
          <cell r="B352" t="str">
            <v>null</v>
          </cell>
          <cell r="C352" t="str">
            <v>null</v>
          </cell>
          <cell r="D352" t="str">
            <v>null</v>
          </cell>
          <cell r="E352" t="str">
            <v/>
          </cell>
        </row>
        <row r="353">
          <cell r="B353" t="str">
            <v>null</v>
          </cell>
          <cell r="C353" t="str">
            <v>null</v>
          </cell>
          <cell r="D353" t="str">
            <v>null</v>
          </cell>
          <cell r="E353" t="str">
            <v/>
          </cell>
        </row>
        <row r="354">
          <cell r="B354" t="str">
            <v>null</v>
          </cell>
          <cell r="C354" t="str">
            <v>null</v>
          </cell>
          <cell r="D354" t="str">
            <v>null</v>
          </cell>
          <cell r="E354" t="str">
            <v/>
          </cell>
        </row>
        <row r="355">
          <cell r="B355" t="str">
            <v>null</v>
          </cell>
          <cell r="C355" t="str">
            <v>null</v>
          </cell>
          <cell r="D355" t="str">
            <v>null</v>
          </cell>
          <cell r="E355" t="str">
            <v/>
          </cell>
        </row>
        <row r="356">
          <cell r="B356" t="str">
            <v>null</v>
          </cell>
          <cell r="C356" t="str">
            <v>null</v>
          </cell>
          <cell r="D356" t="str">
            <v>null</v>
          </cell>
          <cell r="E356" t="str">
            <v/>
          </cell>
        </row>
        <row r="357">
          <cell r="B357" t="str">
            <v>null</v>
          </cell>
          <cell r="C357" t="str">
            <v>null</v>
          </cell>
          <cell r="D357" t="str">
            <v>null</v>
          </cell>
          <cell r="E357" t="str">
            <v/>
          </cell>
        </row>
        <row r="358">
          <cell r="B358" t="str">
            <v>null</v>
          </cell>
          <cell r="C358" t="str">
            <v>null</v>
          </cell>
          <cell r="D358" t="str">
            <v>null</v>
          </cell>
          <cell r="E358" t="str">
            <v/>
          </cell>
        </row>
        <row r="359">
          <cell r="B359" t="str">
            <v>null</v>
          </cell>
          <cell r="C359" t="str">
            <v>null</v>
          </cell>
          <cell r="D359" t="str">
            <v>null</v>
          </cell>
          <cell r="E359" t="str">
            <v/>
          </cell>
        </row>
        <row r="360">
          <cell r="B360" t="str">
            <v>null</v>
          </cell>
          <cell r="C360" t="str">
            <v>null</v>
          </cell>
          <cell r="D360" t="str">
            <v>null</v>
          </cell>
          <cell r="E360" t="str">
            <v/>
          </cell>
        </row>
        <row r="361">
          <cell r="B361" t="str">
            <v>null</v>
          </cell>
          <cell r="C361" t="str">
            <v>null</v>
          </cell>
          <cell r="D361" t="str">
            <v>null</v>
          </cell>
          <cell r="E361" t="str">
            <v/>
          </cell>
        </row>
        <row r="362">
          <cell r="B362" t="str">
            <v>null</v>
          </cell>
          <cell r="C362" t="str">
            <v>null</v>
          </cell>
          <cell r="D362" t="str">
            <v>null</v>
          </cell>
          <cell r="E362" t="str">
            <v/>
          </cell>
        </row>
        <row r="363">
          <cell r="B363" t="str">
            <v>null</v>
          </cell>
          <cell r="C363" t="str">
            <v>null</v>
          </cell>
          <cell r="D363" t="str">
            <v>null</v>
          </cell>
          <cell r="E363" t="str">
            <v/>
          </cell>
        </row>
        <row r="364">
          <cell r="B364" t="str">
            <v>null</v>
          </cell>
          <cell r="C364" t="str">
            <v>null</v>
          </cell>
          <cell r="D364" t="str">
            <v>null</v>
          </cell>
          <cell r="E364" t="str">
            <v/>
          </cell>
        </row>
        <row r="365">
          <cell r="B365" t="str">
            <v>null</v>
          </cell>
          <cell r="C365" t="str">
            <v>null</v>
          </cell>
          <cell r="D365" t="str">
            <v>null</v>
          </cell>
          <cell r="E365" t="str">
            <v/>
          </cell>
        </row>
        <row r="366">
          <cell r="B366" t="str">
            <v>null</v>
          </cell>
          <cell r="C366" t="str">
            <v>null</v>
          </cell>
          <cell r="D366" t="str">
            <v>null</v>
          </cell>
          <cell r="E366" t="str">
            <v/>
          </cell>
        </row>
        <row r="367">
          <cell r="B367" t="str">
            <v>null</v>
          </cell>
          <cell r="C367" t="str">
            <v>null</v>
          </cell>
          <cell r="D367" t="str">
            <v>null</v>
          </cell>
          <cell r="E367" t="str">
            <v/>
          </cell>
        </row>
        <row r="368">
          <cell r="B368" t="str">
            <v>null</v>
          </cell>
          <cell r="C368" t="str">
            <v>null</v>
          </cell>
          <cell r="D368" t="str">
            <v>null</v>
          </cell>
          <cell r="E368" t="str">
            <v/>
          </cell>
        </row>
        <row r="369">
          <cell r="B369" t="str">
            <v>null</v>
          </cell>
          <cell r="C369" t="str">
            <v>null</v>
          </cell>
          <cell r="D369" t="str">
            <v>null</v>
          </cell>
          <cell r="E369" t="str">
            <v/>
          </cell>
        </row>
        <row r="370">
          <cell r="B370" t="str">
            <v>null</v>
          </cell>
          <cell r="C370" t="str">
            <v>null</v>
          </cell>
          <cell r="D370" t="str">
            <v>null</v>
          </cell>
          <cell r="E370" t="str">
            <v/>
          </cell>
        </row>
        <row r="371">
          <cell r="B371" t="str">
            <v>null</v>
          </cell>
          <cell r="C371" t="str">
            <v>null</v>
          </cell>
          <cell r="D371" t="str">
            <v>null</v>
          </cell>
          <cell r="E371" t="str">
            <v/>
          </cell>
        </row>
        <row r="372">
          <cell r="B372" t="str">
            <v>null</v>
          </cell>
          <cell r="C372" t="str">
            <v>null</v>
          </cell>
          <cell r="D372" t="str">
            <v>null</v>
          </cell>
          <cell r="E372" t="str">
            <v/>
          </cell>
        </row>
        <row r="373">
          <cell r="B373" t="str">
            <v>null</v>
          </cell>
          <cell r="C373" t="str">
            <v>null</v>
          </cell>
          <cell r="D373" t="str">
            <v>null</v>
          </cell>
          <cell r="E373" t="str">
            <v/>
          </cell>
        </row>
        <row r="374">
          <cell r="B374" t="str">
            <v>null</v>
          </cell>
          <cell r="C374" t="str">
            <v>null</v>
          </cell>
          <cell r="D374" t="str">
            <v>null</v>
          </cell>
          <cell r="E374" t="str">
            <v/>
          </cell>
        </row>
        <row r="375">
          <cell r="B375" t="str">
            <v>null</v>
          </cell>
          <cell r="C375" t="str">
            <v>null</v>
          </cell>
          <cell r="D375" t="str">
            <v>null</v>
          </cell>
          <cell r="E375" t="str">
            <v/>
          </cell>
        </row>
        <row r="376">
          <cell r="B376" t="str">
            <v>null</v>
          </cell>
          <cell r="C376" t="str">
            <v>null</v>
          </cell>
          <cell r="D376" t="str">
            <v>null</v>
          </cell>
          <cell r="E376" t="str">
            <v/>
          </cell>
        </row>
        <row r="377">
          <cell r="B377" t="str">
            <v>null</v>
          </cell>
          <cell r="C377" t="str">
            <v>null</v>
          </cell>
          <cell r="D377" t="str">
            <v>null</v>
          </cell>
          <cell r="E377" t="str">
            <v/>
          </cell>
        </row>
        <row r="378">
          <cell r="B378" t="str">
            <v>null</v>
          </cell>
          <cell r="C378" t="str">
            <v>null</v>
          </cell>
          <cell r="D378" t="str">
            <v>null</v>
          </cell>
          <cell r="E378" t="str">
            <v/>
          </cell>
        </row>
        <row r="379">
          <cell r="B379" t="str">
            <v>null</v>
          </cell>
          <cell r="C379" t="str">
            <v>null</v>
          </cell>
          <cell r="D379" t="str">
            <v>null</v>
          </cell>
          <cell r="E379" t="str">
            <v/>
          </cell>
        </row>
        <row r="380">
          <cell r="B380" t="str">
            <v>null</v>
          </cell>
          <cell r="C380" t="str">
            <v>null</v>
          </cell>
          <cell r="D380" t="str">
            <v>null</v>
          </cell>
          <cell r="E380" t="str">
            <v/>
          </cell>
        </row>
        <row r="381">
          <cell r="B381" t="str">
            <v>null</v>
          </cell>
          <cell r="C381" t="str">
            <v>null</v>
          </cell>
          <cell r="D381" t="str">
            <v>null</v>
          </cell>
          <cell r="E381" t="str">
            <v/>
          </cell>
        </row>
        <row r="382">
          <cell r="B382" t="str">
            <v>null</v>
          </cell>
          <cell r="C382" t="str">
            <v>null</v>
          </cell>
          <cell r="D382" t="str">
            <v>null</v>
          </cell>
          <cell r="E382" t="str">
            <v/>
          </cell>
        </row>
        <row r="383">
          <cell r="B383" t="str">
            <v>null</v>
          </cell>
          <cell r="C383" t="str">
            <v>null</v>
          </cell>
          <cell r="D383" t="str">
            <v>null</v>
          </cell>
          <cell r="E383" t="str">
            <v/>
          </cell>
        </row>
        <row r="384">
          <cell r="B384" t="str">
            <v>null</v>
          </cell>
          <cell r="C384" t="str">
            <v>null</v>
          </cell>
          <cell r="D384" t="str">
            <v>null</v>
          </cell>
          <cell r="E384" t="str">
            <v/>
          </cell>
        </row>
        <row r="385">
          <cell r="B385" t="str">
            <v>null</v>
          </cell>
          <cell r="C385" t="str">
            <v>null</v>
          </cell>
          <cell r="D385" t="str">
            <v>null</v>
          </cell>
          <cell r="E385" t="str">
            <v/>
          </cell>
        </row>
        <row r="386">
          <cell r="B386" t="str">
            <v>null</v>
          </cell>
          <cell r="C386" t="str">
            <v>null</v>
          </cell>
          <cell r="D386" t="str">
            <v>null</v>
          </cell>
          <cell r="E386" t="str">
            <v/>
          </cell>
        </row>
        <row r="387">
          <cell r="B387" t="str">
            <v>null</v>
          </cell>
          <cell r="C387" t="str">
            <v>null</v>
          </cell>
          <cell r="D387" t="str">
            <v>null</v>
          </cell>
          <cell r="E387" t="str">
            <v/>
          </cell>
        </row>
        <row r="388">
          <cell r="B388" t="str">
            <v>null</v>
          </cell>
          <cell r="C388" t="str">
            <v>null</v>
          </cell>
          <cell r="D388" t="str">
            <v>null</v>
          </cell>
          <cell r="E388" t="str">
            <v/>
          </cell>
        </row>
        <row r="389">
          <cell r="B389" t="str">
            <v>null</v>
          </cell>
          <cell r="C389" t="str">
            <v>null</v>
          </cell>
          <cell r="D389" t="str">
            <v>null</v>
          </cell>
          <cell r="E389" t="str">
            <v/>
          </cell>
        </row>
        <row r="390">
          <cell r="B390" t="str">
            <v>null</v>
          </cell>
          <cell r="C390" t="str">
            <v>null</v>
          </cell>
          <cell r="D390" t="str">
            <v>null</v>
          </cell>
          <cell r="E390" t="str">
            <v/>
          </cell>
        </row>
        <row r="391">
          <cell r="B391" t="str">
            <v>null</v>
          </cell>
          <cell r="C391" t="str">
            <v>null</v>
          </cell>
          <cell r="D391" t="str">
            <v>null</v>
          </cell>
          <cell r="E391" t="str">
            <v/>
          </cell>
        </row>
        <row r="392">
          <cell r="B392" t="str">
            <v>null</v>
          </cell>
          <cell r="C392" t="str">
            <v>null</v>
          </cell>
          <cell r="D392" t="str">
            <v>null</v>
          </cell>
          <cell r="E392" t="str">
            <v/>
          </cell>
        </row>
        <row r="393">
          <cell r="B393" t="str">
            <v>null</v>
          </cell>
          <cell r="C393" t="str">
            <v>null</v>
          </cell>
          <cell r="D393" t="str">
            <v>null</v>
          </cell>
          <cell r="E393" t="str">
            <v/>
          </cell>
        </row>
        <row r="394">
          <cell r="B394" t="str">
            <v>null</v>
          </cell>
          <cell r="C394" t="str">
            <v>null</v>
          </cell>
          <cell r="D394" t="str">
            <v>null</v>
          </cell>
          <cell r="E394" t="str">
            <v/>
          </cell>
        </row>
        <row r="395">
          <cell r="B395" t="str">
            <v>null</v>
          </cell>
          <cell r="C395" t="str">
            <v>null</v>
          </cell>
          <cell r="D395" t="str">
            <v>null</v>
          </cell>
          <cell r="E395" t="str">
            <v/>
          </cell>
        </row>
        <row r="396">
          <cell r="B396" t="str">
            <v>null</v>
          </cell>
          <cell r="C396" t="str">
            <v>null</v>
          </cell>
          <cell r="D396" t="str">
            <v>null</v>
          </cell>
          <cell r="E396" t="str">
            <v/>
          </cell>
        </row>
        <row r="397">
          <cell r="B397" t="str">
            <v>null</v>
          </cell>
          <cell r="C397" t="str">
            <v>null</v>
          </cell>
          <cell r="D397" t="str">
            <v>null</v>
          </cell>
          <cell r="E397" t="str">
            <v/>
          </cell>
        </row>
        <row r="398">
          <cell r="B398" t="str">
            <v>null</v>
          </cell>
          <cell r="C398" t="str">
            <v>null</v>
          </cell>
          <cell r="D398" t="str">
            <v>null</v>
          </cell>
          <cell r="E398" t="str">
            <v/>
          </cell>
        </row>
        <row r="399">
          <cell r="B399" t="str">
            <v>null</v>
          </cell>
          <cell r="C399" t="str">
            <v>null</v>
          </cell>
          <cell r="D399" t="str">
            <v>null</v>
          </cell>
          <cell r="E399" t="str">
            <v/>
          </cell>
        </row>
        <row r="400">
          <cell r="B400" t="str">
            <v>null</v>
          </cell>
          <cell r="C400" t="str">
            <v>null</v>
          </cell>
          <cell r="D400" t="str">
            <v>null</v>
          </cell>
          <cell r="E400" t="str">
            <v/>
          </cell>
        </row>
        <row r="401">
          <cell r="B401" t="str">
            <v>null</v>
          </cell>
          <cell r="C401" t="str">
            <v>null</v>
          </cell>
          <cell r="D401" t="str">
            <v>null</v>
          </cell>
          <cell r="E401" t="str">
            <v/>
          </cell>
        </row>
        <row r="402">
          <cell r="B402" t="str">
            <v>null</v>
          </cell>
          <cell r="C402" t="str">
            <v>null</v>
          </cell>
          <cell r="D402" t="str">
            <v>null</v>
          </cell>
          <cell r="E402" t="str">
            <v/>
          </cell>
        </row>
        <row r="403">
          <cell r="B403" t="str">
            <v>null</v>
          </cell>
          <cell r="C403" t="str">
            <v>null</v>
          </cell>
          <cell r="D403" t="str">
            <v>null</v>
          </cell>
          <cell r="E403" t="str">
            <v/>
          </cell>
        </row>
        <row r="404">
          <cell r="B404" t="str">
            <v>null</v>
          </cell>
          <cell r="C404" t="str">
            <v>null</v>
          </cell>
          <cell r="D404" t="str">
            <v>null</v>
          </cell>
          <cell r="E404" t="str">
            <v/>
          </cell>
        </row>
        <row r="405">
          <cell r="B405" t="str">
            <v>null</v>
          </cell>
          <cell r="C405" t="str">
            <v>null</v>
          </cell>
          <cell r="D405" t="str">
            <v>null</v>
          </cell>
          <cell r="E405" t="str">
            <v/>
          </cell>
        </row>
        <row r="406">
          <cell r="B406" t="str">
            <v>null</v>
          </cell>
          <cell r="C406" t="str">
            <v>null</v>
          </cell>
          <cell r="D406" t="str">
            <v>null</v>
          </cell>
          <cell r="E406" t="str">
            <v/>
          </cell>
        </row>
        <row r="407">
          <cell r="B407" t="str">
            <v>null</v>
          </cell>
          <cell r="C407" t="str">
            <v>null</v>
          </cell>
          <cell r="D407" t="str">
            <v>null</v>
          </cell>
          <cell r="E407" t="str">
            <v/>
          </cell>
        </row>
        <row r="408">
          <cell r="B408" t="str">
            <v>null</v>
          </cell>
          <cell r="C408" t="str">
            <v>null</v>
          </cell>
          <cell r="D408" t="str">
            <v>null</v>
          </cell>
          <cell r="E408" t="str">
            <v/>
          </cell>
        </row>
        <row r="409">
          <cell r="B409" t="str">
            <v>null</v>
          </cell>
          <cell r="C409" t="str">
            <v>null</v>
          </cell>
          <cell r="D409" t="str">
            <v>null</v>
          </cell>
          <cell r="E409" t="str">
            <v/>
          </cell>
        </row>
        <row r="410">
          <cell r="B410" t="str">
            <v>null</v>
          </cell>
          <cell r="C410" t="str">
            <v>null</v>
          </cell>
          <cell r="D410" t="str">
            <v>null</v>
          </cell>
          <cell r="E410" t="str">
            <v/>
          </cell>
        </row>
        <row r="411">
          <cell r="B411" t="str">
            <v>null</v>
          </cell>
          <cell r="C411" t="str">
            <v>null</v>
          </cell>
          <cell r="D411" t="str">
            <v>null</v>
          </cell>
          <cell r="E411" t="str">
            <v/>
          </cell>
        </row>
        <row r="412">
          <cell r="B412" t="str">
            <v>null</v>
          </cell>
          <cell r="C412" t="str">
            <v>null</v>
          </cell>
          <cell r="D412" t="str">
            <v>null</v>
          </cell>
          <cell r="E412" t="str">
            <v/>
          </cell>
        </row>
        <row r="413">
          <cell r="B413" t="str">
            <v>null</v>
          </cell>
          <cell r="C413" t="str">
            <v>null</v>
          </cell>
          <cell r="D413" t="str">
            <v>null</v>
          </cell>
          <cell r="E413" t="str">
            <v/>
          </cell>
        </row>
        <row r="414">
          <cell r="B414" t="str">
            <v>null</v>
          </cell>
          <cell r="C414" t="str">
            <v>null</v>
          </cell>
          <cell r="D414" t="str">
            <v>null</v>
          </cell>
          <cell r="E414" t="str">
            <v/>
          </cell>
        </row>
        <row r="415">
          <cell r="B415" t="str">
            <v>null</v>
          </cell>
          <cell r="C415" t="str">
            <v>null</v>
          </cell>
          <cell r="D415" t="str">
            <v>null</v>
          </cell>
          <cell r="E415" t="str">
            <v/>
          </cell>
        </row>
        <row r="416">
          <cell r="B416" t="str">
            <v>null</v>
          </cell>
          <cell r="C416" t="str">
            <v>null</v>
          </cell>
          <cell r="D416" t="str">
            <v>null</v>
          </cell>
          <cell r="E416" t="str">
            <v/>
          </cell>
        </row>
        <row r="417">
          <cell r="B417" t="str">
            <v>null</v>
          </cell>
          <cell r="C417" t="str">
            <v>null</v>
          </cell>
          <cell r="D417" t="str">
            <v>null</v>
          </cell>
          <cell r="E417" t="str">
            <v/>
          </cell>
        </row>
        <row r="418">
          <cell r="B418" t="str">
            <v>null</v>
          </cell>
          <cell r="C418" t="str">
            <v>null</v>
          </cell>
          <cell r="D418" t="str">
            <v>null</v>
          </cell>
          <cell r="E418" t="str">
            <v/>
          </cell>
        </row>
        <row r="419">
          <cell r="B419" t="str">
            <v>null</v>
          </cell>
          <cell r="C419" t="str">
            <v>null</v>
          </cell>
          <cell r="D419" t="str">
            <v>null</v>
          </cell>
          <cell r="E419" t="str">
            <v/>
          </cell>
        </row>
        <row r="420">
          <cell r="B420" t="str">
            <v>null</v>
          </cell>
          <cell r="C420" t="str">
            <v>null</v>
          </cell>
          <cell r="D420" t="str">
            <v>null</v>
          </cell>
          <cell r="E420" t="str">
            <v/>
          </cell>
        </row>
        <row r="421">
          <cell r="B421" t="str">
            <v>null</v>
          </cell>
          <cell r="C421" t="str">
            <v>null</v>
          </cell>
          <cell r="D421" t="str">
            <v>null</v>
          </cell>
          <cell r="E421" t="str">
            <v/>
          </cell>
        </row>
        <row r="422">
          <cell r="B422" t="str">
            <v>null</v>
          </cell>
          <cell r="C422" t="str">
            <v>null</v>
          </cell>
          <cell r="D422" t="str">
            <v>null</v>
          </cell>
          <cell r="E422" t="str">
            <v/>
          </cell>
        </row>
        <row r="423">
          <cell r="B423" t="str">
            <v>null</v>
          </cell>
          <cell r="C423" t="str">
            <v>null</v>
          </cell>
          <cell r="D423" t="str">
            <v>null</v>
          </cell>
          <cell r="E423" t="str">
            <v/>
          </cell>
        </row>
        <row r="424">
          <cell r="B424" t="str">
            <v>null</v>
          </cell>
          <cell r="C424" t="str">
            <v>null</v>
          </cell>
          <cell r="D424" t="str">
            <v>null</v>
          </cell>
          <cell r="E424" t="str">
            <v/>
          </cell>
        </row>
        <row r="425">
          <cell r="B425" t="str">
            <v>null</v>
          </cell>
          <cell r="C425" t="str">
            <v>null</v>
          </cell>
          <cell r="D425" t="str">
            <v>null</v>
          </cell>
          <cell r="E425" t="str">
            <v/>
          </cell>
        </row>
        <row r="426">
          <cell r="B426" t="str">
            <v>null</v>
          </cell>
          <cell r="C426" t="str">
            <v>null</v>
          </cell>
          <cell r="D426" t="str">
            <v>null</v>
          </cell>
          <cell r="E426" t="str">
            <v/>
          </cell>
        </row>
        <row r="427">
          <cell r="B427" t="str">
            <v>null</v>
          </cell>
          <cell r="C427" t="str">
            <v>null</v>
          </cell>
          <cell r="D427" t="str">
            <v>null</v>
          </cell>
          <cell r="E427" t="str">
            <v/>
          </cell>
        </row>
        <row r="428">
          <cell r="B428" t="str">
            <v>null</v>
          </cell>
          <cell r="C428" t="str">
            <v>null</v>
          </cell>
          <cell r="D428" t="str">
            <v>null</v>
          </cell>
          <cell r="E428" t="str">
            <v/>
          </cell>
        </row>
        <row r="429">
          <cell r="B429" t="str">
            <v>null</v>
          </cell>
          <cell r="C429" t="str">
            <v>null</v>
          </cell>
          <cell r="D429" t="str">
            <v>null</v>
          </cell>
          <cell r="E429" t="str">
            <v/>
          </cell>
        </row>
        <row r="430">
          <cell r="B430" t="str">
            <v>null</v>
          </cell>
          <cell r="C430" t="str">
            <v>null</v>
          </cell>
          <cell r="D430" t="str">
            <v>null</v>
          </cell>
          <cell r="E430" t="str">
            <v/>
          </cell>
        </row>
        <row r="431">
          <cell r="B431" t="str">
            <v>null</v>
          </cell>
          <cell r="C431" t="str">
            <v>null</v>
          </cell>
          <cell r="D431" t="str">
            <v>null</v>
          </cell>
          <cell r="E431" t="str">
            <v/>
          </cell>
        </row>
        <row r="432">
          <cell r="B432" t="str">
            <v>null</v>
          </cell>
          <cell r="C432" t="str">
            <v>null</v>
          </cell>
          <cell r="D432" t="str">
            <v>null</v>
          </cell>
          <cell r="E432" t="str">
            <v/>
          </cell>
        </row>
        <row r="433">
          <cell r="B433" t="str">
            <v>null</v>
          </cell>
          <cell r="C433" t="str">
            <v>null</v>
          </cell>
          <cell r="D433" t="str">
            <v>null</v>
          </cell>
          <cell r="E433" t="str">
            <v/>
          </cell>
        </row>
        <row r="434">
          <cell r="B434" t="str">
            <v>null</v>
          </cell>
          <cell r="C434" t="str">
            <v>null</v>
          </cell>
          <cell r="D434" t="str">
            <v>null</v>
          </cell>
          <cell r="E434" t="str">
            <v/>
          </cell>
        </row>
        <row r="435">
          <cell r="B435" t="str">
            <v>null</v>
          </cell>
          <cell r="C435" t="str">
            <v>null</v>
          </cell>
          <cell r="D435" t="str">
            <v>null</v>
          </cell>
          <cell r="E435" t="str">
            <v/>
          </cell>
        </row>
        <row r="436">
          <cell r="B436" t="str">
            <v>null</v>
          </cell>
          <cell r="C436" t="str">
            <v>null</v>
          </cell>
          <cell r="D436" t="str">
            <v>null</v>
          </cell>
          <cell r="E436" t="str">
            <v/>
          </cell>
        </row>
        <row r="437">
          <cell r="B437" t="str">
            <v>null</v>
          </cell>
          <cell r="C437" t="str">
            <v>null</v>
          </cell>
          <cell r="D437" t="str">
            <v>null</v>
          </cell>
          <cell r="E437" t="str">
            <v/>
          </cell>
        </row>
        <row r="438">
          <cell r="B438" t="str">
            <v>null</v>
          </cell>
          <cell r="C438" t="str">
            <v>null</v>
          </cell>
          <cell r="D438" t="str">
            <v>null</v>
          </cell>
          <cell r="E438" t="str">
            <v/>
          </cell>
        </row>
        <row r="439">
          <cell r="B439" t="str">
            <v>null</v>
          </cell>
          <cell r="C439" t="str">
            <v>null</v>
          </cell>
          <cell r="D439" t="str">
            <v>null</v>
          </cell>
          <cell r="E439" t="str">
            <v/>
          </cell>
        </row>
        <row r="440">
          <cell r="B440" t="str">
            <v>null</v>
          </cell>
          <cell r="C440" t="str">
            <v>null</v>
          </cell>
          <cell r="D440" t="str">
            <v>null</v>
          </cell>
          <cell r="E440" t="str">
            <v/>
          </cell>
        </row>
        <row r="441">
          <cell r="B441" t="str">
            <v>null</v>
          </cell>
          <cell r="C441" t="str">
            <v>null</v>
          </cell>
          <cell r="D441" t="str">
            <v>null</v>
          </cell>
          <cell r="E441" t="str">
            <v/>
          </cell>
        </row>
        <row r="442">
          <cell r="B442" t="str">
            <v>null</v>
          </cell>
          <cell r="C442" t="str">
            <v>null</v>
          </cell>
          <cell r="D442" t="str">
            <v>null</v>
          </cell>
          <cell r="E442" t="str">
            <v/>
          </cell>
        </row>
        <row r="443">
          <cell r="B443" t="str">
            <v>null</v>
          </cell>
          <cell r="C443" t="str">
            <v>null</v>
          </cell>
          <cell r="D443" t="str">
            <v>null</v>
          </cell>
          <cell r="E443" t="str">
            <v/>
          </cell>
        </row>
        <row r="444">
          <cell r="B444" t="str">
            <v>null</v>
          </cell>
          <cell r="C444" t="str">
            <v>null</v>
          </cell>
          <cell r="D444" t="str">
            <v>null</v>
          </cell>
          <cell r="E444" t="str">
            <v/>
          </cell>
        </row>
        <row r="445">
          <cell r="B445" t="str">
            <v>null</v>
          </cell>
          <cell r="C445" t="str">
            <v>null</v>
          </cell>
          <cell r="D445" t="str">
            <v>null</v>
          </cell>
          <cell r="E445" t="str">
            <v/>
          </cell>
        </row>
        <row r="446">
          <cell r="B446" t="str">
            <v>null</v>
          </cell>
          <cell r="C446" t="str">
            <v>null</v>
          </cell>
          <cell r="D446" t="str">
            <v>null</v>
          </cell>
          <cell r="E446" t="str">
            <v/>
          </cell>
        </row>
        <row r="447">
          <cell r="B447" t="str">
            <v>null</v>
          </cell>
          <cell r="C447" t="str">
            <v>null</v>
          </cell>
          <cell r="D447" t="str">
            <v>null</v>
          </cell>
          <cell r="E447" t="str">
            <v/>
          </cell>
        </row>
        <row r="448">
          <cell r="B448" t="str">
            <v>null</v>
          </cell>
          <cell r="C448" t="str">
            <v>null</v>
          </cell>
          <cell r="D448" t="str">
            <v>null</v>
          </cell>
          <cell r="E448" t="str">
            <v/>
          </cell>
        </row>
        <row r="449">
          <cell r="B449" t="str">
            <v>null</v>
          </cell>
          <cell r="C449" t="str">
            <v>null</v>
          </cell>
          <cell r="D449" t="str">
            <v>null</v>
          </cell>
          <cell r="E449" t="str">
            <v/>
          </cell>
        </row>
        <row r="450">
          <cell r="B450" t="str">
            <v>null</v>
          </cell>
          <cell r="C450" t="str">
            <v>null</v>
          </cell>
          <cell r="D450" t="str">
            <v>null</v>
          </cell>
          <cell r="E450" t="str">
            <v/>
          </cell>
        </row>
        <row r="451">
          <cell r="B451" t="str">
            <v>null</v>
          </cell>
          <cell r="C451" t="str">
            <v>null</v>
          </cell>
          <cell r="D451" t="str">
            <v>null</v>
          </cell>
          <cell r="E451" t="str">
            <v/>
          </cell>
        </row>
        <row r="452">
          <cell r="B452" t="str">
            <v>null</v>
          </cell>
          <cell r="C452" t="str">
            <v>null</v>
          </cell>
          <cell r="D452" t="str">
            <v>null</v>
          </cell>
          <cell r="E452" t="str">
            <v/>
          </cell>
        </row>
        <row r="453">
          <cell r="B453" t="str">
            <v>null</v>
          </cell>
          <cell r="C453" t="str">
            <v>null</v>
          </cell>
          <cell r="D453" t="str">
            <v>null</v>
          </cell>
          <cell r="E453" t="str">
            <v/>
          </cell>
        </row>
        <row r="454">
          <cell r="B454" t="str">
            <v>null</v>
          </cell>
          <cell r="C454" t="str">
            <v>null</v>
          </cell>
          <cell r="D454" t="str">
            <v>null</v>
          </cell>
          <cell r="E454" t="str">
            <v/>
          </cell>
        </row>
        <row r="455">
          <cell r="B455" t="str">
            <v>null</v>
          </cell>
          <cell r="C455" t="str">
            <v>null</v>
          </cell>
          <cell r="D455" t="str">
            <v>null</v>
          </cell>
          <cell r="E455" t="str">
            <v/>
          </cell>
        </row>
        <row r="456">
          <cell r="B456" t="str">
            <v>null</v>
          </cell>
          <cell r="C456" t="str">
            <v>null</v>
          </cell>
          <cell r="D456" t="str">
            <v>null</v>
          </cell>
          <cell r="E456" t="str">
            <v/>
          </cell>
        </row>
        <row r="457">
          <cell r="B457" t="str">
            <v>null</v>
          </cell>
          <cell r="C457" t="str">
            <v>null</v>
          </cell>
          <cell r="D457" t="str">
            <v>null</v>
          </cell>
          <cell r="E457" t="str">
            <v/>
          </cell>
        </row>
        <row r="458">
          <cell r="B458" t="str">
            <v>null</v>
          </cell>
          <cell r="C458" t="str">
            <v>null</v>
          </cell>
          <cell r="D458" t="str">
            <v>null</v>
          </cell>
          <cell r="E458" t="str">
            <v/>
          </cell>
        </row>
        <row r="459">
          <cell r="B459" t="str">
            <v>null</v>
          </cell>
          <cell r="C459" t="str">
            <v>null</v>
          </cell>
          <cell r="D459" t="str">
            <v>null</v>
          </cell>
          <cell r="E459" t="str">
            <v/>
          </cell>
        </row>
        <row r="460">
          <cell r="B460" t="str">
            <v>null</v>
          </cell>
          <cell r="C460" t="str">
            <v>null</v>
          </cell>
          <cell r="D460" t="str">
            <v>null</v>
          </cell>
          <cell r="E460" t="str">
            <v/>
          </cell>
        </row>
        <row r="461">
          <cell r="B461" t="str">
            <v>null</v>
          </cell>
          <cell r="C461" t="str">
            <v>null</v>
          </cell>
          <cell r="D461" t="str">
            <v>null</v>
          </cell>
          <cell r="E461" t="str">
            <v/>
          </cell>
        </row>
        <row r="462">
          <cell r="B462" t="str">
            <v>null</v>
          </cell>
          <cell r="C462" t="str">
            <v>null</v>
          </cell>
          <cell r="D462" t="str">
            <v>null</v>
          </cell>
          <cell r="E462" t="str">
            <v/>
          </cell>
        </row>
        <row r="463">
          <cell r="B463" t="str">
            <v>null</v>
          </cell>
          <cell r="C463" t="str">
            <v>null</v>
          </cell>
          <cell r="D463" t="str">
            <v>null</v>
          </cell>
          <cell r="E463" t="str">
            <v/>
          </cell>
        </row>
        <row r="464">
          <cell r="B464" t="str">
            <v>null</v>
          </cell>
          <cell r="C464" t="str">
            <v>null</v>
          </cell>
          <cell r="D464" t="str">
            <v>null</v>
          </cell>
          <cell r="E464" t="str">
            <v/>
          </cell>
        </row>
        <row r="465">
          <cell r="B465" t="str">
            <v>null</v>
          </cell>
          <cell r="C465" t="str">
            <v>null</v>
          </cell>
          <cell r="D465" t="str">
            <v>null</v>
          </cell>
          <cell r="E465" t="str">
            <v/>
          </cell>
        </row>
        <row r="466">
          <cell r="B466" t="str">
            <v>null</v>
          </cell>
          <cell r="C466" t="str">
            <v>null</v>
          </cell>
          <cell r="D466" t="str">
            <v>null</v>
          </cell>
          <cell r="E466" t="str">
            <v/>
          </cell>
        </row>
        <row r="467">
          <cell r="B467" t="str">
            <v>null</v>
          </cell>
          <cell r="C467" t="str">
            <v>null</v>
          </cell>
          <cell r="D467" t="str">
            <v>null</v>
          </cell>
          <cell r="E467" t="str">
            <v/>
          </cell>
        </row>
        <row r="468">
          <cell r="B468" t="str">
            <v>null</v>
          </cell>
          <cell r="C468" t="str">
            <v>null</v>
          </cell>
          <cell r="D468" t="str">
            <v>null</v>
          </cell>
          <cell r="E468" t="str">
            <v/>
          </cell>
        </row>
        <row r="469">
          <cell r="B469" t="str">
            <v>null</v>
          </cell>
          <cell r="C469" t="str">
            <v>null</v>
          </cell>
          <cell r="D469" t="str">
            <v>null</v>
          </cell>
          <cell r="E469" t="str">
            <v/>
          </cell>
        </row>
        <row r="470">
          <cell r="B470" t="str">
            <v>null</v>
          </cell>
          <cell r="C470" t="str">
            <v>null</v>
          </cell>
          <cell r="D470" t="str">
            <v>null</v>
          </cell>
          <cell r="E470" t="str">
            <v/>
          </cell>
        </row>
        <row r="471">
          <cell r="B471" t="str">
            <v>null</v>
          </cell>
          <cell r="C471" t="str">
            <v>null</v>
          </cell>
          <cell r="D471" t="str">
            <v>null</v>
          </cell>
          <cell r="E471" t="str">
            <v/>
          </cell>
        </row>
        <row r="472">
          <cell r="B472" t="str">
            <v>null</v>
          </cell>
          <cell r="C472" t="str">
            <v>null</v>
          </cell>
          <cell r="D472" t="str">
            <v>null</v>
          </cell>
          <cell r="E472" t="str">
            <v/>
          </cell>
        </row>
        <row r="473">
          <cell r="B473" t="str">
            <v>null</v>
          </cell>
          <cell r="C473" t="str">
            <v>null</v>
          </cell>
          <cell r="D473" t="str">
            <v>null</v>
          </cell>
          <cell r="E473" t="str">
            <v/>
          </cell>
        </row>
        <row r="474">
          <cell r="B474" t="str">
            <v>null</v>
          </cell>
          <cell r="C474" t="str">
            <v>null</v>
          </cell>
          <cell r="D474" t="str">
            <v>null</v>
          </cell>
          <cell r="E474" t="str">
            <v/>
          </cell>
        </row>
        <row r="475">
          <cell r="B475" t="str">
            <v>null</v>
          </cell>
          <cell r="C475" t="str">
            <v>null</v>
          </cell>
          <cell r="D475" t="str">
            <v>null</v>
          </cell>
          <cell r="E475" t="str">
            <v/>
          </cell>
        </row>
        <row r="476">
          <cell r="B476" t="str">
            <v>null</v>
          </cell>
          <cell r="C476" t="str">
            <v>null</v>
          </cell>
          <cell r="D476" t="str">
            <v>null</v>
          </cell>
          <cell r="E476" t="str">
            <v/>
          </cell>
        </row>
        <row r="477">
          <cell r="B477" t="str">
            <v>null</v>
          </cell>
          <cell r="C477" t="str">
            <v>null</v>
          </cell>
          <cell r="D477" t="str">
            <v>null</v>
          </cell>
          <cell r="E477" t="str">
            <v/>
          </cell>
        </row>
        <row r="478">
          <cell r="B478" t="str">
            <v>null</v>
          </cell>
          <cell r="C478" t="str">
            <v>null</v>
          </cell>
          <cell r="D478" t="str">
            <v>null</v>
          </cell>
          <cell r="E478" t="str">
            <v/>
          </cell>
        </row>
        <row r="479">
          <cell r="B479" t="str">
            <v>null</v>
          </cell>
          <cell r="C479" t="str">
            <v>null</v>
          </cell>
          <cell r="D479" t="str">
            <v>null</v>
          </cell>
          <cell r="E479" t="str">
            <v/>
          </cell>
        </row>
        <row r="480">
          <cell r="B480" t="str">
            <v>null</v>
          </cell>
          <cell r="C480" t="str">
            <v>null</v>
          </cell>
          <cell r="D480" t="str">
            <v>null</v>
          </cell>
          <cell r="E480" t="str">
            <v/>
          </cell>
        </row>
        <row r="481">
          <cell r="B481" t="str">
            <v>null</v>
          </cell>
          <cell r="C481" t="str">
            <v>null</v>
          </cell>
          <cell r="D481" t="str">
            <v>null</v>
          </cell>
          <cell r="E481" t="str">
            <v/>
          </cell>
        </row>
        <row r="482">
          <cell r="B482" t="str">
            <v>null</v>
          </cell>
          <cell r="C482" t="str">
            <v>null</v>
          </cell>
          <cell r="D482" t="str">
            <v>null</v>
          </cell>
          <cell r="E482" t="str">
            <v/>
          </cell>
        </row>
        <row r="483">
          <cell r="B483" t="str">
            <v>null</v>
          </cell>
          <cell r="C483" t="str">
            <v>null</v>
          </cell>
          <cell r="D483" t="str">
            <v>null</v>
          </cell>
          <cell r="E483" t="str">
            <v/>
          </cell>
        </row>
        <row r="484">
          <cell r="B484" t="str">
            <v>null</v>
          </cell>
          <cell r="C484" t="str">
            <v>null</v>
          </cell>
          <cell r="D484" t="str">
            <v>null</v>
          </cell>
          <cell r="E484" t="str">
            <v/>
          </cell>
        </row>
        <row r="485">
          <cell r="B485" t="str">
            <v>null</v>
          </cell>
          <cell r="C485" t="str">
            <v>null</v>
          </cell>
          <cell r="D485" t="str">
            <v>null</v>
          </cell>
          <cell r="E485" t="str">
            <v/>
          </cell>
        </row>
        <row r="486">
          <cell r="B486" t="str">
            <v>null</v>
          </cell>
          <cell r="C486" t="str">
            <v>null</v>
          </cell>
          <cell r="D486" t="str">
            <v>null</v>
          </cell>
          <cell r="E486" t="str">
            <v/>
          </cell>
        </row>
        <row r="487">
          <cell r="B487" t="str">
            <v>null</v>
          </cell>
          <cell r="C487" t="str">
            <v>null</v>
          </cell>
          <cell r="D487" t="str">
            <v>null</v>
          </cell>
          <cell r="E487" t="str">
            <v/>
          </cell>
        </row>
        <row r="488">
          <cell r="B488" t="str">
            <v>null</v>
          </cell>
          <cell r="C488" t="str">
            <v>null</v>
          </cell>
          <cell r="D488" t="str">
            <v>null</v>
          </cell>
          <cell r="E488" t="str">
            <v/>
          </cell>
        </row>
        <row r="489">
          <cell r="B489" t="str">
            <v>null</v>
          </cell>
          <cell r="C489" t="str">
            <v>null</v>
          </cell>
          <cell r="D489" t="str">
            <v>null</v>
          </cell>
          <cell r="E489" t="str">
            <v/>
          </cell>
        </row>
        <row r="490">
          <cell r="B490" t="str">
            <v>null</v>
          </cell>
          <cell r="C490" t="str">
            <v>null</v>
          </cell>
          <cell r="D490" t="str">
            <v>null</v>
          </cell>
          <cell r="E490" t="str">
            <v/>
          </cell>
        </row>
        <row r="491">
          <cell r="B491" t="str">
            <v>null</v>
          </cell>
          <cell r="C491" t="str">
            <v>null</v>
          </cell>
          <cell r="D491" t="str">
            <v>null</v>
          </cell>
          <cell r="E491" t="str">
            <v/>
          </cell>
        </row>
        <row r="492">
          <cell r="B492" t="str">
            <v>null</v>
          </cell>
          <cell r="C492" t="str">
            <v>null</v>
          </cell>
          <cell r="D492" t="str">
            <v>null</v>
          </cell>
          <cell r="E492" t="str">
            <v/>
          </cell>
        </row>
        <row r="493">
          <cell r="B493" t="str">
            <v>null</v>
          </cell>
          <cell r="C493" t="str">
            <v>null</v>
          </cell>
          <cell r="D493" t="str">
            <v>null</v>
          </cell>
          <cell r="E493" t="str">
            <v/>
          </cell>
        </row>
        <row r="494">
          <cell r="B494" t="str">
            <v>null</v>
          </cell>
          <cell r="C494" t="str">
            <v>null</v>
          </cell>
          <cell r="D494" t="str">
            <v>null</v>
          </cell>
          <cell r="E494" t="str">
            <v/>
          </cell>
        </row>
        <row r="495">
          <cell r="B495" t="str">
            <v>null</v>
          </cell>
          <cell r="C495" t="str">
            <v>null</v>
          </cell>
          <cell r="D495" t="str">
            <v>null</v>
          </cell>
          <cell r="E495" t="str">
            <v/>
          </cell>
        </row>
        <row r="496">
          <cell r="B496" t="str">
            <v>null</v>
          </cell>
          <cell r="C496" t="str">
            <v>null</v>
          </cell>
          <cell r="D496" t="str">
            <v>null</v>
          </cell>
          <cell r="E496" t="str">
            <v/>
          </cell>
        </row>
        <row r="497">
          <cell r="B497" t="str">
            <v>null</v>
          </cell>
          <cell r="C497" t="str">
            <v>null</v>
          </cell>
          <cell r="D497" t="str">
            <v>null</v>
          </cell>
          <cell r="E497" t="str">
            <v/>
          </cell>
        </row>
        <row r="498">
          <cell r="B498" t="str">
            <v>null</v>
          </cell>
          <cell r="C498" t="str">
            <v>null</v>
          </cell>
          <cell r="D498" t="str">
            <v>null</v>
          </cell>
          <cell r="E498" t="str">
            <v/>
          </cell>
        </row>
        <row r="499">
          <cell r="B499" t="str">
            <v>null</v>
          </cell>
          <cell r="C499" t="str">
            <v>null</v>
          </cell>
          <cell r="D499" t="str">
            <v>null</v>
          </cell>
          <cell r="E499" t="str">
            <v/>
          </cell>
        </row>
        <row r="500">
          <cell r="B500" t="str">
            <v>null</v>
          </cell>
          <cell r="C500" t="str">
            <v>null</v>
          </cell>
          <cell r="D500" t="str">
            <v>null</v>
          </cell>
          <cell r="E500" t="str">
            <v/>
          </cell>
        </row>
        <row r="501">
          <cell r="B501" t="str">
            <v>null</v>
          </cell>
          <cell r="C501" t="str">
            <v>null</v>
          </cell>
          <cell r="D501" t="str">
            <v>null</v>
          </cell>
          <cell r="E501" t="str">
            <v/>
          </cell>
        </row>
        <row r="502">
          <cell r="B502" t="str">
            <v>null</v>
          </cell>
          <cell r="C502" t="str">
            <v>null</v>
          </cell>
          <cell r="D502" t="str">
            <v>null</v>
          </cell>
          <cell r="E502" t="str">
            <v/>
          </cell>
        </row>
        <row r="503">
          <cell r="B503" t="str">
            <v>null</v>
          </cell>
          <cell r="C503" t="str">
            <v>null</v>
          </cell>
          <cell r="D503" t="str">
            <v>null</v>
          </cell>
          <cell r="E503" t="str">
            <v/>
          </cell>
        </row>
        <row r="504">
          <cell r="B504" t="str">
            <v>null</v>
          </cell>
          <cell r="C504" t="str">
            <v>null</v>
          </cell>
          <cell r="D504" t="str">
            <v>null</v>
          </cell>
          <cell r="E504" t="str">
            <v/>
          </cell>
        </row>
        <row r="505">
          <cell r="B505" t="str">
            <v>null</v>
          </cell>
          <cell r="C505" t="str">
            <v>null</v>
          </cell>
          <cell r="D505" t="str">
            <v>null</v>
          </cell>
          <cell r="E505" t="str">
            <v/>
          </cell>
        </row>
        <row r="506">
          <cell r="B506" t="str">
            <v>null</v>
          </cell>
          <cell r="C506" t="str">
            <v>null</v>
          </cell>
          <cell r="D506" t="str">
            <v>null</v>
          </cell>
          <cell r="E506" t="str">
            <v/>
          </cell>
        </row>
        <row r="507">
          <cell r="B507" t="str">
            <v>null</v>
          </cell>
          <cell r="C507" t="str">
            <v>null</v>
          </cell>
          <cell r="D507" t="str">
            <v>null</v>
          </cell>
          <cell r="E507" t="str">
            <v/>
          </cell>
        </row>
        <row r="508">
          <cell r="B508" t="str">
            <v>null</v>
          </cell>
          <cell r="C508" t="str">
            <v>null</v>
          </cell>
          <cell r="D508" t="str">
            <v>null</v>
          </cell>
          <cell r="E508" t="str">
            <v/>
          </cell>
        </row>
        <row r="509">
          <cell r="B509" t="str">
            <v>null</v>
          </cell>
          <cell r="C509" t="str">
            <v>null</v>
          </cell>
          <cell r="D509" t="str">
            <v>null</v>
          </cell>
          <cell r="E509" t="str">
            <v/>
          </cell>
        </row>
        <row r="510">
          <cell r="B510" t="str">
            <v>null</v>
          </cell>
          <cell r="C510" t="str">
            <v>null</v>
          </cell>
          <cell r="D510" t="str">
            <v>null</v>
          </cell>
          <cell r="E510" t="str">
            <v/>
          </cell>
        </row>
        <row r="511">
          <cell r="B511" t="str">
            <v>null</v>
          </cell>
          <cell r="C511" t="str">
            <v>null</v>
          </cell>
          <cell r="D511" t="str">
            <v>null</v>
          </cell>
          <cell r="E511" t="str">
            <v/>
          </cell>
        </row>
        <row r="512">
          <cell r="B512" t="str">
            <v>null</v>
          </cell>
          <cell r="C512" t="str">
            <v>null</v>
          </cell>
          <cell r="D512" t="str">
            <v>null</v>
          </cell>
          <cell r="E512" t="str">
            <v/>
          </cell>
        </row>
        <row r="513">
          <cell r="B513" t="str">
            <v>null</v>
          </cell>
          <cell r="C513" t="str">
            <v>null</v>
          </cell>
          <cell r="D513" t="str">
            <v>null</v>
          </cell>
          <cell r="E513" t="str">
            <v/>
          </cell>
        </row>
        <row r="514">
          <cell r="B514" t="str">
            <v>null</v>
          </cell>
          <cell r="C514" t="str">
            <v>null</v>
          </cell>
          <cell r="D514" t="str">
            <v>null</v>
          </cell>
          <cell r="E514" t="str">
            <v/>
          </cell>
        </row>
        <row r="515">
          <cell r="B515" t="str">
            <v>null</v>
          </cell>
          <cell r="C515" t="str">
            <v>null</v>
          </cell>
          <cell r="D515" t="str">
            <v>null</v>
          </cell>
          <cell r="E515" t="str">
            <v/>
          </cell>
        </row>
        <row r="516">
          <cell r="B516" t="str">
            <v>null</v>
          </cell>
          <cell r="C516" t="str">
            <v>null</v>
          </cell>
          <cell r="D516" t="str">
            <v>null</v>
          </cell>
          <cell r="E516" t="str">
            <v/>
          </cell>
        </row>
        <row r="517">
          <cell r="B517" t="str">
            <v>null</v>
          </cell>
          <cell r="C517" t="str">
            <v>null</v>
          </cell>
          <cell r="D517" t="str">
            <v>null</v>
          </cell>
          <cell r="E517" t="str">
            <v/>
          </cell>
        </row>
        <row r="518">
          <cell r="B518" t="str">
            <v>null</v>
          </cell>
          <cell r="C518" t="str">
            <v>null</v>
          </cell>
          <cell r="D518" t="str">
            <v>null</v>
          </cell>
          <cell r="E518" t="str">
            <v/>
          </cell>
        </row>
        <row r="519">
          <cell r="B519" t="str">
            <v>null</v>
          </cell>
          <cell r="C519" t="str">
            <v>null</v>
          </cell>
          <cell r="D519" t="str">
            <v>null</v>
          </cell>
          <cell r="E519" t="str">
            <v/>
          </cell>
        </row>
        <row r="520">
          <cell r="B520" t="str">
            <v>null</v>
          </cell>
          <cell r="C520" t="str">
            <v>null</v>
          </cell>
          <cell r="D520" t="str">
            <v>null</v>
          </cell>
          <cell r="E520" t="str">
            <v/>
          </cell>
        </row>
        <row r="521">
          <cell r="B521" t="str">
            <v>null</v>
          </cell>
          <cell r="C521" t="str">
            <v>null</v>
          </cell>
          <cell r="D521" t="str">
            <v>null</v>
          </cell>
          <cell r="E521" t="str">
            <v/>
          </cell>
        </row>
        <row r="522">
          <cell r="B522" t="str">
            <v>null</v>
          </cell>
          <cell r="C522" t="str">
            <v>null</v>
          </cell>
          <cell r="D522" t="str">
            <v>null</v>
          </cell>
          <cell r="E522" t="str">
            <v/>
          </cell>
        </row>
        <row r="523">
          <cell r="B523" t="str">
            <v>null</v>
          </cell>
          <cell r="C523" t="str">
            <v>null</v>
          </cell>
          <cell r="D523" t="str">
            <v>null</v>
          </cell>
          <cell r="E523" t="str">
            <v/>
          </cell>
        </row>
        <row r="524">
          <cell r="B524" t="str">
            <v>null</v>
          </cell>
          <cell r="C524" t="str">
            <v>null</v>
          </cell>
          <cell r="D524" t="str">
            <v>null</v>
          </cell>
          <cell r="E524" t="str">
            <v/>
          </cell>
        </row>
        <row r="525">
          <cell r="B525" t="str">
            <v>null</v>
          </cell>
          <cell r="C525" t="str">
            <v>null</v>
          </cell>
          <cell r="D525" t="str">
            <v>null</v>
          </cell>
          <cell r="E525" t="str">
            <v/>
          </cell>
        </row>
        <row r="526">
          <cell r="B526" t="str">
            <v>null</v>
          </cell>
          <cell r="C526" t="str">
            <v>null</v>
          </cell>
          <cell r="D526" t="str">
            <v>null</v>
          </cell>
          <cell r="E526" t="str">
            <v/>
          </cell>
        </row>
        <row r="527">
          <cell r="B527" t="str">
            <v>null</v>
          </cell>
          <cell r="C527" t="str">
            <v>null</v>
          </cell>
          <cell r="D527" t="str">
            <v>null</v>
          </cell>
          <cell r="E527" t="str">
            <v/>
          </cell>
        </row>
        <row r="528">
          <cell r="B528" t="str">
            <v>null</v>
          </cell>
          <cell r="C528" t="str">
            <v>null</v>
          </cell>
          <cell r="D528" t="str">
            <v>null</v>
          </cell>
          <cell r="E528" t="str">
            <v/>
          </cell>
        </row>
        <row r="529">
          <cell r="B529" t="str">
            <v>null</v>
          </cell>
          <cell r="C529" t="str">
            <v>null</v>
          </cell>
          <cell r="D529" t="str">
            <v>null</v>
          </cell>
          <cell r="E529" t="str">
            <v/>
          </cell>
        </row>
        <row r="530">
          <cell r="B530" t="str">
            <v>null</v>
          </cell>
          <cell r="C530" t="str">
            <v>null</v>
          </cell>
          <cell r="D530" t="str">
            <v>null</v>
          </cell>
          <cell r="E530" t="str">
            <v/>
          </cell>
        </row>
        <row r="531">
          <cell r="B531" t="str">
            <v>null</v>
          </cell>
          <cell r="C531" t="str">
            <v>null</v>
          </cell>
          <cell r="D531" t="str">
            <v>null</v>
          </cell>
          <cell r="E531" t="str">
            <v/>
          </cell>
        </row>
        <row r="532">
          <cell r="B532" t="str">
            <v>null</v>
          </cell>
          <cell r="C532" t="str">
            <v>null</v>
          </cell>
          <cell r="D532" t="str">
            <v>null</v>
          </cell>
          <cell r="E532" t="str">
            <v/>
          </cell>
        </row>
        <row r="533">
          <cell r="B533" t="str">
            <v>null</v>
          </cell>
          <cell r="C533" t="str">
            <v>null</v>
          </cell>
          <cell r="D533" t="str">
            <v>null</v>
          </cell>
          <cell r="E533" t="str">
            <v/>
          </cell>
        </row>
        <row r="534">
          <cell r="B534" t="str">
            <v>null</v>
          </cell>
          <cell r="C534" t="str">
            <v>null</v>
          </cell>
          <cell r="D534" t="str">
            <v>null</v>
          </cell>
          <cell r="E534" t="str">
            <v/>
          </cell>
        </row>
        <row r="535">
          <cell r="B535" t="str">
            <v>null</v>
          </cell>
          <cell r="C535" t="str">
            <v>null</v>
          </cell>
          <cell r="D535" t="str">
            <v>null</v>
          </cell>
          <cell r="E535" t="str">
            <v/>
          </cell>
        </row>
        <row r="536">
          <cell r="B536" t="str">
            <v>null</v>
          </cell>
          <cell r="C536" t="str">
            <v>null</v>
          </cell>
          <cell r="D536" t="str">
            <v>null</v>
          </cell>
          <cell r="E536" t="str">
            <v/>
          </cell>
        </row>
        <row r="537">
          <cell r="B537" t="str">
            <v>null</v>
          </cell>
          <cell r="C537" t="str">
            <v>null</v>
          </cell>
          <cell r="D537" t="str">
            <v>null</v>
          </cell>
          <cell r="E537" t="str">
            <v/>
          </cell>
        </row>
        <row r="538">
          <cell r="B538" t="str">
            <v>null</v>
          </cell>
          <cell r="C538" t="str">
            <v>null</v>
          </cell>
          <cell r="D538" t="str">
            <v>null</v>
          </cell>
          <cell r="E538" t="str">
            <v/>
          </cell>
        </row>
        <row r="539">
          <cell r="B539" t="str">
            <v>null</v>
          </cell>
          <cell r="C539" t="str">
            <v>null</v>
          </cell>
          <cell r="D539" t="str">
            <v>null</v>
          </cell>
          <cell r="E539" t="str">
            <v/>
          </cell>
        </row>
        <row r="540">
          <cell r="B540" t="str">
            <v>null</v>
          </cell>
          <cell r="C540" t="str">
            <v>null</v>
          </cell>
          <cell r="D540" t="str">
            <v>null</v>
          </cell>
          <cell r="E540" t="str">
            <v/>
          </cell>
        </row>
        <row r="541">
          <cell r="B541" t="str">
            <v>null</v>
          </cell>
          <cell r="C541" t="str">
            <v>null</v>
          </cell>
          <cell r="D541" t="str">
            <v>null</v>
          </cell>
          <cell r="E541" t="str">
            <v/>
          </cell>
        </row>
        <row r="542">
          <cell r="B542" t="str">
            <v>null</v>
          </cell>
          <cell r="C542" t="str">
            <v>null</v>
          </cell>
          <cell r="D542" t="str">
            <v>null</v>
          </cell>
          <cell r="E542" t="str">
            <v/>
          </cell>
        </row>
        <row r="543">
          <cell r="B543" t="str">
            <v>null</v>
          </cell>
          <cell r="C543" t="str">
            <v>null</v>
          </cell>
          <cell r="D543" t="str">
            <v>null</v>
          </cell>
          <cell r="E543" t="str">
            <v/>
          </cell>
        </row>
        <row r="544">
          <cell r="B544" t="str">
            <v>null</v>
          </cell>
          <cell r="C544" t="str">
            <v>null</v>
          </cell>
          <cell r="D544" t="str">
            <v>null</v>
          </cell>
          <cell r="E544" t="str">
            <v/>
          </cell>
        </row>
        <row r="545">
          <cell r="B545" t="str">
            <v>null</v>
          </cell>
          <cell r="C545" t="str">
            <v>null</v>
          </cell>
          <cell r="D545" t="str">
            <v>null</v>
          </cell>
          <cell r="E545" t="str">
            <v/>
          </cell>
        </row>
        <row r="546">
          <cell r="B546" t="str">
            <v>null</v>
          </cell>
          <cell r="C546" t="str">
            <v>null</v>
          </cell>
          <cell r="D546" t="str">
            <v>null</v>
          </cell>
          <cell r="E546" t="str">
            <v/>
          </cell>
        </row>
        <row r="547">
          <cell r="B547" t="str">
            <v>null</v>
          </cell>
          <cell r="C547" t="str">
            <v>null</v>
          </cell>
          <cell r="D547" t="str">
            <v>null</v>
          </cell>
          <cell r="E547" t="str">
            <v/>
          </cell>
        </row>
        <row r="548">
          <cell r="B548" t="str">
            <v>null</v>
          </cell>
          <cell r="C548" t="str">
            <v>null</v>
          </cell>
          <cell r="D548" t="str">
            <v>null</v>
          </cell>
          <cell r="E548" t="str">
            <v/>
          </cell>
        </row>
        <row r="549">
          <cell r="B549" t="str">
            <v>null</v>
          </cell>
          <cell r="C549" t="str">
            <v>null</v>
          </cell>
          <cell r="D549" t="str">
            <v>null</v>
          </cell>
          <cell r="E549" t="str">
            <v/>
          </cell>
        </row>
        <row r="550">
          <cell r="B550" t="str">
            <v>null</v>
          </cell>
          <cell r="C550" t="str">
            <v>null</v>
          </cell>
          <cell r="D550" t="str">
            <v>null</v>
          </cell>
          <cell r="E550" t="str">
            <v/>
          </cell>
        </row>
        <row r="551">
          <cell r="B551" t="str">
            <v>null</v>
          </cell>
          <cell r="C551" t="str">
            <v>null</v>
          </cell>
          <cell r="D551" t="str">
            <v>null</v>
          </cell>
          <cell r="E551" t="str">
            <v/>
          </cell>
        </row>
        <row r="552">
          <cell r="B552" t="str">
            <v>null</v>
          </cell>
          <cell r="C552" t="str">
            <v>null</v>
          </cell>
          <cell r="D552" t="str">
            <v>null</v>
          </cell>
          <cell r="E552" t="str">
            <v/>
          </cell>
        </row>
        <row r="553">
          <cell r="B553" t="str">
            <v>null</v>
          </cell>
          <cell r="C553" t="str">
            <v>null</v>
          </cell>
          <cell r="D553" t="str">
            <v>null</v>
          </cell>
          <cell r="E553" t="str">
            <v/>
          </cell>
        </row>
        <row r="554">
          <cell r="B554" t="str">
            <v>null</v>
          </cell>
          <cell r="C554" t="str">
            <v>null</v>
          </cell>
          <cell r="D554" t="str">
            <v>null</v>
          </cell>
          <cell r="E554" t="str">
            <v/>
          </cell>
        </row>
        <row r="555">
          <cell r="B555" t="str">
            <v>null</v>
          </cell>
          <cell r="C555" t="str">
            <v>null</v>
          </cell>
          <cell r="D555" t="str">
            <v>null</v>
          </cell>
          <cell r="E555" t="str">
            <v/>
          </cell>
        </row>
        <row r="556">
          <cell r="B556" t="str">
            <v>null</v>
          </cell>
          <cell r="C556" t="str">
            <v>null</v>
          </cell>
          <cell r="D556" t="str">
            <v>null</v>
          </cell>
          <cell r="E556" t="str">
            <v/>
          </cell>
        </row>
        <row r="557">
          <cell r="B557" t="str">
            <v>null</v>
          </cell>
          <cell r="C557" t="str">
            <v>null</v>
          </cell>
          <cell r="D557" t="str">
            <v>null</v>
          </cell>
          <cell r="E557" t="str">
            <v/>
          </cell>
        </row>
        <row r="558">
          <cell r="B558" t="str">
            <v>null</v>
          </cell>
          <cell r="C558" t="str">
            <v>null</v>
          </cell>
          <cell r="D558" t="str">
            <v>null</v>
          </cell>
          <cell r="E558" t="str">
            <v/>
          </cell>
        </row>
        <row r="559">
          <cell r="B559" t="str">
            <v>null</v>
          </cell>
          <cell r="C559" t="str">
            <v>null</v>
          </cell>
          <cell r="D559" t="str">
            <v>null</v>
          </cell>
          <cell r="E559" t="str">
            <v/>
          </cell>
        </row>
        <row r="560">
          <cell r="B560" t="str">
            <v>null</v>
          </cell>
          <cell r="C560" t="str">
            <v>null</v>
          </cell>
          <cell r="D560" t="str">
            <v>null</v>
          </cell>
          <cell r="E560" t="str">
            <v/>
          </cell>
        </row>
        <row r="561">
          <cell r="B561" t="str">
            <v>null</v>
          </cell>
          <cell r="C561" t="str">
            <v>null</v>
          </cell>
          <cell r="D561" t="str">
            <v>null</v>
          </cell>
          <cell r="E561" t="str">
            <v/>
          </cell>
        </row>
        <row r="562">
          <cell r="B562" t="str">
            <v>null</v>
          </cell>
          <cell r="C562" t="str">
            <v>null</v>
          </cell>
          <cell r="D562" t="str">
            <v>null</v>
          </cell>
          <cell r="E562" t="str">
            <v/>
          </cell>
        </row>
        <row r="563">
          <cell r="B563" t="str">
            <v>null</v>
          </cell>
          <cell r="C563" t="str">
            <v>null</v>
          </cell>
          <cell r="D563" t="str">
            <v>null</v>
          </cell>
          <cell r="E563" t="str">
            <v/>
          </cell>
        </row>
        <row r="564">
          <cell r="B564" t="str">
            <v>null</v>
          </cell>
          <cell r="C564" t="str">
            <v>null</v>
          </cell>
          <cell r="D564" t="str">
            <v>null</v>
          </cell>
          <cell r="E564" t="str">
            <v/>
          </cell>
        </row>
        <row r="565">
          <cell r="B565" t="str">
            <v>null</v>
          </cell>
          <cell r="C565" t="str">
            <v>null</v>
          </cell>
          <cell r="D565" t="str">
            <v>null</v>
          </cell>
          <cell r="E565" t="str">
            <v/>
          </cell>
        </row>
        <row r="566">
          <cell r="B566" t="str">
            <v>null</v>
          </cell>
          <cell r="C566" t="str">
            <v>null</v>
          </cell>
          <cell r="D566" t="str">
            <v>null</v>
          </cell>
          <cell r="E566" t="str">
            <v/>
          </cell>
        </row>
        <row r="567">
          <cell r="B567" t="str">
            <v>null</v>
          </cell>
          <cell r="C567" t="str">
            <v>null</v>
          </cell>
          <cell r="D567" t="str">
            <v>null</v>
          </cell>
          <cell r="E567" t="str">
            <v/>
          </cell>
        </row>
        <row r="568">
          <cell r="B568" t="str">
            <v>null</v>
          </cell>
          <cell r="C568" t="str">
            <v>null</v>
          </cell>
          <cell r="D568" t="str">
            <v>null</v>
          </cell>
          <cell r="E568" t="str">
            <v/>
          </cell>
        </row>
        <row r="569">
          <cell r="B569" t="str">
            <v>null</v>
          </cell>
          <cell r="C569" t="str">
            <v>null</v>
          </cell>
          <cell r="D569" t="str">
            <v>null</v>
          </cell>
          <cell r="E569" t="str">
            <v/>
          </cell>
        </row>
        <row r="570">
          <cell r="B570" t="str">
            <v>null</v>
          </cell>
          <cell r="C570" t="str">
            <v>null</v>
          </cell>
          <cell r="D570" t="str">
            <v>null</v>
          </cell>
          <cell r="E570" t="str">
            <v/>
          </cell>
        </row>
        <row r="571">
          <cell r="B571" t="str">
            <v>null</v>
          </cell>
          <cell r="C571" t="str">
            <v>null</v>
          </cell>
          <cell r="D571" t="str">
            <v>null</v>
          </cell>
          <cell r="E571" t="str">
            <v/>
          </cell>
        </row>
        <row r="572">
          <cell r="B572" t="str">
            <v>null</v>
          </cell>
          <cell r="C572" t="str">
            <v>null</v>
          </cell>
          <cell r="D572" t="str">
            <v>null</v>
          </cell>
          <cell r="E572" t="str">
            <v/>
          </cell>
        </row>
        <row r="573">
          <cell r="B573" t="str">
            <v>null</v>
          </cell>
          <cell r="C573" t="str">
            <v>null</v>
          </cell>
          <cell r="D573" t="str">
            <v>null</v>
          </cell>
          <cell r="E573" t="str">
            <v/>
          </cell>
        </row>
        <row r="574">
          <cell r="B574" t="str">
            <v>null</v>
          </cell>
          <cell r="C574" t="str">
            <v>null</v>
          </cell>
          <cell r="D574" t="str">
            <v>null</v>
          </cell>
          <cell r="E574" t="str">
            <v/>
          </cell>
        </row>
        <row r="575">
          <cell r="B575" t="str">
            <v>null</v>
          </cell>
          <cell r="C575" t="str">
            <v>null</v>
          </cell>
          <cell r="D575" t="str">
            <v>null</v>
          </cell>
          <cell r="E575" t="str">
            <v/>
          </cell>
        </row>
        <row r="576">
          <cell r="B576" t="str">
            <v>null</v>
          </cell>
          <cell r="C576" t="str">
            <v>null</v>
          </cell>
          <cell r="D576" t="str">
            <v>null</v>
          </cell>
          <cell r="E576" t="str">
            <v/>
          </cell>
        </row>
        <row r="577">
          <cell r="B577" t="str">
            <v>null</v>
          </cell>
          <cell r="C577" t="str">
            <v>null</v>
          </cell>
          <cell r="D577" t="str">
            <v>null</v>
          </cell>
          <cell r="E577" t="str">
            <v/>
          </cell>
        </row>
        <row r="578">
          <cell r="B578" t="str">
            <v>null</v>
          </cell>
          <cell r="C578" t="str">
            <v>null</v>
          </cell>
          <cell r="D578" t="str">
            <v>null</v>
          </cell>
          <cell r="E578" t="str">
            <v/>
          </cell>
        </row>
        <row r="579">
          <cell r="B579" t="str">
            <v>null</v>
          </cell>
          <cell r="C579" t="str">
            <v>null</v>
          </cell>
          <cell r="D579" t="str">
            <v>null</v>
          </cell>
          <cell r="E579" t="str">
            <v/>
          </cell>
        </row>
        <row r="580">
          <cell r="B580" t="str">
            <v>null</v>
          </cell>
          <cell r="C580" t="str">
            <v>null</v>
          </cell>
          <cell r="D580" t="str">
            <v>null</v>
          </cell>
          <cell r="E580" t="str">
            <v/>
          </cell>
        </row>
        <row r="581">
          <cell r="B581" t="str">
            <v>null</v>
          </cell>
          <cell r="C581" t="str">
            <v>null</v>
          </cell>
          <cell r="D581" t="str">
            <v>null</v>
          </cell>
          <cell r="E581" t="str">
            <v/>
          </cell>
        </row>
        <row r="582">
          <cell r="B582" t="str">
            <v>null</v>
          </cell>
          <cell r="C582" t="str">
            <v>null</v>
          </cell>
          <cell r="D582" t="str">
            <v>null</v>
          </cell>
          <cell r="E582" t="str">
            <v/>
          </cell>
        </row>
        <row r="583">
          <cell r="B583" t="str">
            <v>null</v>
          </cell>
          <cell r="C583" t="str">
            <v>null</v>
          </cell>
          <cell r="D583" t="str">
            <v>null</v>
          </cell>
          <cell r="E583" t="str">
            <v/>
          </cell>
        </row>
        <row r="584">
          <cell r="B584" t="str">
            <v>null</v>
          </cell>
          <cell r="C584" t="str">
            <v>null</v>
          </cell>
          <cell r="D584" t="str">
            <v>null</v>
          </cell>
          <cell r="E584" t="str">
            <v/>
          </cell>
        </row>
        <row r="585">
          <cell r="B585" t="str">
            <v>null</v>
          </cell>
          <cell r="C585" t="str">
            <v>null</v>
          </cell>
          <cell r="D585" t="str">
            <v>null</v>
          </cell>
          <cell r="E585" t="str">
            <v/>
          </cell>
        </row>
        <row r="586">
          <cell r="B586" t="str">
            <v>null</v>
          </cell>
          <cell r="C586" t="str">
            <v>null</v>
          </cell>
          <cell r="D586" t="str">
            <v>null</v>
          </cell>
          <cell r="E586" t="str">
            <v/>
          </cell>
        </row>
        <row r="587">
          <cell r="B587" t="str">
            <v>null</v>
          </cell>
          <cell r="C587" t="str">
            <v>null</v>
          </cell>
          <cell r="D587" t="str">
            <v>null</v>
          </cell>
          <cell r="E587" t="str">
            <v/>
          </cell>
        </row>
        <row r="588">
          <cell r="B588" t="str">
            <v>null</v>
          </cell>
          <cell r="C588" t="str">
            <v>null</v>
          </cell>
          <cell r="D588" t="str">
            <v>null</v>
          </cell>
          <cell r="E588" t="str">
            <v/>
          </cell>
        </row>
        <row r="589">
          <cell r="B589" t="str">
            <v>null</v>
          </cell>
          <cell r="C589" t="str">
            <v>null</v>
          </cell>
          <cell r="D589" t="str">
            <v>null</v>
          </cell>
          <cell r="E589" t="str">
            <v/>
          </cell>
        </row>
        <row r="590">
          <cell r="B590" t="str">
            <v>null</v>
          </cell>
          <cell r="C590" t="str">
            <v>null</v>
          </cell>
          <cell r="D590" t="str">
            <v>null</v>
          </cell>
          <cell r="E590" t="str">
            <v/>
          </cell>
        </row>
        <row r="591">
          <cell r="B591" t="str">
            <v>null</v>
          </cell>
          <cell r="C591" t="str">
            <v>null</v>
          </cell>
          <cell r="D591" t="str">
            <v>null</v>
          </cell>
          <cell r="E591" t="str">
            <v/>
          </cell>
        </row>
        <row r="592">
          <cell r="B592" t="str">
            <v>null</v>
          </cell>
          <cell r="C592" t="str">
            <v>null</v>
          </cell>
          <cell r="D592" t="str">
            <v>null</v>
          </cell>
          <cell r="E592" t="str">
            <v/>
          </cell>
        </row>
        <row r="593">
          <cell r="B593" t="str">
            <v>null</v>
          </cell>
          <cell r="C593" t="str">
            <v>null</v>
          </cell>
          <cell r="D593" t="str">
            <v>null</v>
          </cell>
          <cell r="E593" t="str">
            <v/>
          </cell>
        </row>
        <row r="594">
          <cell r="B594" t="str">
            <v>null</v>
          </cell>
          <cell r="C594" t="str">
            <v>null</v>
          </cell>
          <cell r="D594" t="str">
            <v>null</v>
          </cell>
          <cell r="E594" t="str">
            <v/>
          </cell>
        </row>
        <row r="595">
          <cell r="B595" t="str">
            <v>null</v>
          </cell>
          <cell r="C595" t="str">
            <v>null</v>
          </cell>
          <cell r="D595" t="str">
            <v>null</v>
          </cell>
          <cell r="E595" t="str">
            <v/>
          </cell>
        </row>
        <row r="596">
          <cell r="B596" t="str">
            <v>null</v>
          </cell>
          <cell r="C596" t="str">
            <v>null</v>
          </cell>
          <cell r="D596" t="str">
            <v>null</v>
          </cell>
          <cell r="E596" t="str">
            <v/>
          </cell>
        </row>
        <row r="597">
          <cell r="B597" t="str">
            <v>null</v>
          </cell>
          <cell r="C597" t="str">
            <v>null</v>
          </cell>
          <cell r="D597" t="str">
            <v>null</v>
          </cell>
          <cell r="E597" t="str">
            <v/>
          </cell>
        </row>
        <row r="598">
          <cell r="B598" t="str">
            <v>null</v>
          </cell>
          <cell r="C598" t="str">
            <v>null</v>
          </cell>
          <cell r="D598" t="str">
            <v>null</v>
          </cell>
          <cell r="E598" t="str">
            <v/>
          </cell>
        </row>
        <row r="599">
          <cell r="B599" t="str">
            <v>null</v>
          </cell>
          <cell r="C599" t="str">
            <v>null</v>
          </cell>
          <cell r="D599" t="str">
            <v>null</v>
          </cell>
          <cell r="E599" t="str">
            <v/>
          </cell>
        </row>
        <row r="600">
          <cell r="B600" t="str">
            <v>null</v>
          </cell>
          <cell r="C600" t="str">
            <v>null</v>
          </cell>
          <cell r="D600" t="str">
            <v>null</v>
          </cell>
          <cell r="E600" t="str">
            <v/>
          </cell>
        </row>
        <row r="601">
          <cell r="B601" t="str">
            <v>null</v>
          </cell>
          <cell r="C601" t="str">
            <v>null</v>
          </cell>
          <cell r="D601" t="str">
            <v>null</v>
          </cell>
          <cell r="E601" t="str">
            <v/>
          </cell>
        </row>
        <row r="602">
          <cell r="B602" t="str">
            <v>null</v>
          </cell>
          <cell r="C602" t="str">
            <v>null</v>
          </cell>
          <cell r="D602" t="str">
            <v>null</v>
          </cell>
          <cell r="E602" t="str">
            <v/>
          </cell>
        </row>
        <row r="603">
          <cell r="B603" t="str">
            <v>null</v>
          </cell>
          <cell r="C603" t="str">
            <v>null</v>
          </cell>
          <cell r="D603" t="str">
            <v>null</v>
          </cell>
          <cell r="E603" t="str">
            <v/>
          </cell>
        </row>
        <row r="604">
          <cell r="B604" t="str">
            <v>null</v>
          </cell>
          <cell r="C604" t="str">
            <v>null</v>
          </cell>
          <cell r="D604" t="str">
            <v>null</v>
          </cell>
          <cell r="E604" t="str">
            <v/>
          </cell>
        </row>
        <row r="605">
          <cell r="B605" t="str">
            <v>null</v>
          </cell>
          <cell r="C605" t="str">
            <v>null</v>
          </cell>
          <cell r="D605" t="str">
            <v>null</v>
          </cell>
          <cell r="E605" t="str">
            <v/>
          </cell>
        </row>
        <row r="606">
          <cell r="B606" t="str">
            <v>null</v>
          </cell>
          <cell r="C606" t="str">
            <v>null</v>
          </cell>
          <cell r="D606" t="str">
            <v>null</v>
          </cell>
          <cell r="E606" t="str">
            <v/>
          </cell>
        </row>
        <row r="607">
          <cell r="B607" t="str">
            <v>null</v>
          </cell>
          <cell r="C607" t="str">
            <v>null</v>
          </cell>
          <cell r="D607" t="str">
            <v>null</v>
          </cell>
          <cell r="E607" t="str">
            <v/>
          </cell>
        </row>
        <row r="608">
          <cell r="B608" t="str">
            <v>null</v>
          </cell>
          <cell r="C608" t="str">
            <v>null</v>
          </cell>
          <cell r="D608" t="str">
            <v>null</v>
          </cell>
          <cell r="E608" t="str">
            <v/>
          </cell>
        </row>
        <row r="609">
          <cell r="B609" t="str">
            <v>null</v>
          </cell>
          <cell r="C609" t="str">
            <v>null</v>
          </cell>
          <cell r="D609" t="str">
            <v>null</v>
          </cell>
          <cell r="E609" t="str">
            <v/>
          </cell>
        </row>
        <row r="610">
          <cell r="B610" t="str">
            <v>null</v>
          </cell>
          <cell r="C610" t="str">
            <v>null</v>
          </cell>
          <cell r="D610" t="str">
            <v>null</v>
          </cell>
          <cell r="E610" t="str">
            <v/>
          </cell>
        </row>
        <row r="611">
          <cell r="B611" t="str">
            <v>null</v>
          </cell>
          <cell r="C611" t="str">
            <v>null</v>
          </cell>
          <cell r="D611" t="str">
            <v>null</v>
          </cell>
          <cell r="E611" t="str">
            <v/>
          </cell>
        </row>
        <row r="612">
          <cell r="B612" t="str">
            <v>null</v>
          </cell>
          <cell r="C612" t="str">
            <v>null</v>
          </cell>
          <cell r="D612" t="str">
            <v>null</v>
          </cell>
          <cell r="E612" t="str">
            <v/>
          </cell>
        </row>
        <row r="613">
          <cell r="B613" t="str">
            <v>null</v>
          </cell>
          <cell r="C613" t="str">
            <v>null</v>
          </cell>
          <cell r="D613" t="str">
            <v>null</v>
          </cell>
          <cell r="E613" t="str">
            <v/>
          </cell>
        </row>
        <row r="614">
          <cell r="B614" t="str">
            <v>null</v>
          </cell>
          <cell r="C614" t="str">
            <v>null</v>
          </cell>
          <cell r="D614" t="str">
            <v>null</v>
          </cell>
          <cell r="E614" t="str">
            <v/>
          </cell>
        </row>
        <row r="615">
          <cell r="B615" t="str">
            <v>null</v>
          </cell>
          <cell r="C615" t="str">
            <v>null</v>
          </cell>
          <cell r="D615" t="str">
            <v>null</v>
          </cell>
          <cell r="E615" t="str">
            <v/>
          </cell>
        </row>
        <row r="616">
          <cell r="B616" t="str">
            <v>null</v>
          </cell>
          <cell r="C616" t="str">
            <v>null</v>
          </cell>
          <cell r="D616" t="str">
            <v>null</v>
          </cell>
          <cell r="E616" t="str">
            <v/>
          </cell>
        </row>
        <row r="617">
          <cell r="B617" t="str">
            <v>null</v>
          </cell>
          <cell r="C617" t="str">
            <v>null</v>
          </cell>
          <cell r="D617" t="str">
            <v>null</v>
          </cell>
          <cell r="E617" t="str">
            <v/>
          </cell>
        </row>
        <row r="618">
          <cell r="B618" t="str">
            <v>null</v>
          </cell>
          <cell r="C618" t="str">
            <v>null</v>
          </cell>
          <cell r="D618" t="str">
            <v>null</v>
          </cell>
          <cell r="E618" t="str">
            <v/>
          </cell>
        </row>
        <row r="619">
          <cell r="B619" t="str">
            <v>null</v>
          </cell>
          <cell r="C619" t="str">
            <v>null</v>
          </cell>
          <cell r="D619" t="str">
            <v>null</v>
          </cell>
          <cell r="E619" t="str">
            <v/>
          </cell>
        </row>
        <row r="620">
          <cell r="B620" t="str">
            <v>null</v>
          </cell>
          <cell r="C620" t="str">
            <v>null</v>
          </cell>
          <cell r="D620" t="str">
            <v>null</v>
          </cell>
          <cell r="E620" t="str">
            <v/>
          </cell>
        </row>
        <row r="621">
          <cell r="B621" t="str">
            <v>null</v>
          </cell>
          <cell r="C621" t="str">
            <v>null</v>
          </cell>
          <cell r="D621" t="str">
            <v>null</v>
          </cell>
          <cell r="E621" t="str">
            <v/>
          </cell>
        </row>
        <row r="622">
          <cell r="B622" t="str">
            <v>null</v>
          </cell>
          <cell r="C622" t="str">
            <v>null</v>
          </cell>
          <cell r="D622" t="str">
            <v>null</v>
          </cell>
          <cell r="E622" t="str">
            <v/>
          </cell>
        </row>
        <row r="623">
          <cell r="B623" t="str">
            <v>null</v>
          </cell>
          <cell r="C623" t="str">
            <v>null</v>
          </cell>
          <cell r="D623" t="str">
            <v>null</v>
          </cell>
          <cell r="E623" t="str">
            <v/>
          </cell>
        </row>
        <row r="624">
          <cell r="B624" t="str">
            <v>null</v>
          </cell>
          <cell r="C624" t="str">
            <v>null</v>
          </cell>
          <cell r="D624" t="str">
            <v>null</v>
          </cell>
          <cell r="E624" t="str">
            <v/>
          </cell>
        </row>
        <row r="625">
          <cell r="B625" t="str">
            <v>null</v>
          </cell>
          <cell r="C625" t="str">
            <v>null</v>
          </cell>
          <cell r="D625" t="str">
            <v>null</v>
          </cell>
          <cell r="E625" t="str">
            <v/>
          </cell>
        </row>
        <row r="626">
          <cell r="B626" t="str">
            <v>null</v>
          </cell>
          <cell r="C626" t="str">
            <v>null</v>
          </cell>
          <cell r="D626" t="str">
            <v>null</v>
          </cell>
          <cell r="E626" t="str">
            <v/>
          </cell>
        </row>
        <row r="627">
          <cell r="B627" t="str">
            <v>null</v>
          </cell>
          <cell r="C627" t="str">
            <v>null</v>
          </cell>
          <cell r="D627" t="str">
            <v>null</v>
          </cell>
          <cell r="E627" t="str">
            <v/>
          </cell>
        </row>
        <row r="628">
          <cell r="B628" t="str">
            <v>null</v>
          </cell>
          <cell r="C628" t="str">
            <v>null</v>
          </cell>
          <cell r="D628" t="str">
            <v>null</v>
          </cell>
          <cell r="E628" t="str">
            <v/>
          </cell>
        </row>
        <row r="629">
          <cell r="B629" t="str">
            <v>null</v>
          </cell>
          <cell r="C629" t="str">
            <v>null</v>
          </cell>
          <cell r="D629" t="str">
            <v>null</v>
          </cell>
          <cell r="E629" t="str">
            <v/>
          </cell>
        </row>
        <row r="630">
          <cell r="B630" t="str">
            <v>null</v>
          </cell>
          <cell r="C630" t="str">
            <v>null</v>
          </cell>
          <cell r="D630" t="str">
            <v>null</v>
          </cell>
          <cell r="E630" t="str">
            <v/>
          </cell>
        </row>
        <row r="631">
          <cell r="B631" t="str">
            <v>null</v>
          </cell>
          <cell r="C631" t="str">
            <v>null</v>
          </cell>
          <cell r="D631" t="str">
            <v>null</v>
          </cell>
          <cell r="E631" t="str">
            <v/>
          </cell>
        </row>
        <row r="632">
          <cell r="B632" t="str">
            <v>null</v>
          </cell>
          <cell r="C632" t="str">
            <v>null</v>
          </cell>
          <cell r="D632" t="str">
            <v>null</v>
          </cell>
          <cell r="E632" t="str">
            <v/>
          </cell>
        </row>
        <row r="633">
          <cell r="B633" t="str">
            <v>null</v>
          </cell>
          <cell r="C633" t="str">
            <v>null</v>
          </cell>
          <cell r="D633" t="str">
            <v>null</v>
          </cell>
          <cell r="E633" t="str">
            <v/>
          </cell>
        </row>
        <row r="634">
          <cell r="B634" t="str">
            <v>null</v>
          </cell>
          <cell r="C634" t="str">
            <v>null</v>
          </cell>
          <cell r="D634" t="str">
            <v>null</v>
          </cell>
          <cell r="E634" t="str">
            <v/>
          </cell>
        </row>
        <row r="635">
          <cell r="B635" t="str">
            <v>null</v>
          </cell>
          <cell r="C635" t="str">
            <v>null</v>
          </cell>
          <cell r="D635" t="str">
            <v>null</v>
          </cell>
          <cell r="E635" t="str">
            <v/>
          </cell>
        </row>
        <row r="636">
          <cell r="B636" t="str">
            <v>null</v>
          </cell>
          <cell r="C636" t="str">
            <v>null</v>
          </cell>
          <cell r="D636" t="str">
            <v>null</v>
          </cell>
          <cell r="E636" t="str">
            <v/>
          </cell>
        </row>
        <row r="637">
          <cell r="B637" t="str">
            <v>null</v>
          </cell>
          <cell r="C637" t="str">
            <v>null</v>
          </cell>
          <cell r="D637" t="str">
            <v>null</v>
          </cell>
          <cell r="E637" t="str">
            <v/>
          </cell>
        </row>
        <row r="638">
          <cell r="B638" t="str">
            <v>null</v>
          </cell>
          <cell r="C638" t="str">
            <v>null</v>
          </cell>
          <cell r="D638" t="str">
            <v>null</v>
          </cell>
          <cell r="E638" t="str">
            <v/>
          </cell>
        </row>
        <row r="639">
          <cell r="B639" t="str">
            <v>null</v>
          </cell>
          <cell r="C639" t="str">
            <v>null</v>
          </cell>
          <cell r="D639" t="str">
            <v>null</v>
          </cell>
          <cell r="E639" t="str">
            <v/>
          </cell>
        </row>
        <row r="640">
          <cell r="B640" t="str">
            <v>null</v>
          </cell>
          <cell r="C640" t="str">
            <v>null</v>
          </cell>
          <cell r="D640" t="str">
            <v>null</v>
          </cell>
          <cell r="E640" t="str">
            <v/>
          </cell>
        </row>
        <row r="641">
          <cell r="B641" t="str">
            <v>null</v>
          </cell>
          <cell r="C641" t="str">
            <v>null</v>
          </cell>
          <cell r="D641" t="str">
            <v>null</v>
          </cell>
          <cell r="E641" t="str">
            <v/>
          </cell>
        </row>
        <row r="642">
          <cell r="B642" t="str">
            <v>null</v>
          </cell>
          <cell r="C642" t="str">
            <v>null</v>
          </cell>
          <cell r="D642" t="str">
            <v>null</v>
          </cell>
          <cell r="E642" t="str">
            <v/>
          </cell>
        </row>
        <row r="643">
          <cell r="B643" t="str">
            <v>null</v>
          </cell>
          <cell r="C643" t="str">
            <v>null</v>
          </cell>
          <cell r="D643" t="str">
            <v>null</v>
          </cell>
          <cell r="E643" t="str">
            <v/>
          </cell>
        </row>
        <row r="644">
          <cell r="B644" t="str">
            <v>null</v>
          </cell>
          <cell r="C644" t="str">
            <v>null</v>
          </cell>
          <cell r="D644" t="str">
            <v>null</v>
          </cell>
          <cell r="E644" t="str">
            <v/>
          </cell>
        </row>
        <row r="645">
          <cell r="B645" t="str">
            <v>null</v>
          </cell>
          <cell r="C645" t="str">
            <v>null</v>
          </cell>
          <cell r="D645" t="str">
            <v>null</v>
          </cell>
          <cell r="E645" t="str">
            <v/>
          </cell>
        </row>
        <row r="646">
          <cell r="B646" t="str">
            <v>null</v>
          </cell>
          <cell r="C646" t="str">
            <v>null</v>
          </cell>
          <cell r="D646" t="str">
            <v>null</v>
          </cell>
          <cell r="E646" t="str">
            <v/>
          </cell>
        </row>
        <row r="647">
          <cell r="B647" t="str">
            <v>null</v>
          </cell>
          <cell r="C647" t="str">
            <v>null</v>
          </cell>
          <cell r="D647" t="str">
            <v>null</v>
          </cell>
          <cell r="E647" t="str">
            <v/>
          </cell>
        </row>
        <row r="648">
          <cell r="B648" t="str">
            <v>null</v>
          </cell>
          <cell r="C648" t="str">
            <v>null</v>
          </cell>
          <cell r="D648" t="str">
            <v>null</v>
          </cell>
          <cell r="E648" t="str">
            <v/>
          </cell>
        </row>
        <row r="649">
          <cell r="B649" t="str">
            <v>null</v>
          </cell>
          <cell r="C649" t="str">
            <v>null</v>
          </cell>
          <cell r="D649" t="str">
            <v>null</v>
          </cell>
          <cell r="E649" t="str">
            <v/>
          </cell>
        </row>
        <row r="650">
          <cell r="B650" t="str">
            <v>null</v>
          </cell>
          <cell r="C650" t="str">
            <v>null</v>
          </cell>
          <cell r="D650" t="str">
            <v>null</v>
          </cell>
          <cell r="E650" t="str">
            <v/>
          </cell>
        </row>
        <row r="651">
          <cell r="B651" t="str">
            <v>null</v>
          </cell>
          <cell r="C651" t="str">
            <v>null</v>
          </cell>
          <cell r="D651" t="str">
            <v>null</v>
          </cell>
          <cell r="E651" t="str">
            <v/>
          </cell>
        </row>
        <row r="652">
          <cell r="B652" t="str">
            <v>null</v>
          </cell>
          <cell r="C652" t="str">
            <v>null</v>
          </cell>
          <cell r="D652" t="str">
            <v>null</v>
          </cell>
          <cell r="E652" t="str">
            <v/>
          </cell>
        </row>
        <row r="653">
          <cell r="B653" t="str">
            <v>null</v>
          </cell>
          <cell r="C653" t="str">
            <v>null</v>
          </cell>
          <cell r="D653" t="str">
            <v>null</v>
          </cell>
          <cell r="E653" t="str">
            <v/>
          </cell>
        </row>
        <row r="654">
          <cell r="B654" t="str">
            <v>null</v>
          </cell>
          <cell r="C654" t="str">
            <v>null</v>
          </cell>
          <cell r="D654" t="str">
            <v>null</v>
          </cell>
          <cell r="E654" t="str">
            <v/>
          </cell>
        </row>
        <row r="655">
          <cell r="B655" t="str">
            <v>null</v>
          </cell>
          <cell r="C655" t="str">
            <v>null</v>
          </cell>
          <cell r="D655" t="str">
            <v>null</v>
          </cell>
          <cell r="E655" t="str">
            <v/>
          </cell>
        </row>
        <row r="656">
          <cell r="B656" t="str">
            <v>null</v>
          </cell>
          <cell r="C656" t="str">
            <v>null</v>
          </cell>
          <cell r="D656" t="str">
            <v>null</v>
          </cell>
          <cell r="E656" t="str">
            <v/>
          </cell>
        </row>
        <row r="657">
          <cell r="B657" t="str">
            <v>null</v>
          </cell>
          <cell r="C657" t="str">
            <v>null</v>
          </cell>
          <cell r="D657" t="str">
            <v>null</v>
          </cell>
          <cell r="E657" t="str">
            <v/>
          </cell>
        </row>
        <row r="658">
          <cell r="B658" t="str">
            <v>null</v>
          </cell>
          <cell r="C658" t="str">
            <v>null</v>
          </cell>
          <cell r="D658" t="str">
            <v>null</v>
          </cell>
          <cell r="E658" t="str">
            <v/>
          </cell>
        </row>
        <row r="659">
          <cell r="B659" t="str">
            <v>null</v>
          </cell>
          <cell r="C659" t="str">
            <v>null</v>
          </cell>
          <cell r="D659" t="str">
            <v>null</v>
          </cell>
          <cell r="E659" t="str">
            <v/>
          </cell>
        </row>
        <row r="660">
          <cell r="B660" t="str">
            <v>null</v>
          </cell>
          <cell r="C660" t="str">
            <v>null</v>
          </cell>
          <cell r="D660" t="str">
            <v>null</v>
          </cell>
          <cell r="E660" t="str">
            <v/>
          </cell>
        </row>
        <row r="661">
          <cell r="B661" t="str">
            <v>null</v>
          </cell>
          <cell r="C661" t="str">
            <v>null</v>
          </cell>
          <cell r="D661" t="str">
            <v>null</v>
          </cell>
          <cell r="E661" t="str">
            <v/>
          </cell>
        </row>
        <row r="662">
          <cell r="B662" t="str">
            <v>null</v>
          </cell>
          <cell r="C662" t="str">
            <v>null</v>
          </cell>
          <cell r="D662" t="str">
            <v>null</v>
          </cell>
          <cell r="E662" t="str">
            <v/>
          </cell>
        </row>
        <row r="663">
          <cell r="B663" t="str">
            <v>null</v>
          </cell>
          <cell r="C663" t="str">
            <v>null</v>
          </cell>
          <cell r="D663" t="str">
            <v>null</v>
          </cell>
          <cell r="E663" t="str">
            <v/>
          </cell>
        </row>
        <row r="664">
          <cell r="B664" t="str">
            <v>null</v>
          </cell>
          <cell r="C664" t="str">
            <v>null</v>
          </cell>
          <cell r="D664" t="str">
            <v>null</v>
          </cell>
          <cell r="E664" t="str">
            <v/>
          </cell>
        </row>
        <row r="665">
          <cell r="B665" t="str">
            <v>null</v>
          </cell>
          <cell r="C665" t="str">
            <v>null</v>
          </cell>
          <cell r="D665" t="str">
            <v>null</v>
          </cell>
          <cell r="E665" t="str">
            <v/>
          </cell>
        </row>
        <row r="666">
          <cell r="B666" t="str">
            <v>null</v>
          </cell>
          <cell r="C666" t="str">
            <v>null</v>
          </cell>
          <cell r="D666" t="str">
            <v>null</v>
          </cell>
          <cell r="E666" t="str">
            <v/>
          </cell>
        </row>
        <row r="667">
          <cell r="B667" t="str">
            <v>null</v>
          </cell>
          <cell r="C667" t="str">
            <v>null</v>
          </cell>
          <cell r="D667" t="str">
            <v>null</v>
          </cell>
          <cell r="E667" t="str">
            <v/>
          </cell>
        </row>
        <row r="668">
          <cell r="B668" t="str">
            <v>null</v>
          </cell>
          <cell r="C668" t="str">
            <v>null</v>
          </cell>
          <cell r="D668" t="str">
            <v>null</v>
          </cell>
          <cell r="E668" t="str">
            <v/>
          </cell>
        </row>
        <row r="669">
          <cell r="B669" t="str">
            <v>null</v>
          </cell>
          <cell r="C669" t="str">
            <v>null</v>
          </cell>
          <cell r="D669" t="str">
            <v>null</v>
          </cell>
          <cell r="E669" t="str">
            <v/>
          </cell>
        </row>
        <row r="670">
          <cell r="B670" t="str">
            <v>null</v>
          </cell>
          <cell r="C670" t="str">
            <v>null</v>
          </cell>
          <cell r="D670" t="str">
            <v>null</v>
          </cell>
          <cell r="E670" t="str">
            <v/>
          </cell>
        </row>
        <row r="671">
          <cell r="B671" t="str">
            <v>null</v>
          </cell>
          <cell r="C671" t="str">
            <v>null</v>
          </cell>
          <cell r="D671" t="str">
            <v>null</v>
          </cell>
          <cell r="E671" t="str">
            <v/>
          </cell>
        </row>
        <row r="672">
          <cell r="B672" t="str">
            <v>null</v>
          </cell>
          <cell r="C672" t="str">
            <v>null</v>
          </cell>
          <cell r="D672" t="str">
            <v>null</v>
          </cell>
          <cell r="E672" t="str">
            <v/>
          </cell>
        </row>
        <row r="673">
          <cell r="B673" t="str">
            <v>null</v>
          </cell>
          <cell r="C673" t="str">
            <v>null</v>
          </cell>
          <cell r="D673" t="str">
            <v>null</v>
          </cell>
          <cell r="E673" t="str">
            <v/>
          </cell>
        </row>
        <row r="674">
          <cell r="B674" t="str">
            <v>null</v>
          </cell>
          <cell r="C674" t="str">
            <v>null</v>
          </cell>
          <cell r="D674" t="str">
            <v>null</v>
          </cell>
          <cell r="E674" t="str">
            <v/>
          </cell>
        </row>
        <row r="675">
          <cell r="B675" t="str">
            <v>null</v>
          </cell>
          <cell r="C675" t="str">
            <v>null</v>
          </cell>
          <cell r="D675" t="str">
            <v>null</v>
          </cell>
          <cell r="E675" t="str">
            <v/>
          </cell>
        </row>
        <row r="676">
          <cell r="B676" t="str">
            <v>null</v>
          </cell>
          <cell r="C676" t="str">
            <v>null</v>
          </cell>
          <cell r="D676" t="str">
            <v>null</v>
          </cell>
          <cell r="E676" t="str">
            <v/>
          </cell>
        </row>
        <row r="677">
          <cell r="B677" t="str">
            <v>null</v>
          </cell>
          <cell r="C677" t="str">
            <v>null</v>
          </cell>
          <cell r="D677" t="str">
            <v>null</v>
          </cell>
          <cell r="E677" t="str">
            <v/>
          </cell>
        </row>
        <row r="678">
          <cell r="B678" t="str">
            <v>null</v>
          </cell>
          <cell r="C678" t="str">
            <v>null</v>
          </cell>
          <cell r="D678" t="str">
            <v>null</v>
          </cell>
          <cell r="E678" t="str">
            <v/>
          </cell>
        </row>
        <row r="679">
          <cell r="B679" t="str">
            <v>null</v>
          </cell>
          <cell r="C679" t="str">
            <v>null</v>
          </cell>
          <cell r="D679" t="str">
            <v>null</v>
          </cell>
          <cell r="E679" t="str">
            <v/>
          </cell>
        </row>
        <row r="680">
          <cell r="B680" t="str">
            <v>null</v>
          </cell>
          <cell r="C680" t="str">
            <v>null</v>
          </cell>
          <cell r="D680" t="str">
            <v>null</v>
          </cell>
          <cell r="E680" t="str">
            <v/>
          </cell>
        </row>
        <row r="681">
          <cell r="B681" t="str">
            <v>null</v>
          </cell>
          <cell r="C681" t="str">
            <v>null</v>
          </cell>
          <cell r="D681" t="str">
            <v>null</v>
          </cell>
          <cell r="E681" t="str">
            <v/>
          </cell>
        </row>
        <row r="682">
          <cell r="B682" t="str">
            <v>null</v>
          </cell>
          <cell r="C682" t="str">
            <v>null</v>
          </cell>
          <cell r="D682" t="str">
            <v>null</v>
          </cell>
          <cell r="E682" t="str">
            <v/>
          </cell>
        </row>
        <row r="683">
          <cell r="B683" t="str">
            <v>null</v>
          </cell>
          <cell r="C683" t="str">
            <v>null</v>
          </cell>
          <cell r="D683" t="str">
            <v>null</v>
          </cell>
          <cell r="E683" t="str">
            <v/>
          </cell>
        </row>
        <row r="684">
          <cell r="B684" t="str">
            <v>null</v>
          </cell>
          <cell r="C684" t="str">
            <v>null</v>
          </cell>
          <cell r="D684" t="str">
            <v>null</v>
          </cell>
          <cell r="E684" t="str">
            <v/>
          </cell>
        </row>
        <row r="685">
          <cell r="B685" t="str">
            <v>null</v>
          </cell>
          <cell r="C685" t="str">
            <v>null</v>
          </cell>
          <cell r="D685" t="str">
            <v>null</v>
          </cell>
          <cell r="E685" t="str">
            <v/>
          </cell>
        </row>
        <row r="686">
          <cell r="B686" t="str">
            <v>null</v>
          </cell>
          <cell r="C686" t="str">
            <v>null</v>
          </cell>
          <cell r="D686" t="str">
            <v>null</v>
          </cell>
          <cell r="E686" t="str">
            <v/>
          </cell>
        </row>
        <row r="687">
          <cell r="B687" t="str">
            <v>null</v>
          </cell>
          <cell r="C687" t="str">
            <v>null</v>
          </cell>
          <cell r="D687" t="str">
            <v>null</v>
          </cell>
          <cell r="E687" t="str">
            <v/>
          </cell>
        </row>
        <row r="688">
          <cell r="B688" t="str">
            <v>null</v>
          </cell>
          <cell r="C688" t="str">
            <v>null</v>
          </cell>
          <cell r="D688" t="str">
            <v>null</v>
          </cell>
          <cell r="E688" t="str">
            <v/>
          </cell>
        </row>
        <row r="689">
          <cell r="B689" t="str">
            <v>null</v>
          </cell>
          <cell r="C689" t="str">
            <v>null</v>
          </cell>
          <cell r="D689" t="str">
            <v>null</v>
          </cell>
          <cell r="E689" t="str">
            <v/>
          </cell>
        </row>
        <row r="690">
          <cell r="B690" t="str">
            <v>null</v>
          </cell>
          <cell r="C690" t="str">
            <v>null</v>
          </cell>
          <cell r="D690" t="str">
            <v>null</v>
          </cell>
          <cell r="E690" t="str">
            <v/>
          </cell>
        </row>
        <row r="691">
          <cell r="B691" t="str">
            <v>null</v>
          </cell>
          <cell r="C691" t="str">
            <v>null</v>
          </cell>
          <cell r="D691" t="str">
            <v>null</v>
          </cell>
          <cell r="E691" t="str">
            <v/>
          </cell>
        </row>
        <row r="692">
          <cell r="B692" t="str">
            <v>null</v>
          </cell>
          <cell r="C692" t="str">
            <v>null</v>
          </cell>
          <cell r="D692" t="str">
            <v>null</v>
          </cell>
          <cell r="E692" t="str">
            <v/>
          </cell>
        </row>
        <row r="693">
          <cell r="B693" t="str">
            <v>null</v>
          </cell>
          <cell r="C693" t="str">
            <v>null</v>
          </cell>
          <cell r="D693" t="str">
            <v>null</v>
          </cell>
          <cell r="E693" t="str">
            <v/>
          </cell>
        </row>
        <row r="694">
          <cell r="B694" t="str">
            <v>null</v>
          </cell>
          <cell r="C694" t="str">
            <v>null</v>
          </cell>
          <cell r="D694" t="str">
            <v>null</v>
          </cell>
          <cell r="E694" t="str">
            <v/>
          </cell>
        </row>
        <row r="695">
          <cell r="B695" t="str">
            <v>null</v>
          </cell>
          <cell r="C695" t="str">
            <v>null</v>
          </cell>
          <cell r="D695" t="str">
            <v>null</v>
          </cell>
          <cell r="E695" t="str">
            <v/>
          </cell>
        </row>
        <row r="696">
          <cell r="B696" t="str">
            <v>null</v>
          </cell>
          <cell r="C696" t="str">
            <v>null</v>
          </cell>
          <cell r="D696" t="str">
            <v>null</v>
          </cell>
          <cell r="E696" t="str">
            <v/>
          </cell>
        </row>
        <row r="697">
          <cell r="B697" t="str">
            <v>null</v>
          </cell>
          <cell r="C697" t="str">
            <v>null</v>
          </cell>
          <cell r="D697" t="str">
            <v>null</v>
          </cell>
          <cell r="E697" t="str">
            <v/>
          </cell>
        </row>
        <row r="698">
          <cell r="B698" t="str">
            <v>null</v>
          </cell>
          <cell r="C698" t="str">
            <v>null</v>
          </cell>
          <cell r="D698" t="str">
            <v>null</v>
          </cell>
          <cell r="E698" t="str">
            <v/>
          </cell>
        </row>
        <row r="699">
          <cell r="B699" t="str">
            <v>null</v>
          </cell>
          <cell r="C699" t="str">
            <v>null</v>
          </cell>
          <cell r="D699" t="str">
            <v>null</v>
          </cell>
          <cell r="E699" t="str">
            <v/>
          </cell>
        </row>
        <row r="700">
          <cell r="B700" t="str">
            <v>null</v>
          </cell>
          <cell r="C700" t="str">
            <v>null</v>
          </cell>
          <cell r="D700" t="str">
            <v>null</v>
          </cell>
          <cell r="E700" t="str">
            <v/>
          </cell>
        </row>
        <row r="701">
          <cell r="B701" t="str">
            <v>null</v>
          </cell>
          <cell r="C701" t="str">
            <v>null</v>
          </cell>
          <cell r="D701" t="str">
            <v>null</v>
          </cell>
          <cell r="E701" t="str">
            <v/>
          </cell>
        </row>
        <row r="702">
          <cell r="B702" t="str">
            <v>null</v>
          </cell>
          <cell r="C702" t="str">
            <v>null</v>
          </cell>
          <cell r="D702" t="str">
            <v>null</v>
          </cell>
          <cell r="E702" t="str">
            <v/>
          </cell>
        </row>
        <row r="703">
          <cell r="B703" t="str">
            <v>null</v>
          </cell>
          <cell r="C703" t="str">
            <v>null</v>
          </cell>
          <cell r="D703" t="str">
            <v>null</v>
          </cell>
          <cell r="E703" t="str">
            <v/>
          </cell>
        </row>
        <row r="704">
          <cell r="B704" t="str">
            <v>null</v>
          </cell>
          <cell r="C704" t="str">
            <v>null</v>
          </cell>
          <cell r="D704" t="str">
            <v>null</v>
          </cell>
          <cell r="E704" t="str">
            <v/>
          </cell>
        </row>
        <row r="705">
          <cell r="B705" t="str">
            <v>null</v>
          </cell>
          <cell r="C705" t="str">
            <v>null</v>
          </cell>
          <cell r="D705" t="str">
            <v>null</v>
          </cell>
          <cell r="E705" t="str">
            <v/>
          </cell>
        </row>
        <row r="706">
          <cell r="B706" t="str">
            <v>null</v>
          </cell>
          <cell r="C706" t="str">
            <v>null</v>
          </cell>
          <cell r="D706" t="str">
            <v>null</v>
          </cell>
          <cell r="E706" t="str">
            <v/>
          </cell>
        </row>
        <row r="707">
          <cell r="B707" t="str">
            <v>null</v>
          </cell>
          <cell r="C707" t="str">
            <v>null</v>
          </cell>
          <cell r="D707" t="str">
            <v>null</v>
          </cell>
          <cell r="E707" t="str">
            <v/>
          </cell>
        </row>
        <row r="708">
          <cell r="B708" t="str">
            <v>null</v>
          </cell>
          <cell r="C708" t="str">
            <v>null</v>
          </cell>
          <cell r="D708" t="str">
            <v>null</v>
          </cell>
          <cell r="E708" t="str">
            <v/>
          </cell>
        </row>
        <row r="709">
          <cell r="B709" t="str">
            <v>null</v>
          </cell>
          <cell r="C709" t="str">
            <v>null</v>
          </cell>
          <cell r="D709" t="str">
            <v>null</v>
          </cell>
          <cell r="E709" t="str">
            <v/>
          </cell>
        </row>
        <row r="710">
          <cell r="B710" t="str">
            <v>null</v>
          </cell>
          <cell r="C710" t="str">
            <v>null</v>
          </cell>
          <cell r="D710" t="str">
            <v>null</v>
          </cell>
          <cell r="E710" t="str">
            <v/>
          </cell>
        </row>
        <row r="711">
          <cell r="B711" t="str">
            <v>null</v>
          </cell>
          <cell r="C711" t="str">
            <v>null</v>
          </cell>
          <cell r="D711" t="str">
            <v>null</v>
          </cell>
          <cell r="E711" t="str">
            <v/>
          </cell>
        </row>
        <row r="712">
          <cell r="B712" t="str">
            <v>null</v>
          </cell>
          <cell r="C712" t="str">
            <v>null</v>
          </cell>
          <cell r="D712" t="str">
            <v>null</v>
          </cell>
          <cell r="E712" t="str">
            <v/>
          </cell>
        </row>
        <row r="713">
          <cell r="B713" t="str">
            <v>null</v>
          </cell>
          <cell r="C713" t="str">
            <v>null</v>
          </cell>
          <cell r="D713" t="str">
            <v>null</v>
          </cell>
          <cell r="E713" t="str">
            <v/>
          </cell>
        </row>
        <row r="714">
          <cell r="B714" t="str">
            <v>null</v>
          </cell>
          <cell r="C714" t="str">
            <v>null</v>
          </cell>
          <cell r="D714" t="str">
            <v>null</v>
          </cell>
          <cell r="E714" t="str">
            <v/>
          </cell>
        </row>
        <row r="715">
          <cell r="B715" t="str">
            <v>null</v>
          </cell>
          <cell r="C715" t="str">
            <v>null</v>
          </cell>
          <cell r="D715" t="str">
            <v>null</v>
          </cell>
          <cell r="E715" t="str">
            <v/>
          </cell>
        </row>
        <row r="716">
          <cell r="B716" t="str">
            <v>null</v>
          </cell>
          <cell r="C716" t="str">
            <v>null</v>
          </cell>
          <cell r="D716" t="str">
            <v>null</v>
          </cell>
          <cell r="E716" t="str">
            <v/>
          </cell>
        </row>
        <row r="717">
          <cell r="B717" t="str">
            <v>null</v>
          </cell>
          <cell r="C717" t="str">
            <v>null</v>
          </cell>
          <cell r="D717" t="str">
            <v>null</v>
          </cell>
          <cell r="E717" t="str">
            <v/>
          </cell>
        </row>
        <row r="718">
          <cell r="B718" t="str">
            <v>null</v>
          </cell>
          <cell r="C718" t="str">
            <v>null</v>
          </cell>
          <cell r="D718" t="str">
            <v>null</v>
          </cell>
          <cell r="E718" t="str">
            <v/>
          </cell>
        </row>
        <row r="719">
          <cell r="B719" t="str">
            <v>null</v>
          </cell>
          <cell r="C719" t="str">
            <v>null</v>
          </cell>
          <cell r="D719" t="str">
            <v>null</v>
          </cell>
          <cell r="E719" t="str">
            <v/>
          </cell>
        </row>
        <row r="720">
          <cell r="B720" t="str">
            <v>null</v>
          </cell>
          <cell r="C720" t="str">
            <v>null</v>
          </cell>
          <cell r="D720" t="str">
            <v>null</v>
          </cell>
          <cell r="E720" t="str">
            <v/>
          </cell>
        </row>
        <row r="721">
          <cell r="B721" t="str">
            <v>null</v>
          </cell>
          <cell r="C721" t="str">
            <v>null</v>
          </cell>
          <cell r="D721" t="str">
            <v>null</v>
          </cell>
          <cell r="E721" t="str">
            <v/>
          </cell>
        </row>
        <row r="722">
          <cell r="B722" t="str">
            <v>null</v>
          </cell>
          <cell r="C722" t="str">
            <v>null</v>
          </cell>
          <cell r="D722" t="str">
            <v>null</v>
          </cell>
          <cell r="E722" t="str">
            <v/>
          </cell>
        </row>
        <row r="723">
          <cell r="B723" t="str">
            <v>null</v>
          </cell>
          <cell r="C723" t="str">
            <v>null</v>
          </cell>
          <cell r="D723" t="str">
            <v>null</v>
          </cell>
          <cell r="E723" t="str">
            <v/>
          </cell>
        </row>
        <row r="724">
          <cell r="B724" t="str">
            <v>null</v>
          </cell>
          <cell r="C724" t="str">
            <v>null</v>
          </cell>
          <cell r="D724" t="str">
            <v>null</v>
          </cell>
          <cell r="E724" t="str">
            <v/>
          </cell>
        </row>
        <row r="725">
          <cell r="B725" t="str">
            <v>null</v>
          </cell>
          <cell r="C725" t="str">
            <v>null</v>
          </cell>
          <cell r="D725" t="str">
            <v>null</v>
          </cell>
          <cell r="E725" t="str">
            <v/>
          </cell>
        </row>
        <row r="726">
          <cell r="B726" t="str">
            <v>null</v>
          </cell>
          <cell r="C726" t="str">
            <v>null</v>
          </cell>
          <cell r="D726" t="str">
            <v>null</v>
          </cell>
          <cell r="E726" t="str">
            <v/>
          </cell>
        </row>
        <row r="727">
          <cell r="B727" t="str">
            <v>null</v>
          </cell>
          <cell r="C727" t="str">
            <v>null</v>
          </cell>
          <cell r="D727" t="str">
            <v>null</v>
          </cell>
          <cell r="E727" t="str">
            <v/>
          </cell>
        </row>
        <row r="728">
          <cell r="B728" t="str">
            <v>null</v>
          </cell>
          <cell r="C728" t="str">
            <v>null</v>
          </cell>
          <cell r="D728" t="str">
            <v>null</v>
          </cell>
          <cell r="E728" t="str">
            <v/>
          </cell>
        </row>
        <row r="729">
          <cell r="B729" t="str">
            <v>null</v>
          </cell>
          <cell r="C729" t="str">
            <v>null</v>
          </cell>
          <cell r="D729" t="str">
            <v>null</v>
          </cell>
          <cell r="E729" t="str">
            <v/>
          </cell>
        </row>
        <row r="730">
          <cell r="B730" t="str">
            <v>null</v>
          </cell>
          <cell r="C730" t="str">
            <v>null</v>
          </cell>
          <cell r="D730" t="str">
            <v>null</v>
          </cell>
          <cell r="E730" t="str">
            <v/>
          </cell>
        </row>
        <row r="731">
          <cell r="B731" t="str">
            <v>null</v>
          </cell>
          <cell r="C731" t="str">
            <v>null</v>
          </cell>
          <cell r="D731" t="str">
            <v>null</v>
          </cell>
          <cell r="E731" t="str">
            <v/>
          </cell>
        </row>
        <row r="732">
          <cell r="B732" t="str">
            <v>null</v>
          </cell>
          <cell r="C732" t="str">
            <v>null</v>
          </cell>
          <cell r="D732" t="str">
            <v>null</v>
          </cell>
          <cell r="E732" t="str">
            <v/>
          </cell>
        </row>
        <row r="733">
          <cell r="B733" t="str">
            <v>null</v>
          </cell>
          <cell r="C733" t="str">
            <v>null</v>
          </cell>
          <cell r="D733" t="str">
            <v>null</v>
          </cell>
          <cell r="E733" t="str">
            <v/>
          </cell>
        </row>
        <row r="734">
          <cell r="B734" t="str">
            <v>null</v>
          </cell>
          <cell r="C734" t="str">
            <v>null</v>
          </cell>
          <cell r="D734" t="str">
            <v>null</v>
          </cell>
          <cell r="E734" t="str">
            <v/>
          </cell>
        </row>
        <row r="735">
          <cell r="B735" t="str">
            <v>null</v>
          </cell>
          <cell r="C735" t="str">
            <v>null</v>
          </cell>
          <cell r="D735" t="str">
            <v>null</v>
          </cell>
          <cell r="E735" t="str">
            <v/>
          </cell>
        </row>
        <row r="736">
          <cell r="B736" t="str">
            <v>null</v>
          </cell>
          <cell r="C736" t="str">
            <v>null</v>
          </cell>
          <cell r="D736" t="str">
            <v>null</v>
          </cell>
          <cell r="E736" t="str">
            <v/>
          </cell>
        </row>
        <row r="737">
          <cell r="B737" t="str">
            <v>null</v>
          </cell>
          <cell r="C737" t="str">
            <v>null</v>
          </cell>
          <cell r="D737" t="str">
            <v>null</v>
          </cell>
          <cell r="E737" t="str">
            <v/>
          </cell>
        </row>
        <row r="738">
          <cell r="B738" t="str">
            <v>null</v>
          </cell>
          <cell r="C738" t="str">
            <v>null</v>
          </cell>
          <cell r="D738" t="str">
            <v>null</v>
          </cell>
          <cell r="E738" t="str">
            <v/>
          </cell>
        </row>
        <row r="739">
          <cell r="B739" t="str">
            <v>null</v>
          </cell>
          <cell r="C739" t="str">
            <v>null</v>
          </cell>
          <cell r="D739" t="str">
            <v>null</v>
          </cell>
          <cell r="E739" t="str">
            <v/>
          </cell>
        </row>
        <row r="740">
          <cell r="B740" t="str">
            <v>null</v>
          </cell>
          <cell r="C740" t="str">
            <v>null</v>
          </cell>
          <cell r="D740" t="str">
            <v>null</v>
          </cell>
          <cell r="E740" t="str">
            <v/>
          </cell>
        </row>
        <row r="741">
          <cell r="B741" t="str">
            <v>null</v>
          </cell>
          <cell r="C741" t="str">
            <v>null</v>
          </cell>
          <cell r="D741" t="str">
            <v>null</v>
          </cell>
          <cell r="E741" t="str">
            <v/>
          </cell>
        </row>
        <row r="742">
          <cell r="B742" t="str">
            <v>null</v>
          </cell>
          <cell r="C742" t="str">
            <v>null</v>
          </cell>
          <cell r="D742" t="str">
            <v>null</v>
          </cell>
          <cell r="E742" t="str">
            <v/>
          </cell>
        </row>
        <row r="743">
          <cell r="B743" t="str">
            <v>null</v>
          </cell>
          <cell r="C743" t="str">
            <v>null</v>
          </cell>
          <cell r="D743" t="str">
            <v>null</v>
          </cell>
          <cell r="E743" t="str">
            <v/>
          </cell>
        </row>
        <row r="744">
          <cell r="B744" t="str">
            <v>null</v>
          </cell>
          <cell r="C744" t="str">
            <v>null</v>
          </cell>
          <cell r="D744" t="str">
            <v>null</v>
          </cell>
          <cell r="E744" t="str">
            <v/>
          </cell>
        </row>
        <row r="745">
          <cell r="B745" t="str">
            <v>null</v>
          </cell>
          <cell r="C745" t="str">
            <v>null</v>
          </cell>
          <cell r="D745" t="str">
            <v>null</v>
          </cell>
          <cell r="E745" t="str">
            <v/>
          </cell>
        </row>
        <row r="746">
          <cell r="B746" t="str">
            <v>null</v>
          </cell>
          <cell r="C746" t="str">
            <v>null</v>
          </cell>
          <cell r="D746" t="str">
            <v>null</v>
          </cell>
          <cell r="E746" t="str">
            <v/>
          </cell>
        </row>
        <row r="747">
          <cell r="B747" t="str">
            <v>null</v>
          </cell>
          <cell r="C747" t="str">
            <v>null</v>
          </cell>
          <cell r="D747" t="str">
            <v>null</v>
          </cell>
          <cell r="E747" t="str">
            <v/>
          </cell>
        </row>
        <row r="748">
          <cell r="B748" t="str">
            <v>null</v>
          </cell>
          <cell r="C748" t="str">
            <v>null</v>
          </cell>
          <cell r="D748" t="str">
            <v>null</v>
          </cell>
          <cell r="E748" t="str">
            <v/>
          </cell>
        </row>
        <row r="749">
          <cell r="B749" t="str">
            <v>null</v>
          </cell>
          <cell r="C749" t="str">
            <v>null</v>
          </cell>
          <cell r="D749" t="str">
            <v>null</v>
          </cell>
          <cell r="E749" t="str">
            <v/>
          </cell>
        </row>
        <row r="750">
          <cell r="B750" t="str">
            <v>null</v>
          </cell>
          <cell r="C750" t="str">
            <v>null</v>
          </cell>
          <cell r="D750" t="str">
            <v>null</v>
          </cell>
          <cell r="E750" t="str">
            <v/>
          </cell>
        </row>
        <row r="751">
          <cell r="B751" t="str">
            <v>null</v>
          </cell>
          <cell r="C751" t="str">
            <v>null</v>
          </cell>
          <cell r="D751" t="str">
            <v>null</v>
          </cell>
          <cell r="E751" t="str">
            <v/>
          </cell>
        </row>
        <row r="752">
          <cell r="B752" t="str">
            <v>null</v>
          </cell>
          <cell r="C752" t="str">
            <v>null</v>
          </cell>
          <cell r="D752" t="str">
            <v>null</v>
          </cell>
          <cell r="E752" t="str">
            <v/>
          </cell>
        </row>
        <row r="753">
          <cell r="B753" t="str">
            <v>null</v>
          </cell>
          <cell r="C753" t="str">
            <v>null</v>
          </cell>
          <cell r="D753" t="str">
            <v>null</v>
          </cell>
          <cell r="E753" t="str">
            <v/>
          </cell>
        </row>
        <row r="754">
          <cell r="B754" t="str">
            <v>null</v>
          </cell>
          <cell r="C754" t="str">
            <v>null</v>
          </cell>
          <cell r="D754" t="str">
            <v>null</v>
          </cell>
          <cell r="E754" t="str">
            <v/>
          </cell>
        </row>
        <row r="755">
          <cell r="B755" t="str">
            <v>null</v>
          </cell>
          <cell r="C755" t="str">
            <v>null</v>
          </cell>
          <cell r="D755" t="str">
            <v>null</v>
          </cell>
          <cell r="E755" t="str">
            <v/>
          </cell>
        </row>
        <row r="756">
          <cell r="B756" t="str">
            <v>null</v>
          </cell>
          <cell r="C756" t="str">
            <v>null</v>
          </cell>
          <cell r="D756" t="str">
            <v>null</v>
          </cell>
          <cell r="E756" t="str">
            <v/>
          </cell>
        </row>
        <row r="757">
          <cell r="B757" t="str">
            <v>null</v>
          </cell>
          <cell r="C757" t="str">
            <v>null</v>
          </cell>
          <cell r="D757" t="str">
            <v>null</v>
          </cell>
          <cell r="E757" t="str">
            <v/>
          </cell>
        </row>
        <row r="758">
          <cell r="B758" t="str">
            <v>null</v>
          </cell>
          <cell r="C758" t="str">
            <v>null</v>
          </cell>
          <cell r="D758" t="str">
            <v>null</v>
          </cell>
          <cell r="E758" t="str">
            <v/>
          </cell>
        </row>
        <row r="759">
          <cell r="B759" t="str">
            <v>null</v>
          </cell>
          <cell r="C759" t="str">
            <v>null</v>
          </cell>
          <cell r="D759" t="str">
            <v>null</v>
          </cell>
          <cell r="E759" t="str">
            <v/>
          </cell>
        </row>
        <row r="760">
          <cell r="B760" t="str">
            <v>null</v>
          </cell>
          <cell r="C760" t="str">
            <v>null</v>
          </cell>
          <cell r="D760" t="str">
            <v>null</v>
          </cell>
          <cell r="E760" t="str">
            <v/>
          </cell>
        </row>
        <row r="761">
          <cell r="B761" t="str">
            <v>null</v>
          </cell>
          <cell r="C761" t="str">
            <v>null</v>
          </cell>
          <cell r="D761" t="str">
            <v>null</v>
          </cell>
          <cell r="E761" t="str">
            <v/>
          </cell>
        </row>
        <row r="762">
          <cell r="B762" t="str">
            <v>null</v>
          </cell>
          <cell r="C762" t="str">
            <v>null</v>
          </cell>
          <cell r="D762" t="str">
            <v>null</v>
          </cell>
          <cell r="E762" t="str">
            <v/>
          </cell>
        </row>
        <row r="763">
          <cell r="B763" t="str">
            <v>null</v>
          </cell>
          <cell r="C763" t="str">
            <v>null</v>
          </cell>
          <cell r="D763" t="str">
            <v>null</v>
          </cell>
          <cell r="E763" t="str">
            <v/>
          </cell>
        </row>
        <row r="764">
          <cell r="B764" t="str">
            <v>null</v>
          </cell>
          <cell r="C764" t="str">
            <v>null</v>
          </cell>
          <cell r="D764" t="str">
            <v>null</v>
          </cell>
          <cell r="E764" t="str">
            <v/>
          </cell>
        </row>
        <row r="765">
          <cell r="B765" t="str">
            <v>null</v>
          </cell>
          <cell r="C765" t="str">
            <v>null</v>
          </cell>
          <cell r="D765" t="str">
            <v>null</v>
          </cell>
          <cell r="E765" t="str">
            <v/>
          </cell>
        </row>
        <row r="766">
          <cell r="B766" t="str">
            <v>null</v>
          </cell>
          <cell r="C766" t="str">
            <v>null</v>
          </cell>
          <cell r="D766" t="str">
            <v>null</v>
          </cell>
          <cell r="E766" t="str">
            <v/>
          </cell>
        </row>
        <row r="767">
          <cell r="B767" t="str">
            <v>null</v>
          </cell>
          <cell r="C767" t="str">
            <v>null</v>
          </cell>
          <cell r="D767" t="str">
            <v>null</v>
          </cell>
          <cell r="E767" t="str">
            <v/>
          </cell>
        </row>
        <row r="768">
          <cell r="B768" t="str">
            <v>null</v>
          </cell>
          <cell r="C768" t="str">
            <v>null</v>
          </cell>
          <cell r="D768" t="str">
            <v>null</v>
          </cell>
          <cell r="E768" t="str">
            <v/>
          </cell>
        </row>
        <row r="769">
          <cell r="B769" t="str">
            <v>null</v>
          </cell>
          <cell r="C769" t="str">
            <v>null</v>
          </cell>
          <cell r="D769" t="str">
            <v>null</v>
          </cell>
          <cell r="E769" t="str">
            <v/>
          </cell>
        </row>
        <row r="770">
          <cell r="B770" t="str">
            <v>null</v>
          </cell>
          <cell r="C770" t="str">
            <v>null</v>
          </cell>
          <cell r="D770" t="str">
            <v>null</v>
          </cell>
          <cell r="E770" t="str">
            <v/>
          </cell>
        </row>
        <row r="771">
          <cell r="B771" t="str">
            <v>null</v>
          </cell>
          <cell r="C771" t="str">
            <v>null</v>
          </cell>
          <cell r="D771" t="str">
            <v>null</v>
          </cell>
          <cell r="E771" t="str">
            <v/>
          </cell>
        </row>
        <row r="772">
          <cell r="B772" t="str">
            <v>null</v>
          </cell>
          <cell r="C772" t="str">
            <v>null</v>
          </cell>
          <cell r="D772" t="str">
            <v>null</v>
          </cell>
          <cell r="E772" t="str">
            <v/>
          </cell>
        </row>
        <row r="773">
          <cell r="B773" t="str">
            <v>null</v>
          </cell>
          <cell r="C773" t="str">
            <v>null</v>
          </cell>
          <cell r="D773" t="str">
            <v>null</v>
          </cell>
          <cell r="E773" t="str">
            <v/>
          </cell>
        </row>
        <row r="774">
          <cell r="B774" t="str">
            <v>null</v>
          </cell>
          <cell r="C774" t="str">
            <v>null</v>
          </cell>
          <cell r="D774" t="str">
            <v>null</v>
          </cell>
          <cell r="E774" t="str">
            <v/>
          </cell>
        </row>
        <row r="775">
          <cell r="B775" t="str">
            <v>null</v>
          </cell>
          <cell r="C775" t="str">
            <v>null</v>
          </cell>
          <cell r="D775" t="str">
            <v>null</v>
          </cell>
          <cell r="E775" t="str">
            <v/>
          </cell>
        </row>
        <row r="776">
          <cell r="B776" t="str">
            <v>null</v>
          </cell>
          <cell r="C776" t="str">
            <v>null</v>
          </cell>
          <cell r="D776" t="str">
            <v>null</v>
          </cell>
          <cell r="E776" t="str">
            <v/>
          </cell>
        </row>
        <row r="777">
          <cell r="B777" t="str">
            <v>null</v>
          </cell>
          <cell r="C777" t="str">
            <v>null</v>
          </cell>
          <cell r="D777" t="str">
            <v>null</v>
          </cell>
          <cell r="E777" t="str">
            <v/>
          </cell>
        </row>
        <row r="778">
          <cell r="B778" t="str">
            <v>null</v>
          </cell>
          <cell r="C778" t="str">
            <v>null</v>
          </cell>
          <cell r="D778" t="str">
            <v>null</v>
          </cell>
          <cell r="E778" t="str">
            <v/>
          </cell>
        </row>
        <row r="779">
          <cell r="B779" t="str">
            <v>null</v>
          </cell>
          <cell r="C779" t="str">
            <v>null</v>
          </cell>
          <cell r="D779" t="str">
            <v>null</v>
          </cell>
          <cell r="E779" t="str">
            <v/>
          </cell>
        </row>
        <row r="780">
          <cell r="B780" t="str">
            <v>null</v>
          </cell>
          <cell r="C780" t="str">
            <v>null</v>
          </cell>
          <cell r="D780" t="str">
            <v>null</v>
          </cell>
          <cell r="E780" t="str">
            <v/>
          </cell>
        </row>
        <row r="781">
          <cell r="B781" t="str">
            <v>null</v>
          </cell>
          <cell r="C781" t="str">
            <v>null</v>
          </cell>
          <cell r="D781" t="str">
            <v>null</v>
          </cell>
          <cell r="E781" t="str">
            <v/>
          </cell>
        </row>
        <row r="782">
          <cell r="B782" t="str">
            <v>null</v>
          </cell>
          <cell r="C782" t="str">
            <v>null</v>
          </cell>
          <cell r="D782" t="str">
            <v>null</v>
          </cell>
          <cell r="E782" t="str">
            <v/>
          </cell>
        </row>
        <row r="783">
          <cell r="B783" t="str">
            <v>null</v>
          </cell>
          <cell r="C783" t="str">
            <v>null</v>
          </cell>
          <cell r="D783" t="str">
            <v>null</v>
          </cell>
          <cell r="E783" t="str">
            <v/>
          </cell>
        </row>
        <row r="784">
          <cell r="B784" t="str">
            <v>null</v>
          </cell>
          <cell r="C784" t="str">
            <v>null</v>
          </cell>
          <cell r="D784" t="str">
            <v>null</v>
          </cell>
          <cell r="E784" t="str">
            <v/>
          </cell>
        </row>
        <row r="785">
          <cell r="B785" t="str">
            <v>null</v>
          </cell>
          <cell r="C785" t="str">
            <v>null</v>
          </cell>
          <cell r="D785" t="str">
            <v>null</v>
          </cell>
          <cell r="E785" t="str">
            <v/>
          </cell>
        </row>
        <row r="786">
          <cell r="B786" t="str">
            <v>null</v>
          </cell>
          <cell r="C786" t="str">
            <v>null</v>
          </cell>
          <cell r="D786" t="str">
            <v>null</v>
          </cell>
          <cell r="E786" t="str">
            <v/>
          </cell>
        </row>
        <row r="787">
          <cell r="B787" t="str">
            <v>null</v>
          </cell>
          <cell r="C787" t="str">
            <v>null</v>
          </cell>
          <cell r="D787" t="str">
            <v>null</v>
          </cell>
          <cell r="E787" t="str">
            <v/>
          </cell>
        </row>
        <row r="788">
          <cell r="B788" t="str">
            <v>null</v>
          </cell>
          <cell r="C788" t="str">
            <v>null</v>
          </cell>
          <cell r="D788" t="str">
            <v>null</v>
          </cell>
          <cell r="E788" t="str">
            <v/>
          </cell>
        </row>
        <row r="789">
          <cell r="B789" t="str">
            <v>null</v>
          </cell>
          <cell r="C789" t="str">
            <v>null</v>
          </cell>
          <cell r="D789" t="str">
            <v>null</v>
          </cell>
          <cell r="E789" t="str">
            <v/>
          </cell>
        </row>
        <row r="790">
          <cell r="B790" t="str">
            <v>null</v>
          </cell>
          <cell r="C790" t="str">
            <v>null</v>
          </cell>
          <cell r="D790" t="str">
            <v>null</v>
          </cell>
          <cell r="E790" t="str">
            <v/>
          </cell>
        </row>
        <row r="791">
          <cell r="B791" t="str">
            <v>null</v>
          </cell>
          <cell r="C791" t="str">
            <v>null</v>
          </cell>
          <cell r="D791" t="str">
            <v>null</v>
          </cell>
          <cell r="E791" t="str">
            <v/>
          </cell>
        </row>
        <row r="792">
          <cell r="B792" t="str">
            <v>null</v>
          </cell>
          <cell r="C792" t="str">
            <v>null</v>
          </cell>
          <cell r="D792" t="str">
            <v>null</v>
          </cell>
          <cell r="E792" t="str">
            <v/>
          </cell>
        </row>
        <row r="793">
          <cell r="B793" t="str">
            <v>null</v>
          </cell>
          <cell r="C793" t="str">
            <v>null</v>
          </cell>
          <cell r="D793" t="str">
            <v>null</v>
          </cell>
          <cell r="E793" t="str">
            <v/>
          </cell>
        </row>
        <row r="794">
          <cell r="B794" t="str">
            <v>null</v>
          </cell>
          <cell r="C794" t="str">
            <v>null</v>
          </cell>
          <cell r="D794" t="str">
            <v>null</v>
          </cell>
          <cell r="E794" t="str">
            <v/>
          </cell>
        </row>
        <row r="795">
          <cell r="B795" t="str">
            <v>null</v>
          </cell>
          <cell r="C795" t="str">
            <v>null</v>
          </cell>
          <cell r="D795" t="str">
            <v>null</v>
          </cell>
          <cell r="E795" t="str">
            <v/>
          </cell>
        </row>
        <row r="796">
          <cell r="B796" t="str">
            <v>null</v>
          </cell>
          <cell r="C796" t="str">
            <v>null</v>
          </cell>
          <cell r="D796" t="str">
            <v>null</v>
          </cell>
          <cell r="E796" t="str">
            <v/>
          </cell>
        </row>
        <row r="797">
          <cell r="B797" t="str">
            <v>null</v>
          </cell>
          <cell r="C797" t="str">
            <v>null</v>
          </cell>
          <cell r="D797" t="str">
            <v>null</v>
          </cell>
          <cell r="E797" t="str">
            <v/>
          </cell>
        </row>
        <row r="798">
          <cell r="B798" t="str">
            <v>null</v>
          </cell>
          <cell r="C798" t="str">
            <v>null</v>
          </cell>
          <cell r="D798" t="str">
            <v>null</v>
          </cell>
          <cell r="E798" t="str">
            <v/>
          </cell>
        </row>
        <row r="799">
          <cell r="B799" t="str">
            <v>null</v>
          </cell>
          <cell r="C799" t="str">
            <v>null</v>
          </cell>
          <cell r="D799" t="str">
            <v>null</v>
          </cell>
          <cell r="E799" t="str">
            <v/>
          </cell>
        </row>
        <row r="800">
          <cell r="B800" t="str">
            <v>null</v>
          </cell>
          <cell r="C800" t="str">
            <v>null</v>
          </cell>
          <cell r="D800" t="str">
            <v>null</v>
          </cell>
          <cell r="E800" t="str">
            <v/>
          </cell>
        </row>
        <row r="801">
          <cell r="B801" t="str">
            <v>null</v>
          </cell>
          <cell r="C801" t="str">
            <v>null</v>
          </cell>
          <cell r="D801" t="str">
            <v>null</v>
          </cell>
          <cell r="E801" t="str">
            <v/>
          </cell>
        </row>
        <row r="802">
          <cell r="B802" t="str">
            <v>null</v>
          </cell>
          <cell r="C802" t="str">
            <v>null</v>
          </cell>
          <cell r="D802" t="str">
            <v>null</v>
          </cell>
          <cell r="E802" t="str">
            <v/>
          </cell>
        </row>
        <row r="803">
          <cell r="B803" t="str">
            <v>null</v>
          </cell>
          <cell r="C803" t="str">
            <v>null</v>
          </cell>
          <cell r="D803" t="str">
            <v>null</v>
          </cell>
          <cell r="E803" t="str">
            <v/>
          </cell>
        </row>
        <row r="804">
          <cell r="B804" t="str">
            <v>null</v>
          </cell>
          <cell r="C804" t="str">
            <v>null</v>
          </cell>
          <cell r="D804" t="str">
            <v>null</v>
          </cell>
          <cell r="E804" t="str">
            <v/>
          </cell>
        </row>
        <row r="805">
          <cell r="B805" t="str">
            <v>null</v>
          </cell>
          <cell r="C805" t="str">
            <v>null</v>
          </cell>
          <cell r="D805" t="str">
            <v>null</v>
          </cell>
          <cell r="E805" t="str">
            <v/>
          </cell>
        </row>
        <row r="806">
          <cell r="B806" t="str">
            <v>null</v>
          </cell>
          <cell r="C806" t="str">
            <v>null</v>
          </cell>
          <cell r="D806" t="str">
            <v>null</v>
          </cell>
          <cell r="E806" t="str">
            <v/>
          </cell>
        </row>
        <row r="807">
          <cell r="B807" t="str">
            <v>null</v>
          </cell>
          <cell r="C807" t="str">
            <v>null</v>
          </cell>
          <cell r="D807" t="str">
            <v>null</v>
          </cell>
          <cell r="E807" t="str">
            <v/>
          </cell>
        </row>
        <row r="808">
          <cell r="B808" t="str">
            <v>null</v>
          </cell>
          <cell r="C808" t="str">
            <v>null</v>
          </cell>
          <cell r="D808" t="str">
            <v>null</v>
          </cell>
          <cell r="E808" t="str">
            <v/>
          </cell>
        </row>
        <row r="809">
          <cell r="B809" t="str">
            <v>null</v>
          </cell>
          <cell r="C809" t="str">
            <v>null</v>
          </cell>
          <cell r="D809" t="str">
            <v>null</v>
          </cell>
          <cell r="E809" t="str">
            <v/>
          </cell>
        </row>
        <row r="810">
          <cell r="B810" t="str">
            <v>null</v>
          </cell>
          <cell r="C810" t="str">
            <v>null</v>
          </cell>
          <cell r="D810" t="str">
            <v>null</v>
          </cell>
          <cell r="E810" t="str">
            <v/>
          </cell>
        </row>
        <row r="811">
          <cell r="B811" t="str">
            <v>null</v>
          </cell>
          <cell r="C811" t="str">
            <v>null</v>
          </cell>
          <cell r="D811" t="str">
            <v>null</v>
          </cell>
          <cell r="E811" t="str">
            <v/>
          </cell>
        </row>
        <row r="812">
          <cell r="B812" t="str">
            <v>null</v>
          </cell>
          <cell r="C812" t="str">
            <v>null</v>
          </cell>
          <cell r="D812" t="str">
            <v>null</v>
          </cell>
          <cell r="E812" t="str">
            <v/>
          </cell>
        </row>
        <row r="813">
          <cell r="B813" t="str">
            <v>null</v>
          </cell>
          <cell r="C813" t="str">
            <v>null</v>
          </cell>
          <cell r="D813" t="str">
            <v>null</v>
          </cell>
          <cell r="E813" t="str">
            <v/>
          </cell>
        </row>
        <row r="814">
          <cell r="B814" t="str">
            <v>null</v>
          </cell>
          <cell r="C814" t="str">
            <v>null</v>
          </cell>
          <cell r="D814" t="str">
            <v>null</v>
          </cell>
          <cell r="E814" t="str">
            <v/>
          </cell>
        </row>
        <row r="815">
          <cell r="B815" t="str">
            <v>null</v>
          </cell>
          <cell r="C815" t="str">
            <v>null</v>
          </cell>
          <cell r="D815" t="str">
            <v>null</v>
          </cell>
          <cell r="E815" t="str">
            <v/>
          </cell>
        </row>
        <row r="816">
          <cell r="B816" t="str">
            <v>null</v>
          </cell>
          <cell r="C816" t="str">
            <v>null</v>
          </cell>
          <cell r="D816" t="str">
            <v>null</v>
          </cell>
          <cell r="E816" t="str">
            <v/>
          </cell>
        </row>
        <row r="817">
          <cell r="B817" t="str">
            <v>null</v>
          </cell>
          <cell r="C817" t="str">
            <v>null</v>
          </cell>
          <cell r="D817" t="str">
            <v>null</v>
          </cell>
          <cell r="E817" t="str">
            <v/>
          </cell>
        </row>
        <row r="818">
          <cell r="B818" t="str">
            <v>null</v>
          </cell>
          <cell r="C818" t="str">
            <v>null</v>
          </cell>
          <cell r="D818" t="str">
            <v>null</v>
          </cell>
          <cell r="E818" t="str">
            <v/>
          </cell>
        </row>
        <row r="819">
          <cell r="B819" t="str">
            <v>null</v>
          </cell>
          <cell r="C819" t="str">
            <v>null</v>
          </cell>
          <cell r="D819" t="str">
            <v>null</v>
          </cell>
          <cell r="E819" t="str">
            <v/>
          </cell>
        </row>
        <row r="820">
          <cell r="B820" t="str">
            <v>null</v>
          </cell>
          <cell r="C820" t="str">
            <v>null</v>
          </cell>
          <cell r="D820" t="str">
            <v>null</v>
          </cell>
          <cell r="E820" t="str">
            <v/>
          </cell>
        </row>
        <row r="821">
          <cell r="B821" t="str">
            <v>null</v>
          </cell>
          <cell r="C821" t="str">
            <v>null</v>
          </cell>
          <cell r="D821" t="str">
            <v>null</v>
          </cell>
          <cell r="E821" t="str">
            <v/>
          </cell>
        </row>
        <row r="822">
          <cell r="B822" t="str">
            <v>null</v>
          </cell>
          <cell r="C822" t="str">
            <v>null</v>
          </cell>
          <cell r="D822" t="str">
            <v>null</v>
          </cell>
          <cell r="E822" t="str">
            <v/>
          </cell>
        </row>
        <row r="823">
          <cell r="B823" t="str">
            <v>null</v>
          </cell>
          <cell r="C823" t="str">
            <v>null</v>
          </cell>
          <cell r="D823" t="str">
            <v>null</v>
          </cell>
          <cell r="E823" t="str">
            <v/>
          </cell>
        </row>
        <row r="824">
          <cell r="B824" t="str">
            <v>null</v>
          </cell>
          <cell r="C824" t="str">
            <v>null</v>
          </cell>
          <cell r="D824" t="str">
            <v>null</v>
          </cell>
          <cell r="E824" t="str">
            <v/>
          </cell>
        </row>
        <row r="825">
          <cell r="B825" t="str">
            <v>null</v>
          </cell>
          <cell r="C825" t="str">
            <v>null</v>
          </cell>
          <cell r="D825" t="str">
            <v>null</v>
          </cell>
          <cell r="E825" t="str">
            <v/>
          </cell>
        </row>
        <row r="826">
          <cell r="B826" t="str">
            <v>null</v>
          </cell>
          <cell r="C826" t="str">
            <v>null</v>
          </cell>
          <cell r="D826" t="str">
            <v>null</v>
          </cell>
          <cell r="E826" t="str">
            <v/>
          </cell>
        </row>
        <row r="827">
          <cell r="B827" t="str">
            <v>null</v>
          </cell>
          <cell r="C827" t="str">
            <v>null</v>
          </cell>
          <cell r="D827" t="str">
            <v>null</v>
          </cell>
          <cell r="E827" t="str">
            <v/>
          </cell>
        </row>
        <row r="828">
          <cell r="B828" t="str">
            <v>null</v>
          </cell>
          <cell r="C828" t="str">
            <v>null</v>
          </cell>
          <cell r="D828" t="str">
            <v>null</v>
          </cell>
          <cell r="E828" t="str">
            <v/>
          </cell>
        </row>
        <row r="829">
          <cell r="B829" t="str">
            <v>null</v>
          </cell>
          <cell r="C829" t="str">
            <v>null</v>
          </cell>
          <cell r="D829" t="str">
            <v>null</v>
          </cell>
          <cell r="E829" t="str">
            <v/>
          </cell>
        </row>
        <row r="830">
          <cell r="B830" t="str">
            <v>null</v>
          </cell>
          <cell r="C830" t="str">
            <v>null</v>
          </cell>
          <cell r="D830" t="str">
            <v>null</v>
          </cell>
          <cell r="E830" t="str">
            <v/>
          </cell>
        </row>
        <row r="831">
          <cell r="B831" t="str">
            <v>null</v>
          </cell>
          <cell r="C831" t="str">
            <v>null</v>
          </cell>
          <cell r="D831" t="str">
            <v>null</v>
          </cell>
          <cell r="E831" t="str">
            <v/>
          </cell>
        </row>
        <row r="832">
          <cell r="B832" t="str">
            <v>null</v>
          </cell>
          <cell r="C832" t="str">
            <v>null</v>
          </cell>
          <cell r="D832" t="str">
            <v>null</v>
          </cell>
          <cell r="E832" t="str">
            <v/>
          </cell>
        </row>
        <row r="833">
          <cell r="B833" t="str">
            <v>null</v>
          </cell>
          <cell r="C833" t="str">
            <v>null</v>
          </cell>
          <cell r="D833" t="str">
            <v>null</v>
          </cell>
          <cell r="E833" t="str">
            <v/>
          </cell>
        </row>
        <row r="834">
          <cell r="B834" t="str">
            <v>null</v>
          </cell>
          <cell r="C834" t="str">
            <v>null</v>
          </cell>
          <cell r="D834" t="str">
            <v>null</v>
          </cell>
          <cell r="E834" t="str">
            <v/>
          </cell>
        </row>
        <row r="835">
          <cell r="B835" t="str">
            <v>null</v>
          </cell>
          <cell r="C835" t="str">
            <v>null</v>
          </cell>
          <cell r="D835" t="str">
            <v>null</v>
          </cell>
          <cell r="E835" t="str">
            <v/>
          </cell>
        </row>
        <row r="836">
          <cell r="B836" t="str">
            <v>null</v>
          </cell>
          <cell r="C836" t="str">
            <v>null</v>
          </cell>
          <cell r="D836" t="str">
            <v>null</v>
          </cell>
          <cell r="E836" t="str">
            <v/>
          </cell>
        </row>
        <row r="837">
          <cell r="B837" t="str">
            <v>null</v>
          </cell>
          <cell r="C837" t="str">
            <v>null</v>
          </cell>
          <cell r="D837" t="str">
            <v>null</v>
          </cell>
          <cell r="E837" t="str">
            <v/>
          </cell>
        </row>
        <row r="838">
          <cell r="B838" t="str">
            <v>null</v>
          </cell>
          <cell r="C838" t="str">
            <v>null</v>
          </cell>
          <cell r="D838" t="str">
            <v>null</v>
          </cell>
          <cell r="E838" t="str">
            <v/>
          </cell>
        </row>
        <row r="839">
          <cell r="B839" t="str">
            <v>null</v>
          </cell>
          <cell r="C839" t="str">
            <v>null</v>
          </cell>
          <cell r="D839" t="str">
            <v>null</v>
          </cell>
          <cell r="E839" t="str">
            <v/>
          </cell>
        </row>
        <row r="840">
          <cell r="B840" t="str">
            <v>null</v>
          </cell>
          <cell r="C840" t="str">
            <v>null</v>
          </cell>
          <cell r="D840" t="str">
            <v>null</v>
          </cell>
          <cell r="E840" t="str">
            <v/>
          </cell>
        </row>
        <row r="841">
          <cell r="B841" t="str">
            <v>null</v>
          </cell>
          <cell r="C841" t="str">
            <v>null</v>
          </cell>
          <cell r="D841" t="str">
            <v>null</v>
          </cell>
          <cell r="E841" t="str">
            <v/>
          </cell>
        </row>
        <row r="842">
          <cell r="B842" t="str">
            <v>null</v>
          </cell>
          <cell r="C842" t="str">
            <v>null</v>
          </cell>
          <cell r="D842" t="str">
            <v>null</v>
          </cell>
          <cell r="E842" t="str">
            <v/>
          </cell>
        </row>
        <row r="843">
          <cell r="B843" t="str">
            <v>null</v>
          </cell>
          <cell r="C843" t="str">
            <v>null</v>
          </cell>
          <cell r="D843" t="str">
            <v>null</v>
          </cell>
          <cell r="E843" t="str">
            <v/>
          </cell>
        </row>
        <row r="844">
          <cell r="B844" t="str">
            <v>null</v>
          </cell>
          <cell r="C844" t="str">
            <v>null</v>
          </cell>
          <cell r="D844" t="str">
            <v>null</v>
          </cell>
          <cell r="E844" t="str">
            <v/>
          </cell>
        </row>
        <row r="845">
          <cell r="B845" t="str">
            <v>null</v>
          </cell>
          <cell r="C845" t="str">
            <v>null</v>
          </cell>
          <cell r="D845" t="str">
            <v>null</v>
          </cell>
          <cell r="E845" t="str">
            <v/>
          </cell>
        </row>
        <row r="846">
          <cell r="B846" t="str">
            <v>null</v>
          </cell>
          <cell r="C846" t="str">
            <v>null</v>
          </cell>
          <cell r="D846" t="str">
            <v>null</v>
          </cell>
          <cell r="E846" t="str">
            <v/>
          </cell>
        </row>
        <row r="847">
          <cell r="B847" t="str">
            <v>null</v>
          </cell>
          <cell r="C847" t="str">
            <v>null</v>
          </cell>
          <cell r="D847" t="str">
            <v>null</v>
          </cell>
          <cell r="E847" t="str">
            <v/>
          </cell>
        </row>
        <row r="848">
          <cell r="B848" t="str">
            <v>null</v>
          </cell>
          <cell r="C848" t="str">
            <v>null</v>
          </cell>
          <cell r="D848" t="str">
            <v>null</v>
          </cell>
          <cell r="E848" t="str">
            <v/>
          </cell>
        </row>
        <row r="849">
          <cell r="B849" t="str">
            <v>null</v>
          </cell>
          <cell r="C849" t="str">
            <v>null</v>
          </cell>
          <cell r="D849" t="str">
            <v>null</v>
          </cell>
          <cell r="E849" t="str">
            <v/>
          </cell>
        </row>
        <row r="850">
          <cell r="B850" t="str">
            <v>null</v>
          </cell>
          <cell r="C850" t="str">
            <v>null</v>
          </cell>
          <cell r="D850" t="str">
            <v>null</v>
          </cell>
          <cell r="E850" t="str">
            <v/>
          </cell>
        </row>
        <row r="851">
          <cell r="B851" t="str">
            <v>null</v>
          </cell>
          <cell r="C851" t="str">
            <v>null</v>
          </cell>
          <cell r="D851" t="str">
            <v>null</v>
          </cell>
          <cell r="E851" t="str">
            <v/>
          </cell>
        </row>
        <row r="852">
          <cell r="B852" t="str">
            <v>null</v>
          </cell>
          <cell r="C852" t="str">
            <v>null</v>
          </cell>
          <cell r="D852" t="str">
            <v>null</v>
          </cell>
          <cell r="E852" t="str">
            <v/>
          </cell>
        </row>
        <row r="853">
          <cell r="B853" t="str">
            <v>null</v>
          </cell>
          <cell r="C853" t="str">
            <v>null</v>
          </cell>
          <cell r="D853" t="str">
            <v>null</v>
          </cell>
          <cell r="E853" t="str">
            <v/>
          </cell>
        </row>
        <row r="854">
          <cell r="B854" t="str">
            <v>null</v>
          </cell>
          <cell r="C854" t="str">
            <v>null</v>
          </cell>
          <cell r="D854" t="str">
            <v>null</v>
          </cell>
          <cell r="E854" t="str">
            <v/>
          </cell>
        </row>
        <row r="855">
          <cell r="B855" t="str">
            <v>null</v>
          </cell>
          <cell r="C855" t="str">
            <v>null</v>
          </cell>
          <cell r="D855" t="str">
            <v>null</v>
          </cell>
          <cell r="E855" t="str">
            <v/>
          </cell>
        </row>
        <row r="856">
          <cell r="B856" t="str">
            <v>null</v>
          </cell>
          <cell r="C856" t="str">
            <v>null</v>
          </cell>
          <cell r="D856" t="str">
            <v>null</v>
          </cell>
          <cell r="E856" t="str">
            <v/>
          </cell>
        </row>
        <row r="857">
          <cell r="B857" t="str">
            <v>null</v>
          </cell>
          <cell r="C857" t="str">
            <v>null</v>
          </cell>
          <cell r="D857" t="str">
            <v>null</v>
          </cell>
          <cell r="E857" t="str">
            <v/>
          </cell>
        </row>
        <row r="858">
          <cell r="B858" t="str">
            <v>null</v>
          </cell>
          <cell r="C858" t="str">
            <v>null</v>
          </cell>
          <cell r="D858" t="str">
            <v>null</v>
          </cell>
          <cell r="E858" t="str">
            <v/>
          </cell>
        </row>
        <row r="859">
          <cell r="B859" t="str">
            <v>null</v>
          </cell>
          <cell r="C859" t="str">
            <v>null</v>
          </cell>
          <cell r="D859" t="str">
            <v>null</v>
          </cell>
          <cell r="E859" t="str">
            <v/>
          </cell>
        </row>
        <row r="860">
          <cell r="B860" t="str">
            <v>null</v>
          </cell>
          <cell r="C860" t="str">
            <v>null</v>
          </cell>
          <cell r="D860" t="str">
            <v>null</v>
          </cell>
          <cell r="E860" t="str">
            <v/>
          </cell>
        </row>
        <row r="861">
          <cell r="B861" t="str">
            <v>null</v>
          </cell>
          <cell r="C861" t="str">
            <v>null</v>
          </cell>
          <cell r="D861" t="str">
            <v>null</v>
          </cell>
          <cell r="E861" t="str">
            <v/>
          </cell>
        </row>
        <row r="862">
          <cell r="B862" t="str">
            <v>null</v>
          </cell>
          <cell r="C862" t="str">
            <v>null</v>
          </cell>
          <cell r="D862" t="str">
            <v>null</v>
          </cell>
          <cell r="E862" t="str">
            <v/>
          </cell>
        </row>
        <row r="863">
          <cell r="B863" t="str">
            <v>null</v>
          </cell>
          <cell r="C863" t="str">
            <v>null</v>
          </cell>
          <cell r="D863" t="str">
            <v>null</v>
          </cell>
          <cell r="E863" t="str">
            <v/>
          </cell>
        </row>
        <row r="864">
          <cell r="B864" t="str">
            <v>null</v>
          </cell>
          <cell r="C864" t="str">
            <v>null</v>
          </cell>
          <cell r="D864" t="str">
            <v>null</v>
          </cell>
          <cell r="E864" t="str">
            <v/>
          </cell>
        </row>
        <row r="865">
          <cell r="B865" t="str">
            <v>null</v>
          </cell>
          <cell r="C865" t="str">
            <v>null</v>
          </cell>
          <cell r="D865" t="str">
            <v>null</v>
          </cell>
          <cell r="E865" t="str">
            <v/>
          </cell>
        </row>
        <row r="866">
          <cell r="B866" t="str">
            <v>null</v>
          </cell>
          <cell r="C866" t="str">
            <v>null</v>
          </cell>
          <cell r="D866" t="str">
            <v>null</v>
          </cell>
          <cell r="E866" t="str">
            <v/>
          </cell>
        </row>
        <row r="867">
          <cell r="B867" t="str">
            <v>null</v>
          </cell>
          <cell r="C867" t="str">
            <v>null</v>
          </cell>
          <cell r="D867" t="str">
            <v>null</v>
          </cell>
          <cell r="E867" t="str">
            <v/>
          </cell>
        </row>
        <row r="868">
          <cell r="B868" t="str">
            <v>null</v>
          </cell>
          <cell r="C868" t="str">
            <v>null</v>
          </cell>
          <cell r="D868" t="str">
            <v>null</v>
          </cell>
          <cell r="E868" t="str">
            <v/>
          </cell>
        </row>
        <row r="869">
          <cell r="B869" t="str">
            <v>null</v>
          </cell>
          <cell r="C869" t="str">
            <v>null</v>
          </cell>
          <cell r="D869" t="str">
            <v>null</v>
          </cell>
          <cell r="E869" t="str">
            <v/>
          </cell>
        </row>
        <row r="870">
          <cell r="B870" t="str">
            <v>null</v>
          </cell>
          <cell r="C870" t="str">
            <v>null</v>
          </cell>
          <cell r="D870" t="str">
            <v>null</v>
          </cell>
          <cell r="E870" t="str">
            <v/>
          </cell>
        </row>
        <row r="871">
          <cell r="B871" t="str">
            <v>null</v>
          </cell>
          <cell r="C871" t="str">
            <v>null</v>
          </cell>
          <cell r="D871" t="str">
            <v>null</v>
          </cell>
          <cell r="E871" t="str">
            <v/>
          </cell>
        </row>
        <row r="872">
          <cell r="B872" t="str">
            <v>null</v>
          </cell>
          <cell r="C872" t="str">
            <v>null</v>
          </cell>
          <cell r="D872" t="str">
            <v>null</v>
          </cell>
          <cell r="E872" t="str">
            <v/>
          </cell>
        </row>
        <row r="873">
          <cell r="B873" t="str">
            <v>null</v>
          </cell>
          <cell r="C873" t="str">
            <v>null</v>
          </cell>
          <cell r="D873" t="str">
            <v>null</v>
          </cell>
          <cell r="E873" t="str">
            <v/>
          </cell>
        </row>
        <row r="874">
          <cell r="B874" t="str">
            <v>null</v>
          </cell>
          <cell r="C874" t="str">
            <v>null</v>
          </cell>
          <cell r="D874" t="str">
            <v>null</v>
          </cell>
          <cell r="E874" t="str">
            <v/>
          </cell>
        </row>
        <row r="875">
          <cell r="B875" t="str">
            <v>null</v>
          </cell>
          <cell r="C875" t="str">
            <v>null</v>
          </cell>
          <cell r="D875" t="str">
            <v>null</v>
          </cell>
          <cell r="E875" t="str">
            <v/>
          </cell>
        </row>
        <row r="876">
          <cell r="B876" t="str">
            <v>null</v>
          </cell>
          <cell r="C876" t="str">
            <v>null</v>
          </cell>
          <cell r="D876" t="str">
            <v>null</v>
          </cell>
          <cell r="E876" t="str">
            <v/>
          </cell>
        </row>
        <row r="877">
          <cell r="B877" t="str">
            <v>null</v>
          </cell>
          <cell r="C877" t="str">
            <v>null</v>
          </cell>
          <cell r="D877" t="str">
            <v>null</v>
          </cell>
          <cell r="E877" t="str">
            <v/>
          </cell>
        </row>
        <row r="878">
          <cell r="B878" t="str">
            <v>null</v>
          </cell>
          <cell r="C878" t="str">
            <v>null</v>
          </cell>
          <cell r="D878" t="str">
            <v>null</v>
          </cell>
          <cell r="E878" t="str">
            <v/>
          </cell>
        </row>
        <row r="879">
          <cell r="B879" t="str">
            <v>null</v>
          </cell>
          <cell r="C879" t="str">
            <v>null</v>
          </cell>
          <cell r="D879" t="str">
            <v>null</v>
          </cell>
          <cell r="E879" t="str">
            <v/>
          </cell>
        </row>
        <row r="880">
          <cell r="B880" t="str">
            <v>null</v>
          </cell>
          <cell r="C880" t="str">
            <v>null</v>
          </cell>
          <cell r="D880" t="str">
            <v>null</v>
          </cell>
          <cell r="E880" t="str">
            <v/>
          </cell>
        </row>
        <row r="881">
          <cell r="B881" t="str">
            <v>null</v>
          </cell>
          <cell r="C881" t="str">
            <v>null</v>
          </cell>
          <cell r="D881" t="str">
            <v>null</v>
          </cell>
          <cell r="E881" t="str">
            <v/>
          </cell>
        </row>
        <row r="882">
          <cell r="B882" t="str">
            <v>null</v>
          </cell>
          <cell r="C882" t="str">
            <v>null</v>
          </cell>
          <cell r="D882" t="str">
            <v>null</v>
          </cell>
          <cell r="E882" t="str">
            <v/>
          </cell>
        </row>
        <row r="883">
          <cell r="B883" t="str">
            <v>null</v>
          </cell>
          <cell r="C883" t="str">
            <v>null</v>
          </cell>
          <cell r="D883" t="str">
            <v>null</v>
          </cell>
          <cell r="E883" t="str">
            <v/>
          </cell>
        </row>
        <row r="884">
          <cell r="B884" t="str">
            <v>null</v>
          </cell>
          <cell r="C884" t="str">
            <v>null</v>
          </cell>
          <cell r="D884" t="str">
            <v>null</v>
          </cell>
          <cell r="E884" t="str">
            <v/>
          </cell>
        </row>
        <row r="885">
          <cell r="B885" t="str">
            <v>null</v>
          </cell>
          <cell r="C885" t="str">
            <v>null</v>
          </cell>
          <cell r="D885" t="str">
            <v>null</v>
          </cell>
          <cell r="E885" t="str">
            <v/>
          </cell>
        </row>
        <row r="886">
          <cell r="B886" t="str">
            <v>null</v>
          </cell>
          <cell r="C886" t="str">
            <v>null</v>
          </cell>
          <cell r="D886" t="str">
            <v>null</v>
          </cell>
          <cell r="E886" t="str">
            <v/>
          </cell>
        </row>
        <row r="887">
          <cell r="B887" t="str">
            <v>null</v>
          </cell>
          <cell r="C887" t="str">
            <v>null</v>
          </cell>
          <cell r="D887" t="str">
            <v>null</v>
          </cell>
          <cell r="E887" t="str">
            <v/>
          </cell>
        </row>
        <row r="888">
          <cell r="B888" t="str">
            <v>null</v>
          </cell>
          <cell r="C888" t="str">
            <v>null</v>
          </cell>
          <cell r="D888" t="str">
            <v>null</v>
          </cell>
          <cell r="E888" t="str">
            <v/>
          </cell>
        </row>
        <row r="889">
          <cell r="B889" t="str">
            <v>null</v>
          </cell>
          <cell r="C889" t="str">
            <v>null</v>
          </cell>
          <cell r="D889" t="str">
            <v>null</v>
          </cell>
          <cell r="E889" t="str">
            <v/>
          </cell>
        </row>
        <row r="890">
          <cell r="B890" t="str">
            <v>null</v>
          </cell>
          <cell r="C890" t="str">
            <v>null</v>
          </cell>
          <cell r="D890" t="str">
            <v>null</v>
          </cell>
          <cell r="E890" t="str">
            <v/>
          </cell>
        </row>
        <row r="891">
          <cell r="B891" t="str">
            <v>null</v>
          </cell>
          <cell r="C891" t="str">
            <v>null</v>
          </cell>
          <cell r="D891" t="str">
            <v>null</v>
          </cell>
          <cell r="E891" t="str">
            <v/>
          </cell>
        </row>
        <row r="892">
          <cell r="B892" t="str">
            <v>null</v>
          </cell>
          <cell r="C892" t="str">
            <v>null</v>
          </cell>
          <cell r="D892" t="str">
            <v>null</v>
          </cell>
          <cell r="E892" t="str">
            <v/>
          </cell>
        </row>
        <row r="893">
          <cell r="B893" t="str">
            <v>null</v>
          </cell>
          <cell r="C893" t="str">
            <v>null</v>
          </cell>
          <cell r="D893" t="str">
            <v>null</v>
          </cell>
          <cell r="E893" t="str">
            <v/>
          </cell>
        </row>
        <row r="894">
          <cell r="B894" t="str">
            <v>null</v>
          </cell>
          <cell r="C894" t="str">
            <v>null</v>
          </cell>
          <cell r="D894" t="str">
            <v>null</v>
          </cell>
          <cell r="E894" t="str">
            <v/>
          </cell>
        </row>
        <row r="895">
          <cell r="B895" t="str">
            <v>null</v>
          </cell>
          <cell r="C895" t="str">
            <v>null</v>
          </cell>
          <cell r="D895" t="str">
            <v>null</v>
          </cell>
          <cell r="E895" t="str">
            <v/>
          </cell>
        </row>
        <row r="896">
          <cell r="B896" t="str">
            <v>null</v>
          </cell>
          <cell r="C896" t="str">
            <v>null</v>
          </cell>
          <cell r="D896" t="str">
            <v>null</v>
          </cell>
          <cell r="E896" t="str">
            <v/>
          </cell>
        </row>
        <row r="897">
          <cell r="B897" t="str">
            <v>null</v>
          </cell>
          <cell r="C897" t="str">
            <v>null</v>
          </cell>
          <cell r="D897" t="str">
            <v>null</v>
          </cell>
          <cell r="E897" t="str">
            <v/>
          </cell>
        </row>
        <row r="898">
          <cell r="B898" t="str">
            <v>null</v>
          </cell>
          <cell r="C898" t="str">
            <v>null</v>
          </cell>
          <cell r="D898" t="str">
            <v>null</v>
          </cell>
          <cell r="E898" t="str">
            <v/>
          </cell>
        </row>
        <row r="899">
          <cell r="B899" t="str">
            <v>null</v>
          </cell>
          <cell r="C899" t="str">
            <v>null</v>
          </cell>
          <cell r="D899" t="str">
            <v>null</v>
          </cell>
          <cell r="E899" t="str">
            <v/>
          </cell>
        </row>
        <row r="900">
          <cell r="B900" t="str">
            <v>null</v>
          </cell>
          <cell r="C900" t="str">
            <v>null</v>
          </cell>
          <cell r="D900" t="str">
            <v>null</v>
          </cell>
          <cell r="E900" t="str">
            <v/>
          </cell>
        </row>
        <row r="901">
          <cell r="B901" t="str">
            <v>null</v>
          </cell>
          <cell r="C901" t="str">
            <v>null</v>
          </cell>
          <cell r="D901" t="str">
            <v>null</v>
          </cell>
          <cell r="E901" t="str">
            <v/>
          </cell>
        </row>
        <row r="902">
          <cell r="B902" t="str">
            <v>null</v>
          </cell>
          <cell r="C902" t="str">
            <v>null</v>
          </cell>
          <cell r="D902" t="str">
            <v>null</v>
          </cell>
          <cell r="E902" t="str">
            <v/>
          </cell>
        </row>
        <row r="903">
          <cell r="B903" t="str">
            <v>null</v>
          </cell>
          <cell r="C903" t="str">
            <v>null</v>
          </cell>
          <cell r="D903" t="str">
            <v>null</v>
          </cell>
          <cell r="E903" t="str">
            <v/>
          </cell>
        </row>
        <row r="904">
          <cell r="B904" t="str">
            <v>null</v>
          </cell>
          <cell r="C904" t="str">
            <v>null</v>
          </cell>
          <cell r="D904" t="str">
            <v>null</v>
          </cell>
          <cell r="E904" t="str">
            <v/>
          </cell>
        </row>
        <row r="905">
          <cell r="B905" t="str">
            <v>null</v>
          </cell>
          <cell r="C905" t="str">
            <v>null</v>
          </cell>
          <cell r="D905" t="str">
            <v>null</v>
          </cell>
          <cell r="E905" t="str">
            <v/>
          </cell>
        </row>
        <row r="906">
          <cell r="B906" t="str">
            <v>null</v>
          </cell>
          <cell r="C906" t="str">
            <v>null</v>
          </cell>
          <cell r="D906" t="str">
            <v>null</v>
          </cell>
          <cell r="E906" t="str">
            <v/>
          </cell>
        </row>
        <row r="907">
          <cell r="B907" t="str">
            <v>null</v>
          </cell>
          <cell r="C907" t="str">
            <v>null</v>
          </cell>
          <cell r="D907" t="str">
            <v>null</v>
          </cell>
          <cell r="E907" t="str">
            <v/>
          </cell>
        </row>
        <row r="908">
          <cell r="B908" t="str">
            <v>null</v>
          </cell>
          <cell r="C908" t="str">
            <v>null</v>
          </cell>
          <cell r="D908" t="str">
            <v>null</v>
          </cell>
          <cell r="E908" t="str">
            <v/>
          </cell>
        </row>
        <row r="909">
          <cell r="B909" t="str">
            <v>null</v>
          </cell>
          <cell r="C909" t="str">
            <v>null</v>
          </cell>
          <cell r="D909" t="str">
            <v>null</v>
          </cell>
          <cell r="E909" t="str">
            <v/>
          </cell>
        </row>
        <row r="910">
          <cell r="B910" t="str">
            <v>null</v>
          </cell>
          <cell r="C910" t="str">
            <v>null</v>
          </cell>
          <cell r="D910" t="str">
            <v>null</v>
          </cell>
          <cell r="E910" t="str">
            <v/>
          </cell>
        </row>
        <row r="911">
          <cell r="B911" t="str">
            <v>null</v>
          </cell>
          <cell r="C911" t="str">
            <v>null</v>
          </cell>
          <cell r="D911" t="str">
            <v>null</v>
          </cell>
          <cell r="E911" t="str">
            <v/>
          </cell>
        </row>
        <row r="912">
          <cell r="B912" t="str">
            <v>null</v>
          </cell>
          <cell r="C912" t="str">
            <v>null</v>
          </cell>
          <cell r="D912" t="str">
            <v>null</v>
          </cell>
          <cell r="E912" t="str">
            <v/>
          </cell>
        </row>
        <row r="913">
          <cell r="B913" t="str">
            <v>null</v>
          </cell>
          <cell r="C913" t="str">
            <v>null</v>
          </cell>
          <cell r="D913" t="str">
            <v>null</v>
          </cell>
          <cell r="E913" t="str">
            <v/>
          </cell>
        </row>
        <row r="914">
          <cell r="B914" t="str">
            <v>null</v>
          </cell>
          <cell r="C914" t="str">
            <v>null</v>
          </cell>
          <cell r="D914" t="str">
            <v>null</v>
          </cell>
          <cell r="E914" t="str">
            <v/>
          </cell>
        </row>
        <row r="915">
          <cell r="B915" t="str">
            <v>null</v>
          </cell>
          <cell r="C915" t="str">
            <v>null</v>
          </cell>
          <cell r="D915" t="str">
            <v>null</v>
          </cell>
          <cell r="E915" t="str">
            <v/>
          </cell>
        </row>
        <row r="916">
          <cell r="B916" t="str">
            <v>null</v>
          </cell>
          <cell r="C916" t="str">
            <v>null</v>
          </cell>
          <cell r="D916" t="str">
            <v>null</v>
          </cell>
          <cell r="E916" t="str">
            <v/>
          </cell>
        </row>
        <row r="917">
          <cell r="B917" t="str">
            <v>null</v>
          </cell>
          <cell r="C917" t="str">
            <v>null</v>
          </cell>
          <cell r="D917" t="str">
            <v>null</v>
          </cell>
          <cell r="E917" t="str">
            <v/>
          </cell>
        </row>
        <row r="918">
          <cell r="B918" t="str">
            <v>null</v>
          </cell>
          <cell r="C918" t="str">
            <v>null</v>
          </cell>
          <cell r="D918" t="str">
            <v>null</v>
          </cell>
          <cell r="E918" t="str">
            <v/>
          </cell>
        </row>
        <row r="919">
          <cell r="B919" t="str">
            <v>null</v>
          </cell>
          <cell r="C919" t="str">
            <v>null</v>
          </cell>
          <cell r="D919" t="str">
            <v>null</v>
          </cell>
          <cell r="E919" t="str">
            <v/>
          </cell>
        </row>
        <row r="920">
          <cell r="B920" t="str">
            <v>null</v>
          </cell>
          <cell r="C920" t="str">
            <v>null</v>
          </cell>
          <cell r="D920" t="str">
            <v>null</v>
          </cell>
          <cell r="E920" t="str">
            <v/>
          </cell>
        </row>
        <row r="921">
          <cell r="B921" t="str">
            <v>null</v>
          </cell>
          <cell r="C921" t="str">
            <v>null</v>
          </cell>
          <cell r="D921" t="str">
            <v>null</v>
          </cell>
          <cell r="E921" t="str">
            <v/>
          </cell>
        </row>
        <row r="922">
          <cell r="B922" t="str">
            <v>null</v>
          </cell>
          <cell r="C922" t="str">
            <v>null</v>
          </cell>
          <cell r="D922" t="str">
            <v>null</v>
          </cell>
          <cell r="E922" t="str">
            <v/>
          </cell>
        </row>
        <row r="923">
          <cell r="B923" t="str">
            <v>null</v>
          </cell>
          <cell r="C923" t="str">
            <v>null</v>
          </cell>
          <cell r="D923" t="str">
            <v>null</v>
          </cell>
          <cell r="E923" t="str">
            <v/>
          </cell>
        </row>
        <row r="924">
          <cell r="B924" t="str">
            <v>null</v>
          </cell>
          <cell r="C924" t="str">
            <v>null</v>
          </cell>
          <cell r="D924" t="str">
            <v>null</v>
          </cell>
          <cell r="E924" t="str">
            <v/>
          </cell>
        </row>
        <row r="925">
          <cell r="B925" t="str">
            <v>null</v>
          </cell>
          <cell r="C925" t="str">
            <v>null</v>
          </cell>
          <cell r="D925" t="str">
            <v>null</v>
          </cell>
          <cell r="E925" t="str">
            <v/>
          </cell>
        </row>
        <row r="926">
          <cell r="B926" t="str">
            <v>null</v>
          </cell>
          <cell r="C926" t="str">
            <v>null</v>
          </cell>
          <cell r="D926" t="str">
            <v>null</v>
          </cell>
          <cell r="E926" t="str">
            <v/>
          </cell>
        </row>
        <row r="927">
          <cell r="B927" t="str">
            <v>null</v>
          </cell>
          <cell r="C927" t="str">
            <v>null</v>
          </cell>
          <cell r="D927" t="str">
            <v>null</v>
          </cell>
          <cell r="E927" t="str">
            <v/>
          </cell>
        </row>
        <row r="928">
          <cell r="B928" t="str">
            <v>null</v>
          </cell>
          <cell r="C928" t="str">
            <v>null</v>
          </cell>
          <cell r="D928" t="str">
            <v>null</v>
          </cell>
          <cell r="E928" t="str">
            <v/>
          </cell>
        </row>
        <row r="929">
          <cell r="B929" t="str">
            <v>null</v>
          </cell>
          <cell r="C929" t="str">
            <v>null</v>
          </cell>
          <cell r="D929" t="str">
            <v>null</v>
          </cell>
          <cell r="E929" t="str">
            <v/>
          </cell>
        </row>
        <row r="930">
          <cell r="B930" t="str">
            <v>null</v>
          </cell>
          <cell r="C930" t="str">
            <v>null</v>
          </cell>
          <cell r="D930" t="str">
            <v>null</v>
          </cell>
          <cell r="E930" t="str">
            <v/>
          </cell>
        </row>
        <row r="931">
          <cell r="B931" t="str">
            <v>null</v>
          </cell>
          <cell r="C931" t="str">
            <v>null</v>
          </cell>
          <cell r="D931" t="str">
            <v>null</v>
          </cell>
          <cell r="E931" t="str">
            <v/>
          </cell>
        </row>
        <row r="932">
          <cell r="B932" t="str">
            <v>null</v>
          </cell>
          <cell r="C932" t="str">
            <v>null</v>
          </cell>
          <cell r="D932" t="str">
            <v>null</v>
          </cell>
          <cell r="E932" t="str">
            <v/>
          </cell>
        </row>
        <row r="933">
          <cell r="B933" t="str">
            <v>null</v>
          </cell>
          <cell r="C933" t="str">
            <v>null</v>
          </cell>
          <cell r="D933" t="str">
            <v>null</v>
          </cell>
          <cell r="E933" t="str">
            <v/>
          </cell>
        </row>
        <row r="934">
          <cell r="B934" t="str">
            <v>null</v>
          </cell>
          <cell r="C934" t="str">
            <v>null</v>
          </cell>
          <cell r="D934" t="str">
            <v>null</v>
          </cell>
          <cell r="E934" t="str">
            <v/>
          </cell>
        </row>
        <row r="935">
          <cell r="B935" t="str">
            <v>null</v>
          </cell>
          <cell r="C935" t="str">
            <v>null</v>
          </cell>
          <cell r="D935" t="str">
            <v>null</v>
          </cell>
          <cell r="E935" t="str">
            <v/>
          </cell>
        </row>
        <row r="936">
          <cell r="B936" t="str">
            <v>null</v>
          </cell>
          <cell r="C936" t="str">
            <v>null</v>
          </cell>
          <cell r="D936" t="str">
            <v>null</v>
          </cell>
          <cell r="E936" t="str">
            <v/>
          </cell>
        </row>
        <row r="937">
          <cell r="B937" t="str">
            <v>null</v>
          </cell>
          <cell r="C937" t="str">
            <v>null</v>
          </cell>
          <cell r="D937" t="str">
            <v>null</v>
          </cell>
          <cell r="E937" t="str">
            <v/>
          </cell>
        </row>
        <row r="938">
          <cell r="B938" t="str">
            <v>null</v>
          </cell>
          <cell r="C938" t="str">
            <v>null</v>
          </cell>
          <cell r="D938" t="str">
            <v>null</v>
          </cell>
          <cell r="E938" t="str">
            <v/>
          </cell>
        </row>
        <row r="939">
          <cell r="B939" t="str">
            <v>null</v>
          </cell>
          <cell r="C939" t="str">
            <v>null</v>
          </cell>
          <cell r="D939" t="str">
            <v>null</v>
          </cell>
          <cell r="E939" t="str">
            <v/>
          </cell>
        </row>
        <row r="940">
          <cell r="B940" t="str">
            <v>null</v>
          </cell>
          <cell r="C940" t="str">
            <v>null</v>
          </cell>
          <cell r="D940" t="str">
            <v>null</v>
          </cell>
          <cell r="E940" t="str">
            <v/>
          </cell>
        </row>
        <row r="941">
          <cell r="B941" t="str">
            <v>null</v>
          </cell>
          <cell r="C941" t="str">
            <v>null</v>
          </cell>
          <cell r="D941" t="str">
            <v>null</v>
          </cell>
          <cell r="E941" t="str">
            <v/>
          </cell>
        </row>
        <row r="942">
          <cell r="B942" t="str">
            <v>null</v>
          </cell>
          <cell r="C942" t="str">
            <v>null</v>
          </cell>
          <cell r="D942" t="str">
            <v>null</v>
          </cell>
          <cell r="E942" t="str">
            <v/>
          </cell>
        </row>
        <row r="943">
          <cell r="B943" t="str">
            <v>null</v>
          </cell>
          <cell r="C943" t="str">
            <v>null</v>
          </cell>
          <cell r="D943" t="str">
            <v>null</v>
          </cell>
          <cell r="E943" t="str">
            <v/>
          </cell>
        </row>
        <row r="944">
          <cell r="B944" t="str">
            <v>null</v>
          </cell>
          <cell r="C944" t="str">
            <v>null</v>
          </cell>
          <cell r="D944" t="str">
            <v>null</v>
          </cell>
          <cell r="E944" t="str">
            <v/>
          </cell>
        </row>
        <row r="945">
          <cell r="B945" t="str">
            <v>null</v>
          </cell>
          <cell r="C945" t="str">
            <v>null</v>
          </cell>
          <cell r="D945" t="str">
            <v>null</v>
          </cell>
          <cell r="E945" t="str">
            <v/>
          </cell>
        </row>
        <row r="946">
          <cell r="B946" t="str">
            <v>null</v>
          </cell>
          <cell r="C946" t="str">
            <v>null</v>
          </cell>
          <cell r="D946" t="str">
            <v>null</v>
          </cell>
          <cell r="E946" t="str">
            <v/>
          </cell>
        </row>
        <row r="947">
          <cell r="B947" t="str">
            <v>null</v>
          </cell>
          <cell r="C947" t="str">
            <v>null</v>
          </cell>
          <cell r="D947" t="str">
            <v>null</v>
          </cell>
          <cell r="E947" t="str">
            <v/>
          </cell>
        </row>
        <row r="948">
          <cell r="B948" t="str">
            <v>null</v>
          </cell>
          <cell r="C948" t="str">
            <v>null</v>
          </cell>
          <cell r="D948" t="str">
            <v>null</v>
          </cell>
          <cell r="E948" t="str">
            <v/>
          </cell>
        </row>
        <row r="949">
          <cell r="B949" t="str">
            <v>null</v>
          </cell>
          <cell r="C949" t="str">
            <v>null</v>
          </cell>
          <cell r="D949" t="str">
            <v>null</v>
          </cell>
          <cell r="E949" t="str">
            <v/>
          </cell>
        </row>
        <row r="950">
          <cell r="B950" t="str">
            <v>null</v>
          </cell>
          <cell r="C950" t="str">
            <v>null</v>
          </cell>
          <cell r="D950" t="str">
            <v>null</v>
          </cell>
          <cell r="E950" t="str">
            <v/>
          </cell>
        </row>
        <row r="951">
          <cell r="B951" t="str">
            <v>null</v>
          </cell>
          <cell r="C951" t="str">
            <v>null</v>
          </cell>
          <cell r="D951" t="str">
            <v>null</v>
          </cell>
          <cell r="E951" t="str">
            <v/>
          </cell>
        </row>
        <row r="952">
          <cell r="B952" t="str">
            <v>null</v>
          </cell>
          <cell r="C952" t="str">
            <v>null</v>
          </cell>
          <cell r="D952" t="str">
            <v>null</v>
          </cell>
          <cell r="E952" t="str">
            <v/>
          </cell>
        </row>
        <row r="953">
          <cell r="B953" t="str">
            <v>null</v>
          </cell>
          <cell r="C953" t="str">
            <v>null</v>
          </cell>
          <cell r="D953" t="str">
            <v>null</v>
          </cell>
          <cell r="E953" t="str">
            <v/>
          </cell>
        </row>
        <row r="954">
          <cell r="B954" t="str">
            <v>null</v>
          </cell>
          <cell r="C954" t="str">
            <v>null</v>
          </cell>
          <cell r="D954" t="str">
            <v>null</v>
          </cell>
          <cell r="E954" t="str">
            <v/>
          </cell>
        </row>
        <row r="955">
          <cell r="B955" t="str">
            <v>null</v>
          </cell>
          <cell r="C955" t="str">
            <v>null</v>
          </cell>
          <cell r="D955" t="str">
            <v>null</v>
          </cell>
          <cell r="E955" t="str">
            <v/>
          </cell>
        </row>
        <row r="956">
          <cell r="B956" t="str">
            <v>null</v>
          </cell>
          <cell r="C956" t="str">
            <v>null</v>
          </cell>
          <cell r="D956" t="str">
            <v>null</v>
          </cell>
          <cell r="E956" t="str">
            <v/>
          </cell>
        </row>
        <row r="957">
          <cell r="B957" t="str">
            <v>null</v>
          </cell>
          <cell r="C957" t="str">
            <v>null</v>
          </cell>
          <cell r="D957" t="str">
            <v>null</v>
          </cell>
          <cell r="E957" t="str">
            <v/>
          </cell>
        </row>
        <row r="958">
          <cell r="B958" t="str">
            <v>null</v>
          </cell>
          <cell r="C958" t="str">
            <v>null</v>
          </cell>
          <cell r="D958" t="str">
            <v>null</v>
          </cell>
          <cell r="E958" t="str">
            <v/>
          </cell>
        </row>
        <row r="959">
          <cell r="B959" t="str">
            <v>null</v>
          </cell>
          <cell r="C959" t="str">
            <v>null</v>
          </cell>
          <cell r="D959" t="str">
            <v>null</v>
          </cell>
          <cell r="E959" t="str">
            <v/>
          </cell>
        </row>
        <row r="960">
          <cell r="B960" t="str">
            <v>null</v>
          </cell>
          <cell r="C960" t="str">
            <v>null</v>
          </cell>
          <cell r="D960" t="str">
            <v>null</v>
          </cell>
          <cell r="E960" t="str">
            <v/>
          </cell>
        </row>
        <row r="961">
          <cell r="B961" t="str">
            <v>null</v>
          </cell>
          <cell r="C961" t="str">
            <v>null</v>
          </cell>
          <cell r="D961" t="str">
            <v>null</v>
          </cell>
          <cell r="E961" t="str">
            <v/>
          </cell>
        </row>
        <row r="962">
          <cell r="B962" t="str">
            <v>null</v>
          </cell>
          <cell r="C962" t="str">
            <v>null</v>
          </cell>
          <cell r="D962" t="str">
            <v>null</v>
          </cell>
          <cell r="E962" t="str">
            <v/>
          </cell>
        </row>
        <row r="963">
          <cell r="B963" t="str">
            <v>null</v>
          </cell>
          <cell r="C963" t="str">
            <v>null</v>
          </cell>
          <cell r="D963" t="str">
            <v>null</v>
          </cell>
          <cell r="E963" t="str">
            <v/>
          </cell>
        </row>
        <row r="964">
          <cell r="B964" t="str">
            <v>null</v>
          </cell>
          <cell r="C964" t="str">
            <v>null</v>
          </cell>
          <cell r="D964" t="str">
            <v>null</v>
          </cell>
          <cell r="E964" t="str">
            <v/>
          </cell>
        </row>
        <row r="965">
          <cell r="B965" t="str">
            <v>null</v>
          </cell>
          <cell r="C965" t="str">
            <v>null</v>
          </cell>
          <cell r="D965" t="str">
            <v>null</v>
          </cell>
          <cell r="E965" t="str">
            <v/>
          </cell>
        </row>
        <row r="966">
          <cell r="B966" t="str">
            <v>null</v>
          </cell>
          <cell r="C966" t="str">
            <v>null</v>
          </cell>
          <cell r="D966" t="str">
            <v>null</v>
          </cell>
          <cell r="E966" t="str">
            <v/>
          </cell>
        </row>
        <row r="967">
          <cell r="B967" t="str">
            <v>null</v>
          </cell>
          <cell r="C967" t="str">
            <v>null</v>
          </cell>
          <cell r="D967" t="str">
            <v>null</v>
          </cell>
          <cell r="E967" t="str">
            <v/>
          </cell>
        </row>
        <row r="968">
          <cell r="B968" t="str">
            <v>null</v>
          </cell>
          <cell r="C968" t="str">
            <v>null</v>
          </cell>
          <cell r="D968" t="str">
            <v>null</v>
          </cell>
          <cell r="E968" t="str">
            <v/>
          </cell>
        </row>
        <row r="969">
          <cell r="B969" t="str">
            <v>null</v>
          </cell>
          <cell r="C969" t="str">
            <v>null</v>
          </cell>
          <cell r="D969" t="str">
            <v>null</v>
          </cell>
          <cell r="E969" t="str">
            <v/>
          </cell>
        </row>
        <row r="970">
          <cell r="B970" t="str">
            <v>null</v>
          </cell>
          <cell r="C970" t="str">
            <v>null</v>
          </cell>
          <cell r="D970" t="str">
            <v>null</v>
          </cell>
          <cell r="E970" t="str">
            <v/>
          </cell>
        </row>
        <row r="971">
          <cell r="B971" t="str">
            <v>null</v>
          </cell>
          <cell r="C971" t="str">
            <v>null</v>
          </cell>
          <cell r="D971" t="str">
            <v>null</v>
          </cell>
          <cell r="E971" t="str">
            <v/>
          </cell>
        </row>
        <row r="972">
          <cell r="B972" t="str">
            <v>null</v>
          </cell>
          <cell r="C972" t="str">
            <v>null</v>
          </cell>
          <cell r="D972" t="str">
            <v>null</v>
          </cell>
          <cell r="E972" t="str">
            <v/>
          </cell>
        </row>
        <row r="973">
          <cell r="B973" t="str">
            <v>null</v>
          </cell>
          <cell r="C973" t="str">
            <v>null</v>
          </cell>
          <cell r="D973" t="str">
            <v>null</v>
          </cell>
          <cell r="E973" t="str">
            <v/>
          </cell>
        </row>
        <row r="974">
          <cell r="B974" t="str">
            <v>null</v>
          </cell>
          <cell r="C974" t="str">
            <v>null</v>
          </cell>
          <cell r="D974" t="str">
            <v>null</v>
          </cell>
          <cell r="E974" t="str">
            <v/>
          </cell>
        </row>
        <row r="975">
          <cell r="B975" t="str">
            <v>null</v>
          </cell>
          <cell r="C975" t="str">
            <v>null</v>
          </cell>
          <cell r="D975" t="str">
            <v>null</v>
          </cell>
          <cell r="E975" t="str">
            <v/>
          </cell>
        </row>
        <row r="976">
          <cell r="B976" t="str">
            <v>null</v>
          </cell>
          <cell r="C976" t="str">
            <v>null</v>
          </cell>
          <cell r="D976" t="str">
            <v>null</v>
          </cell>
          <cell r="E976" t="str">
            <v/>
          </cell>
        </row>
        <row r="977">
          <cell r="B977" t="str">
            <v>null</v>
          </cell>
          <cell r="C977" t="str">
            <v>null</v>
          </cell>
          <cell r="D977" t="str">
            <v>null</v>
          </cell>
          <cell r="E977" t="str">
            <v/>
          </cell>
        </row>
        <row r="978">
          <cell r="B978" t="str">
            <v>null</v>
          </cell>
          <cell r="C978" t="str">
            <v>null</v>
          </cell>
          <cell r="D978" t="str">
            <v>null</v>
          </cell>
          <cell r="E978" t="str">
            <v/>
          </cell>
        </row>
        <row r="979">
          <cell r="B979" t="str">
            <v>null</v>
          </cell>
          <cell r="C979" t="str">
            <v>null</v>
          </cell>
          <cell r="D979" t="str">
            <v>null</v>
          </cell>
          <cell r="E979" t="str">
            <v/>
          </cell>
        </row>
        <row r="980">
          <cell r="B980" t="str">
            <v>null</v>
          </cell>
          <cell r="C980" t="str">
            <v>null</v>
          </cell>
          <cell r="D980" t="str">
            <v>null</v>
          </cell>
          <cell r="E980" t="str">
            <v/>
          </cell>
        </row>
        <row r="981">
          <cell r="B981" t="str">
            <v>null</v>
          </cell>
          <cell r="C981" t="str">
            <v>null</v>
          </cell>
          <cell r="D981" t="str">
            <v>null</v>
          </cell>
          <cell r="E981" t="str">
            <v/>
          </cell>
        </row>
        <row r="982">
          <cell r="B982" t="str">
            <v>null</v>
          </cell>
          <cell r="C982" t="str">
            <v>null</v>
          </cell>
          <cell r="D982" t="str">
            <v>null</v>
          </cell>
          <cell r="E982" t="str">
            <v/>
          </cell>
        </row>
        <row r="983">
          <cell r="B983" t="str">
            <v>null</v>
          </cell>
          <cell r="C983" t="str">
            <v>null</v>
          </cell>
          <cell r="D983" t="str">
            <v>null</v>
          </cell>
          <cell r="E983" t="str">
            <v/>
          </cell>
        </row>
        <row r="984">
          <cell r="B984" t="str">
            <v>null</v>
          </cell>
          <cell r="C984" t="str">
            <v>null</v>
          </cell>
          <cell r="D984" t="str">
            <v>null</v>
          </cell>
          <cell r="E984" t="str">
            <v/>
          </cell>
        </row>
        <row r="985">
          <cell r="B985" t="str">
            <v>null</v>
          </cell>
          <cell r="C985" t="str">
            <v>null</v>
          </cell>
          <cell r="D985" t="str">
            <v>null</v>
          </cell>
          <cell r="E985" t="str">
            <v/>
          </cell>
        </row>
        <row r="986">
          <cell r="B986" t="str">
            <v>null</v>
          </cell>
          <cell r="C986" t="str">
            <v>null</v>
          </cell>
          <cell r="D986" t="str">
            <v>null</v>
          </cell>
          <cell r="E986" t="str">
            <v/>
          </cell>
        </row>
        <row r="987">
          <cell r="B987" t="str">
            <v>null</v>
          </cell>
          <cell r="C987" t="str">
            <v>null</v>
          </cell>
          <cell r="D987" t="str">
            <v>null</v>
          </cell>
          <cell r="E987" t="str">
            <v/>
          </cell>
        </row>
        <row r="988">
          <cell r="B988" t="str">
            <v>null</v>
          </cell>
          <cell r="C988" t="str">
            <v>null</v>
          </cell>
          <cell r="D988" t="str">
            <v>null</v>
          </cell>
          <cell r="E988" t="str">
            <v/>
          </cell>
        </row>
        <row r="989">
          <cell r="B989" t="str">
            <v>null</v>
          </cell>
          <cell r="C989" t="str">
            <v>null</v>
          </cell>
          <cell r="D989" t="str">
            <v>null</v>
          </cell>
          <cell r="E989" t="str">
            <v/>
          </cell>
        </row>
        <row r="990">
          <cell r="B990" t="str">
            <v>null</v>
          </cell>
          <cell r="C990" t="str">
            <v>null</v>
          </cell>
          <cell r="D990" t="str">
            <v>null</v>
          </cell>
          <cell r="E990" t="str">
            <v/>
          </cell>
        </row>
        <row r="991">
          <cell r="B991" t="str">
            <v>null</v>
          </cell>
          <cell r="C991" t="str">
            <v>null</v>
          </cell>
          <cell r="D991" t="str">
            <v>null</v>
          </cell>
          <cell r="E991" t="str">
            <v/>
          </cell>
        </row>
        <row r="992">
          <cell r="B992" t="str">
            <v>null</v>
          </cell>
          <cell r="C992" t="str">
            <v>null</v>
          </cell>
          <cell r="D992" t="str">
            <v>null</v>
          </cell>
          <cell r="E992" t="str">
            <v/>
          </cell>
        </row>
        <row r="993">
          <cell r="B993" t="str">
            <v>null</v>
          </cell>
          <cell r="C993" t="str">
            <v>null</v>
          </cell>
          <cell r="D993" t="str">
            <v>null</v>
          </cell>
          <cell r="E993" t="str">
            <v/>
          </cell>
        </row>
        <row r="994">
          <cell r="B994" t="str">
            <v>null</v>
          </cell>
          <cell r="C994" t="str">
            <v>null</v>
          </cell>
          <cell r="D994" t="str">
            <v>null</v>
          </cell>
          <cell r="E994" t="str">
            <v/>
          </cell>
        </row>
        <row r="995">
          <cell r="B995" t="str">
            <v>null</v>
          </cell>
          <cell r="C995" t="str">
            <v>null</v>
          </cell>
          <cell r="D995" t="str">
            <v>null</v>
          </cell>
          <cell r="E995" t="str">
            <v/>
          </cell>
        </row>
        <row r="996">
          <cell r="B996" t="str">
            <v>null</v>
          </cell>
          <cell r="C996" t="str">
            <v>null</v>
          </cell>
          <cell r="D996" t="str">
            <v>null</v>
          </cell>
          <cell r="E996" t="str">
            <v/>
          </cell>
        </row>
        <row r="997">
          <cell r="B997" t="str">
            <v>null</v>
          </cell>
          <cell r="C997" t="str">
            <v>null</v>
          </cell>
          <cell r="D997" t="str">
            <v>null</v>
          </cell>
          <cell r="E997" t="str">
            <v/>
          </cell>
        </row>
        <row r="998">
          <cell r="B998" t="str">
            <v>null</v>
          </cell>
          <cell r="C998" t="str">
            <v>null</v>
          </cell>
          <cell r="D998" t="str">
            <v>null</v>
          </cell>
          <cell r="E998" t="str">
            <v/>
          </cell>
        </row>
      </sheetData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3AC654-509F-47C9-8843-1BB1239B3106}" name="ScoutingData" displayName="ScoutingData" ref="A1:H999" totalsRowShown="0">
  <autoFilter ref="A1:H999" xr:uid="{583AC654-509F-47C9-8843-1BB1239B3106}"/>
  <sortState xmlns:xlrd2="http://schemas.microsoft.com/office/spreadsheetml/2017/richdata2" ref="A2:H999">
    <sortCondition descending="1" ref="A1:A999"/>
  </sortState>
  <tableColumns count="8">
    <tableColumn id="2" xr3:uid="{84F87752-1146-4156-A2E1-C5DE92AA5450}" name="teamNumber" dataDxfId="15">
      <calculatedColumnFormula>IF(ISBLANK([1]!ScoutingData[[#This Row],[teamNumber]]),"",[1]!ScoutingData[[#This Row],[teamNumber]])</calculatedColumnFormula>
    </tableColumn>
    <tableColumn id="3" xr3:uid="{CCDD5E79-2BFD-4176-A551-470ABE0EAA14}" name="matchLevel" dataDxfId="14">
      <calculatedColumnFormula>IF(ISBLANK([1]!ScoutingData[[#This Row],[matchLevel]]),"",[1]!ScoutingData[[#This Row],[matchLevel]])</calculatedColumnFormula>
    </tableColumn>
    <tableColumn id="4" xr3:uid="{51BABF6A-42DB-498F-8747-C6AA3009A96D}" name="matchNumber" dataDxfId="13">
      <calculatedColumnFormula>IF(ISBLANK([1]!ScoutingData[[#This Row],[matchNumber]]),"",[1]!ScoutingData[[#This Row],[matchNumber]])</calculatedColumnFormula>
    </tableColumn>
    <tableColumn id="6" xr3:uid="{BAE9B3CF-EAC0-4A47-AF50-2C8F588AC73B}" name="event" dataDxfId="12">
      <calculatedColumnFormula>IF(ISBLANK([1]!ScoutingData[[#This Row],[event]]),"",[1]!ScoutingData[[#This Row],[event]])</calculatedColumnFormula>
    </tableColumn>
    <tableColumn id="7" xr3:uid="{5A14423E-5C79-4001-B242-B8C26783F59A}" name="position" dataDxfId="11">
      <calculatedColumnFormula>IF(ISBLANK([1]!ScoutingData[[#This Row],[position]]),"",[1]!ScoutingData[[#This Row],[position]])</calculatedColumnFormula>
    </tableColumn>
    <tableColumn id="9" xr3:uid="{0116CB6A-7611-4C67-AAFC-5036151D1B82}" name="leaveStartingZone" dataDxfId="10">
      <calculatedColumnFormula>IF(ISBLANK([1]!ScoutingData[[#This Row],[leaveStartingZone]]),"",[1]!ScoutingData[[#This Row],[leaveStartingZone]])</calculatedColumnFormula>
    </tableColumn>
    <tableColumn id="10" xr3:uid="{B6C83D4B-1204-4EB7-983E-5E411B19EB0E}" name="autoAmpScore" dataDxfId="9">
      <calculatedColumnFormula>IF(ISBLANK([1]!ScoutingData[[#This Row],[autoAmpScore]]),"",[1]!ScoutingData[[#This Row],[autoAmpScore]])</calculatedColumnFormula>
    </tableColumn>
    <tableColumn id="11" xr3:uid="{B5142DAA-43D7-413C-9D24-346205E3609B}" name="autoSpeakerScore" dataDxfId="8">
      <calculatedColumnFormula>IF(ISBLANK([1]!ScoutingData[[#This Row],[autoSpeakerScore]]),"",[1]!ScoutingData[[#This Row],[autoSpeakerScore]])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694C4B-EB94-48D2-8EEC-8321B65C0BC8}" name="pitData" displayName="pitData" ref="A1:H500" totalsRowShown="0">
  <autoFilter ref="A1:H500" xr:uid="{1D694C4B-EB94-48D2-8EEC-8321B65C0BC8}"/>
  <tableColumns count="8">
    <tableColumn id="1" xr3:uid="{352258E1-42DD-4E15-A4DD-4A641FE58FA5}" name="teamNumber" dataDxfId="7">
      <calculatedColumnFormula>IF(ISBLANK([1]PitScoutingInfo!A2),"",[1]PitScoutingInfo!A2)</calculatedColumnFormula>
    </tableColumn>
    <tableColumn id="27" xr3:uid="{EF4002E0-A008-468E-AA7E-AEFF7AECABAC}" name="robotName" dataDxfId="6">
      <calculatedColumnFormula>IF(ISBLANK([1]PitScoutingInfo!B2),"",[1]PitScoutingInfo!B2)</calculatedColumnFormula>
    </tableColumn>
    <tableColumn id="9" xr3:uid="{EEDA1030-3D67-4E80-8417-B0658139CB70}" name="leaveStartingZone" dataDxfId="5">
      <calculatedColumnFormula>IF(ISBLANK([1]PitScoutingInfo!J2),"",[1]PitScoutingInfo!J2)</calculatedColumnFormula>
    </tableColumn>
    <tableColumn id="12" xr3:uid="{C1BA3B01-12E5-4D73-934D-FC59802DCBCD}" name="autoAmpScore" dataDxfId="4">
      <calculatedColumnFormula>IF(ISBLANK([1]PitScoutingInfo!M2),"",[1]PitScoutingInfo!M2)</calculatedColumnFormula>
    </tableColumn>
    <tableColumn id="13" xr3:uid="{BF80D242-C55E-4463-821A-DC1859334211}" name="autoSpeakerScore" dataDxfId="3">
      <calculatedColumnFormula>IF(ISBLANK([1]PitScoutingInfo!N2),"",[1]PitScoutingInfo!N2)</calculatedColumnFormula>
    </tableColumn>
    <tableColumn id="21" xr3:uid="{9A90E65F-FD86-4918-9487-571040F2836F}" name="autoStartPosition" dataDxfId="2">
      <calculatedColumnFormula>IF(ISBLANK([1]PitScoutingInfo!V2),"",[1]PitScoutingInfo!V2)</calculatedColumnFormula>
    </tableColumn>
    <tableColumn id="22" xr3:uid="{6E8085CE-9BBF-4BC5-A675-74E94B906A91}" name="shootingPosition" dataDxfId="1">
      <calculatedColumnFormula>IF(ISBLANK([1]PitScoutingInfo!W2),"",[1]PitScoutingInfo!W2)</calculatedColumnFormula>
    </tableColumn>
    <tableColumn id="24" xr3:uid="{9C8E4338-58F7-433E-8DAA-FCA953AC3E85}" name="autoComments" dataDxfId="0">
      <calculatedColumnFormula>IF(ISBLANK([1]PitScoutingInfo!Z2),"",[1]PitScoutingInfo!Z2)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B185C-ABAB-4312-805C-6E9AF4086195}">
  <sheetPr codeName="HeatMap">
    <tabColor theme="1"/>
  </sheetPr>
  <dimension ref="A1:Z15"/>
  <sheetViews>
    <sheetView zoomScale="88" zoomScaleNormal="97" workbookViewId="0">
      <selection activeCell="B2" sqref="B2"/>
    </sheetView>
  </sheetViews>
  <sheetFormatPr defaultRowHeight="14.25" x14ac:dyDescent="0.45"/>
  <cols>
    <col min="1" max="1" width="17.19921875" customWidth="1"/>
    <col min="2" max="13" width="7.19921875" customWidth="1"/>
    <col min="14" max="14" width="40.6640625" customWidth="1"/>
    <col min="15" max="26" width="7.19921875" customWidth="1"/>
    <col min="27" max="27" width="26.6640625" customWidth="1"/>
  </cols>
  <sheetData>
    <row r="1" spans="1:26" ht="54.4" customHeight="1" thickBot="1" x14ac:dyDescent="0.95">
      <c r="A1" s="1" t="s">
        <v>0</v>
      </c>
      <c r="B1" s="2">
        <f>4239</f>
        <v>4239</v>
      </c>
    </row>
    <row r="2" spans="1:26" ht="41.65" customHeight="1" x14ac:dyDescent="0.45">
      <c r="A2" s="3" t="s">
        <v>1</v>
      </c>
      <c r="B2" s="4">
        <v>0</v>
      </c>
      <c r="C2" s="5">
        <v>0</v>
      </c>
      <c r="D2" s="5">
        <v>0</v>
      </c>
      <c r="E2" s="5">
        <v>1</v>
      </c>
      <c r="F2" s="5">
        <v>1</v>
      </c>
      <c r="G2" s="5">
        <v>0</v>
      </c>
      <c r="H2" s="5">
        <v>1</v>
      </c>
      <c r="I2" s="5">
        <v>0</v>
      </c>
      <c r="J2" s="5">
        <v>3</v>
      </c>
      <c r="K2" s="5">
        <v>0</v>
      </c>
      <c r="L2" s="5">
        <v>0</v>
      </c>
      <c r="M2" s="6">
        <v>0</v>
      </c>
      <c r="N2" s="7" t="s">
        <v>2</v>
      </c>
      <c r="O2" s="8">
        <v>0</v>
      </c>
      <c r="P2" s="8">
        <v>0</v>
      </c>
      <c r="Q2" s="8">
        <v>0</v>
      </c>
      <c r="R2" s="8">
        <v>0</v>
      </c>
      <c r="S2" s="8">
        <v>1</v>
      </c>
      <c r="T2" s="8">
        <v>1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</row>
    <row r="3" spans="1:26" ht="41.65" customHeight="1" x14ac:dyDescent="0.45">
      <c r="B3" s="9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1</v>
      </c>
      <c r="K3" s="8">
        <v>0</v>
      </c>
      <c r="L3" s="8">
        <v>0</v>
      </c>
      <c r="M3" s="10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</row>
    <row r="4" spans="1:26" ht="41.65" customHeight="1" x14ac:dyDescent="0.45">
      <c r="B4" s="9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10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</row>
    <row r="5" spans="1:26" ht="41.65" customHeight="1" x14ac:dyDescent="0.45">
      <c r="B5" s="9">
        <v>0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10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</row>
    <row r="6" spans="1:26" ht="41.65" customHeight="1" x14ac:dyDescent="0.45">
      <c r="B6" s="9">
        <v>0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10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</row>
    <row r="7" spans="1:26" ht="41.65" customHeight="1" thickBot="1" x14ac:dyDescent="0.5">
      <c r="B7" s="11">
        <v>0</v>
      </c>
      <c r="C7" s="12">
        <v>0</v>
      </c>
      <c r="D7" s="12">
        <v>0</v>
      </c>
      <c r="E7" s="12">
        <v>0</v>
      </c>
      <c r="F7" s="12">
        <v>0</v>
      </c>
      <c r="G7" s="12">
        <v>0</v>
      </c>
      <c r="H7" s="12">
        <v>0</v>
      </c>
      <c r="I7" s="12">
        <v>0</v>
      </c>
      <c r="J7" s="12">
        <v>0</v>
      </c>
      <c r="K7" s="12">
        <v>0</v>
      </c>
      <c r="L7" s="12">
        <v>0</v>
      </c>
      <c r="M7" s="13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</row>
    <row r="8" spans="1:26" ht="133.5" customHeight="1" x14ac:dyDescent="0.45"/>
    <row r="9" spans="1:26" ht="41.85" customHeight="1" x14ac:dyDescent="0.45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7" t="s">
        <v>3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1</v>
      </c>
      <c r="X9" s="8">
        <v>0</v>
      </c>
      <c r="Y9" s="8">
        <v>0</v>
      </c>
      <c r="Z9" s="8">
        <v>0</v>
      </c>
    </row>
    <row r="10" spans="1:26" ht="41.85" customHeight="1" x14ac:dyDescent="0.45"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</row>
    <row r="11" spans="1:26" ht="41.85" customHeight="1" x14ac:dyDescent="0.45"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</row>
    <row r="12" spans="1:26" ht="41.85" customHeight="1" x14ac:dyDescent="0.45"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</row>
    <row r="13" spans="1:26" ht="41.85" customHeight="1" x14ac:dyDescent="0.45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</row>
    <row r="14" spans="1:26" ht="41.85" customHeight="1" x14ac:dyDescent="0.45"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</row>
    <row r="15" spans="1:26" ht="195.75" customHeight="1" x14ac:dyDescent="0.45"/>
  </sheetData>
  <conditionalFormatting sqref="B2:M7">
    <cfRule type="colorScale" priority="3">
      <colorScale>
        <cfvo type="min"/>
        <cfvo type="max"/>
        <color rgb="FFFCFCFF"/>
        <color rgb="FF63BE7B"/>
      </colorScale>
    </cfRule>
  </conditionalFormatting>
  <conditionalFormatting sqref="O2:Z7">
    <cfRule type="colorScale" priority="2">
      <colorScale>
        <cfvo type="min"/>
        <cfvo type="max"/>
        <color rgb="FFFCFCFF"/>
        <color rgb="FF63BE7B"/>
      </colorScale>
    </cfRule>
  </conditionalFormatting>
  <conditionalFormatting sqref="O9:Z14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15A9-1E2F-43A5-92A3-E63A29DFCED7}">
  <sheetPr codeName="heatmap_as_pos"/>
  <dimension ref="C1:Z10"/>
  <sheetViews>
    <sheetView zoomScale="84" workbookViewId="0">
      <selection activeCell="I2" sqref="I2:L2"/>
    </sheetView>
  </sheetViews>
  <sheetFormatPr defaultColWidth="8.59765625" defaultRowHeight="45" customHeight="1" x14ac:dyDescent="0.45"/>
  <cols>
    <col min="21" max="21" width="0" hidden="1" customWidth="1"/>
    <col min="26" max="26" width="0" hidden="1" customWidth="1"/>
  </cols>
  <sheetData>
    <row r="1" spans="3:26" ht="45" customHeight="1" thickBot="1" x14ac:dyDescent="0.5">
      <c r="C1" s="60"/>
      <c r="D1" s="61"/>
      <c r="E1" s="61"/>
      <c r="F1" s="61"/>
      <c r="G1" s="61"/>
      <c r="H1" s="55" t="s">
        <v>6</v>
      </c>
      <c r="I1" s="24"/>
      <c r="J1" s="24"/>
      <c r="K1" s="24"/>
      <c r="L1" s="24"/>
      <c r="M1" s="24"/>
      <c r="N1" s="61"/>
      <c r="O1" s="61"/>
      <c r="P1" s="61"/>
      <c r="Q1" s="61"/>
      <c r="R1" s="62"/>
      <c r="U1">
        <f>I2</f>
        <v>2177</v>
      </c>
      <c r="Z1">
        <f>I2</f>
        <v>2177</v>
      </c>
    </row>
    <row r="2" spans="3:26" ht="45" customHeight="1" thickBot="1" x14ac:dyDescent="0.5">
      <c r="C2" s="63"/>
      <c r="D2" s="64"/>
      <c r="E2" s="64"/>
      <c r="F2" s="64"/>
      <c r="G2" s="64"/>
      <c r="H2" s="56"/>
      <c r="I2" s="57">
        <v>2177</v>
      </c>
      <c r="J2" s="58"/>
      <c r="K2" s="58"/>
      <c r="L2" s="59"/>
      <c r="M2" s="56"/>
      <c r="N2" s="64"/>
      <c r="O2" s="64"/>
      <c r="P2" s="64"/>
      <c r="Q2" s="64"/>
      <c r="R2" s="65"/>
    </row>
    <row r="3" spans="3:26" ht="45" customHeight="1" x14ac:dyDescent="0.45">
      <c r="C3" s="63"/>
      <c r="D3" s="64"/>
      <c r="E3" s="4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6</v>
      </c>
      <c r="L3" s="5">
        <v>0</v>
      </c>
      <c r="M3" s="5">
        <v>0</v>
      </c>
      <c r="N3" s="5">
        <v>0</v>
      </c>
      <c r="O3" s="5">
        <v>0</v>
      </c>
      <c r="P3" s="6">
        <v>0</v>
      </c>
      <c r="Q3" s="64"/>
      <c r="R3" s="65"/>
    </row>
    <row r="4" spans="3:26" ht="45" customHeight="1" x14ac:dyDescent="0.45">
      <c r="C4" s="63"/>
      <c r="D4" s="64"/>
      <c r="E4" s="9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10">
        <v>0</v>
      </c>
      <c r="Q4" s="64"/>
      <c r="R4" s="65"/>
    </row>
    <row r="5" spans="3:26" ht="45" customHeight="1" x14ac:dyDescent="0.45">
      <c r="C5" s="63"/>
      <c r="D5" s="64"/>
      <c r="E5" s="9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10">
        <v>0</v>
      </c>
      <c r="Q5" s="64"/>
      <c r="R5" s="65"/>
    </row>
    <row r="6" spans="3:26" ht="45" customHeight="1" x14ac:dyDescent="0.45">
      <c r="C6" s="63"/>
      <c r="D6" s="64"/>
      <c r="E6" s="9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10">
        <v>0</v>
      </c>
      <c r="Q6" s="64"/>
      <c r="R6" s="65"/>
    </row>
    <row r="7" spans="3:26" ht="45" customHeight="1" x14ac:dyDescent="0.45">
      <c r="C7" s="63"/>
      <c r="D7" s="64"/>
      <c r="E7" s="9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10">
        <v>0</v>
      </c>
      <c r="Q7" s="64"/>
      <c r="R7" s="65"/>
    </row>
    <row r="8" spans="3:26" ht="45" customHeight="1" thickBot="1" x14ac:dyDescent="0.5">
      <c r="C8" s="63"/>
      <c r="D8" s="64"/>
      <c r="E8" s="11">
        <v>0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2">
        <v>0</v>
      </c>
      <c r="O8" s="12">
        <v>0</v>
      </c>
      <c r="P8" s="13">
        <v>0</v>
      </c>
      <c r="Q8" s="64"/>
      <c r="R8" s="65"/>
    </row>
    <row r="9" spans="3:26" ht="45" customHeight="1" x14ac:dyDescent="0.45">
      <c r="C9" s="63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5"/>
    </row>
    <row r="10" spans="3:26" ht="45" customHeight="1" thickBot="1" x14ac:dyDescent="0.5">
      <c r="C10" s="25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26"/>
    </row>
  </sheetData>
  <mergeCells count="1">
    <mergeCell ref="I2:L2"/>
  </mergeCells>
  <conditionalFormatting sqref="E3:P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A714A15-C936-4842-8761-42840FD1D7D3}">
          <x14:formula1>
            <xm:f>ScoutingInfo!$A2:$A999</xm:f>
          </x14:formula1>
          <xm:sqref>I2:L2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eatmap_as_pref"/>
  <dimension ref="C1:Z10"/>
  <sheetViews>
    <sheetView topLeftCell="C1" workbookViewId="0">
      <selection activeCell="I2" sqref="I2:L2"/>
    </sheetView>
  </sheetViews>
  <sheetFormatPr defaultColWidth="8.59765625" defaultRowHeight="45" customHeight="1" x14ac:dyDescent="0.45"/>
  <sheetData>
    <row r="1" spans="3:26" ht="45" customHeight="1" thickBot="1" x14ac:dyDescent="0.5">
      <c r="C1" s="49"/>
      <c r="D1" s="50"/>
      <c r="E1" s="50"/>
      <c r="F1" s="50"/>
      <c r="G1" s="50"/>
      <c r="H1" s="44" t="s">
        <v>4</v>
      </c>
      <c r="I1" s="27"/>
      <c r="J1" s="27"/>
      <c r="K1" s="27"/>
      <c r="L1" s="27"/>
      <c r="M1" s="27"/>
      <c r="N1" s="50"/>
      <c r="O1" s="50"/>
      <c r="P1" s="50"/>
      <c r="Q1" s="50"/>
      <c r="R1" s="51"/>
      <c r="Z1">
        <f>I2</f>
        <v>2177</v>
      </c>
    </row>
    <row r="2" spans="3:26" ht="45" customHeight="1" thickBot="1" x14ac:dyDescent="0.5">
      <c r="C2" s="52"/>
      <c r="D2" s="53"/>
      <c r="E2" s="53"/>
      <c r="F2" s="53"/>
      <c r="G2" s="53"/>
      <c r="H2" s="45"/>
      <c r="I2" s="46">
        <v>2177</v>
      </c>
      <c r="J2" s="47"/>
      <c r="K2" s="47"/>
      <c r="L2" s="48"/>
      <c r="M2" s="45"/>
      <c r="N2" s="53"/>
      <c r="O2" s="53"/>
      <c r="P2" s="53"/>
      <c r="Q2" s="53"/>
      <c r="R2" s="54"/>
    </row>
    <row r="3" spans="3:26" ht="45" customHeight="1" x14ac:dyDescent="0.45">
      <c r="C3" s="52"/>
      <c r="D3" s="53"/>
      <c r="E3" s="4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1</v>
      </c>
      <c r="L3" s="5">
        <v>0</v>
      </c>
      <c r="M3" s="5">
        <v>0</v>
      </c>
      <c r="N3" s="5">
        <v>1</v>
      </c>
      <c r="O3" s="5">
        <v>0</v>
      </c>
      <c r="P3" s="6">
        <v>0</v>
      </c>
      <c r="Q3" s="53"/>
      <c r="R3" s="54"/>
    </row>
    <row r="4" spans="3:26" ht="45" customHeight="1" x14ac:dyDescent="0.45">
      <c r="C4" s="52"/>
      <c r="D4" s="53"/>
      <c r="E4" s="9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1</v>
      </c>
      <c r="N4" s="8">
        <v>0</v>
      </c>
      <c r="O4" s="8">
        <v>0</v>
      </c>
      <c r="P4" s="10">
        <v>0</v>
      </c>
      <c r="Q4" s="53"/>
      <c r="R4" s="54"/>
    </row>
    <row r="5" spans="3:26" ht="45" customHeight="1" x14ac:dyDescent="0.45">
      <c r="C5" s="52"/>
      <c r="D5" s="53"/>
      <c r="E5" s="9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10">
        <v>0</v>
      </c>
      <c r="Q5" s="53"/>
      <c r="R5" s="54"/>
    </row>
    <row r="6" spans="3:26" ht="45" customHeight="1" x14ac:dyDescent="0.45">
      <c r="C6" s="52"/>
      <c r="D6" s="53"/>
      <c r="E6" s="9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10">
        <v>0</v>
      </c>
      <c r="Q6" s="53"/>
      <c r="R6" s="54"/>
    </row>
    <row r="7" spans="3:26" ht="45" customHeight="1" x14ac:dyDescent="0.45">
      <c r="C7" s="52"/>
      <c r="D7" s="53"/>
      <c r="E7" s="9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10">
        <v>0</v>
      </c>
      <c r="Q7" s="53"/>
      <c r="R7" s="54"/>
    </row>
    <row r="8" spans="3:26" ht="45" customHeight="1" thickBot="1" x14ac:dyDescent="0.5">
      <c r="C8" s="52"/>
      <c r="D8" s="53"/>
      <c r="E8" s="11">
        <v>0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2">
        <v>0</v>
      </c>
      <c r="O8" s="12">
        <v>0</v>
      </c>
      <c r="P8" s="13">
        <v>0</v>
      </c>
      <c r="Q8" s="53"/>
      <c r="R8" s="54"/>
    </row>
    <row r="9" spans="3:26" ht="45" customHeight="1" x14ac:dyDescent="0.45">
      <c r="C9" s="52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4"/>
    </row>
    <row r="10" spans="3:26" ht="45" customHeight="1" thickBot="1" x14ac:dyDescent="0.5">
      <c r="C10" s="28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29"/>
    </row>
  </sheetData>
  <mergeCells count="1">
    <mergeCell ref="I2:L2"/>
  </mergeCells>
  <conditionalFormatting sqref="E3:P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D68A1D-E1F6-48F9-BDF5-1C87A83D904B}">
          <x14:formula1>
            <xm:f>PitScoutingInfo!$A2:$A500</xm:f>
          </x14:formula1>
          <xm:sqref>I2:L2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6630-E6D3-4D3A-B537-F02BD9A61613}">
  <sheetPr codeName="heatmap_sh_pos"/>
  <dimension ref="C1:Z10"/>
  <sheetViews>
    <sheetView zoomScale="83" workbookViewId="0">
      <selection activeCell="Z1" sqref="Z1:Z1048576"/>
    </sheetView>
  </sheetViews>
  <sheetFormatPr defaultColWidth="8.59765625" defaultRowHeight="45" customHeight="1" x14ac:dyDescent="0.45"/>
  <cols>
    <col min="26" max="26" width="0" hidden="1" customWidth="1"/>
  </cols>
  <sheetData>
    <row r="1" spans="3:26" ht="45" customHeight="1" thickBot="1" x14ac:dyDescent="0.5">
      <c r="C1" s="30"/>
      <c r="D1" s="31"/>
      <c r="E1" s="31"/>
      <c r="F1" s="31"/>
      <c r="G1" s="31"/>
      <c r="H1" s="41" t="s">
        <v>5</v>
      </c>
      <c r="I1" s="37"/>
      <c r="J1" s="37"/>
      <c r="K1" s="37"/>
      <c r="L1" s="37"/>
      <c r="M1" s="37"/>
      <c r="N1" s="31"/>
      <c r="O1" s="31"/>
      <c r="P1" s="31"/>
      <c r="Q1" s="31"/>
      <c r="R1" s="32"/>
      <c r="Z1">
        <f>I2</f>
        <v>2177</v>
      </c>
    </row>
    <row r="2" spans="3:26" ht="45" customHeight="1" thickBot="1" x14ac:dyDescent="0.5">
      <c r="C2" s="42"/>
      <c r="D2" s="36"/>
      <c r="E2" s="36"/>
      <c r="F2" s="36"/>
      <c r="G2" s="36"/>
      <c r="H2" s="36"/>
      <c r="I2" s="38">
        <v>2177</v>
      </c>
      <c r="J2" s="39"/>
      <c r="K2" s="39"/>
      <c r="L2" s="40"/>
      <c r="M2" s="36"/>
      <c r="N2" s="36"/>
      <c r="O2" s="36"/>
      <c r="P2" s="36"/>
      <c r="Q2" s="36"/>
      <c r="R2" s="43"/>
    </row>
    <row r="3" spans="3:26" ht="45" customHeight="1" x14ac:dyDescent="0.45">
      <c r="C3" s="42"/>
      <c r="D3" s="36"/>
      <c r="E3" s="15">
        <v>0</v>
      </c>
      <c r="F3" s="16">
        <v>0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7">
        <v>0</v>
      </c>
      <c r="Q3" s="36"/>
      <c r="R3" s="43"/>
    </row>
    <row r="4" spans="3:26" ht="45" customHeight="1" x14ac:dyDescent="0.45">
      <c r="C4" s="42"/>
      <c r="D4" s="36"/>
      <c r="E4" s="18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1</v>
      </c>
      <c r="N4" s="14">
        <v>0</v>
      </c>
      <c r="O4" s="14">
        <v>0</v>
      </c>
      <c r="P4" s="19">
        <v>0</v>
      </c>
      <c r="Q4" s="36"/>
      <c r="R4" s="43"/>
    </row>
    <row r="5" spans="3:26" ht="45" customHeight="1" x14ac:dyDescent="0.45">
      <c r="C5" s="42"/>
      <c r="D5" s="36"/>
      <c r="E5" s="18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1</v>
      </c>
      <c r="N5" s="14">
        <v>0</v>
      </c>
      <c r="O5" s="14">
        <v>0</v>
      </c>
      <c r="P5" s="19">
        <v>0</v>
      </c>
      <c r="Q5" s="36"/>
      <c r="R5" s="43"/>
    </row>
    <row r="6" spans="3:26" ht="45" customHeight="1" x14ac:dyDescent="0.45">
      <c r="C6" s="42"/>
      <c r="D6" s="36"/>
      <c r="E6" s="18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9">
        <v>0</v>
      </c>
      <c r="Q6" s="36"/>
      <c r="R6" s="43"/>
    </row>
    <row r="7" spans="3:26" ht="45" customHeight="1" x14ac:dyDescent="0.45">
      <c r="C7" s="42"/>
      <c r="D7" s="36"/>
      <c r="E7" s="18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9">
        <v>0</v>
      </c>
      <c r="Q7" s="36"/>
      <c r="R7" s="43"/>
    </row>
    <row r="8" spans="3:26" ht="45" customHeight="1" thickBot="1" x14ac:dyDescent="0.5">
      <c r="C8" s="42"/>
      <c r="D8" s="36"/>
      <c r="E8" s="20">
        <v>0</v>
      </c>
      <c r="F8" s="21">
        <v>0</v>
      </c>
      <c r="G8" s="21">
        <v>0</v>
      </c>
      <c r="H8" s="21">
        <v>0</v>
      </c>
      <c r="I8" s="21">
        <v>0</v>
      </c>
      <c r="J8" s="21">
        <v>0</v>
      </c>
      <c r="K8" s="21">
        <v>0</v>
      </c>
      <c r="L8" s="21">
        <v>0</v>
      </c>
      <c r="M8" s="21">
        <v>0</v>
      </c>
      <c r="N8" s="21">
        <v>0</v>
      </c>
      <c r="O8" s="21">
        <v>0</v>
      </c>
      <c r="P8" s="22">
        <v>0</v>
      </c>
      <c r="Q8" s="36"/>
      <c r="R8" s="43"/>
    </row>
    <row r="9" spans="3:26" ht="45" customHeight="1" x14ac:dyDescent="0.45">
      <c r="C9" s="42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43"/>
    </row>
    <row r="10" spans="3:26" ht="45" customHeight="1" thickBot="1" x14ac:dyDescent="0.5">
      <c r="C10" s="33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5"/>
    </row>
  </sheetData>
  <mergeCells count="1">
    <mergeCell ref="I2:L2"/>
  </mergeCells>
  <conditionalFormatting sqref="E3:P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541CCBF-CF90-4B8F-864A-D7FE905D14FA}">
          <x14:formula1>
            <xm:f>PitScoutingInfo!$A2:$A500</xm:f>
          </x14:formula1>
          <xm:sqref>I2:L2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B0036-7B79-4B4D-8042-262779ABAC35}">
  <sheetPr codeName="Sheet6"/>
  <dimension ref="A1:H999"/>
  <sheetViews>
    <sheetView tabSelected="1" topLeftCell="A2" workbookViewId="0">
      <selection activeCell="B4" sqref="B4"/>
    </sheetView>
  </sheetViews>
  <sheetFormatPr defaultRowHeight="14.25" x14ac:dyDescent="0.45"/>
  <cols>
    <col min="1" max="1" width="8.265625" bestFit="1" customWidth="1"/>
  </cols>
  <sheetData>
    <row r="1" spans="1:8" x14ac:dyDescent="0.45">
      <c r="A1" t="s">
        <v>7</v>
      </c>
      <c r="B1" t="s">
        <v>16</v>
      </c>
      <c r="C1" t="s">
        <v>17</v>
      </c>
      <c r="D1" t="s">
        <v>15</v>
      </c>
      <c r="E1" t="s">
        <v>18</v>
      </c>
      <c r="F1" t="s">
        <v>9</v>
      </c>
      <c r="G1" t="s">
        <v>10</v>
      </c>
      <c r="H1" t="s">
        <v>11</v>
      </c>
    </row>
    <row r="2" spans="1:8" x14ac:dyDescent="0.45">
      <c r="A2">
        <f>IF(ISBLANK([1]!ScoutingData[[#This Row],[teamNumber]]),"",[1]!ScoutingData[[#This Row],[teamNumber]])</f>
        <v>876</v>
      </c>
      <c r="B2" t="str">
        <f>IF(ISBLANK([1]!ScoutingData[[#This Row],[matchLevel]]),"",[1]!ScoutingData[[#This Row],[matchLevel]])</f>
        <v>p</v>
      </c>
      <c r="C2">
        <f>IF(ISBLANK([1]!ScoutingData[[#This Row],[matchNumber]]),"",[1]!ScoutingData[[#This Row],[matchNumber]])</f>
        <v>9</v>
      </c>
      <c r="D2" t="str">
        <f>IF(ISBLANK([1]!ScoutingData[[#This Row],[event]]),"",[1]!ScoutingData[[#This Row],[event]])</f>
        <v>2024ndgf</v>
      </c>
      <c r="E2" t="str">
        <f>IF(ISBLANK([1]!ScoutingData[[#This Row],[position]]),"",[1]!ScoutingData[[#This Row],[position]])</f>
        <v>[21]</v>
      </c>
      <c r="F2">
        <f>IF(ISBLANK([1]!ScoutingData[[#This Row],[leaveStartingZone]]),"",[1]!ScoutingData[[#This Row],[leaveStartingZone]])</f>
        <v>0</v>
      </c>
      <c r="G2">
        <f>IF(ISBLANK([1]!ScoutingData[[#This Row],[autoAmpScore]]),"",[1]!ScoutingData[[#This Row],[autoAmpScore]])</f>
        <v>0</v>
      </c>
      <c r="H2">
        <f>IF(ISBLANK([1]!ScoutingData[[#This Row],[autoSpeakerScore]]),"",[1]!ScoutingData[[#This Row],[autoSpeakerScore]])</f>
        <v>2</v>
      </c>
    </row>
    <row r="3" spans="1:8" x14ac:dyDescent="0.45">
      <c r="A3">
        <f>IF(ISBLANK([1]!ScoutingData[[#This Row],[teamNumber]]),"",[1]!ScoutingData[[#This Row],[teamNumber]])</f>
        <v>876</v>
      </c>
      <c r="B3" t="str">
        <f>IF(ISBLANK([1]!ScoutingData[[#This Row],[matchLevel]]),"",[1]!ScoutingData[[#This Row],[matchLevel]])</f>
        <v>qm</v>
      </c>
      <c r="C3">
        <f>IF(ISBLANK([1]!ScoutingData[[#This Row],[matchNumber]]),"",[1]!ScoutingData[[#This Row],[matchNumber]])</f>
        <v>18</v>
      </c>
      <c r="D3" t="str">
        <f>IF(ISBLANK([1]!ScoutingData[[#This Row],[event]]),"",[1]!ScoutingData[[#This Row],[event]])</f>
        <v>2024ndgf</v>
      </c>
      <c r="E3" t="str">
        <f>IF(ISBLANK([1]!ScoutingData[[#This Row],[position]]),"",[1]!ScoutingData[[#This Row],[position]])</f>
        <v>[21]</v>
      </c>
      <c r="F3">
        <f>IF(ISBLANK([1]!ScoutingData[[#This Row],[leaveStartingZone]]),"",[1]!ScoutingData[[#This Row],[leaveStartingZone]])</f>
        <v>1</v>
      </c>
      <c r="G3">
        <f>IF(ISBLANK([1]!ScoutingData[[#This Row],[autoAmpScore]]),"",[1]!ScoutingData[[#This Row],[autoAmpScore]])</f>
        <v>0</v>
      </c>
      <c r="H3">
        <f>IF(ISBLANK([1]!ScoutingData[[#This Row],[autoSpeakerScore]]),"",[1]!ScoutingData[[#This Row],[autoSpeakerScore]])</f>
        <v>3</v>
      </c>
    </row>
    <row r="4" spans="1:8" x14ac:dyDescent="0.45">
      <c r="A4">
        <f>IF(ISBLANK([1]!ScoutingData[[#This Row],[teamNumber]]),"",[1]!ScoutingData[[#This Row],[teamNumber]])</f>
        <v>876</v>
      </c>
      <c r="B4" t="str">
        <f>IF(ISBLANK([1]!ScoutingData[[#This Row],[matchLevel]]),"",[1]!ScoutingData[[#This Row],[matchLevel]])</f>
        <v>qm</v>
      </c>
      <c r="C4">
        <f>IF(ISBLANK([1]!ScoutingData[[#This Row],[matchNumber]]),"",[1]!ScoutingData[[#This Row],[matchNumber]])</f>
        <v>27</v>
      </c>
      <c r="D4" t="str">
        <f>IF(ISBLANK([1]!ScoutingData[[#This Row],[event]]),"",[1]!ScoutingData[[#This Row],[event]])</f>
        <v>2024ndgf</v>
      </c>
      <c r="E4" t="str">
        <f>IF(ISBLANK([1]!ScoutingData[[#This Row],[position]]),"",[1]!ScoutingData[[#This Row],[position]])</f>
        <v>[21]</v>
      </c>
      <c r="F4">
        <f>IF(ISBLANK([1]!ScoutingData[[#This Row],[leaveStartingZone]]),"",[1]!ScoutingData[[#This Row],[leaveStartingZone]])</f>
        <v>1</v>
      </c>
      <c r="G4">
        <f>IF(ISBLANK([1]!ScoutingData[[#This Row],[autoAmpScore]]),"",[1]!ScoutingData[[#This Row],[autoAmpScore]])</f>
        <v>0</v>
      </c>
      <c r="H4">
        <f>IF(ISBLANK([1]!ScoutingData[[#This Row],[autoSpeakerScore]]),"",[1]!ScoutingData[[#This Row],[autoSpeakerScore]])</f>
        <v>2</v>
      </c>
    </row>
    <row r="5" spans="1:8" x14ac:dyDescent="0.45">
      <c r="A5">
        <f>IF(ISBLANK([1]!ScoutingData[[#This Row],[teamNumber]]),"",[1]!ScoutingData[[#This Row],[teamNumber]])</f>
        <v>876</v>
      </c>
      <c r="B5" t="str">
        <f>IF(ISBLANK([1]!ScoutingData[[#This Row],[matchLevel]]),"",[1]!ScoutingData[[#This Row],[matchLevel]])</f>
        <v>qm</v>
      </c>
      <c r="C5">
        <f>IF(ISBLANK([1]!ScoutingData[[#This Row],[matchNumber]]),"",[1]!ScoutingData[[#This Row],[matchNumber]])</f>
        <v>3</v>
      </c>
      <c r="D5" t="str">
        <f>IF(ISBLANK([1]!ScoutingData[[#This Row],[event]]),"",[1]!ScoutingData[[#This Row],[event]])</f>
        <v>2024ndgf</v>
      </c>
      <c r="E5" t="str">
        <f>IF(ISBLANK([1]!ScoutingData[[#This Row],[position]]),"",[1]!ScoutingData[[#This Row],[position]])</f>
        <v>[20]</v>
      </c>
      <c r="F5">
        <f>IF(ISBLANK([1]!ScoutingData[[#This Row],[leaveStartingZone]]),"",[1]!ScoutingData[[#This Row],[leaveStartingZone]])</f>
        <v>1</v>
      </c>
      <c r="G5">
        <f>IF(ISBLANK([1]!ScoutingData[[#This Row],[autoAmpScore]]),"",[1]!ScoutingData[[#This Row],[autoAmpScore]])</f>
        <v>0</v>
      </c>
      <c r="H5">
        <f>IF(ISBLANK([1]!ScoutingData[[#This Row],[autoSpeakerScore]]),"",[1]!ScoutingData[[#This Row],[autoSpeakerScore]])</f>
        <v>1</v>
      </c>
    </row>
    <row r="6" spans="1:8" x14ac:dyDescent="0.45">
      <c r="A6">
        <f>IF(ISBLANK([1]!ScoutingData[[#This Row],[teamNumber]]),"",[1]!ScoutingData[[#This Row],[teamNumber]])</f>
        <v>876</v>
      </c>
      <c r="B6" t="str">
        <f>IF(ISBLANK([1]!ScoutingData[[#This Row],[matchLevel]]),"",[1]!ScoutingData[[#This Row],[matchLevel]])</f>
        <v>qm</v>
      </c>
      <c r="C6">
        <f>IF(ISBLANK([1]!ScoutingData[[#This Row],[matchNumber]]),"",[1]!ScoutingData[[#This Row],[matchNumber]])</f>
        <v>47</v>
      </c>
      <c r="D6" t="str">
        <f>IF(ISBLANK([1]!ScoutingData[[#This Row],[event]]),"",[1]!ScoutingData[[#This Row],[event]])</f>
        <v>2024ndgf</v>
      </c>
      <c r="E6" t="str">
        <f>IF(ISBLANK([1]!ScoutingData[[#This Row],[position]]),"",[1]!ScoutingData[[#This Row],[position]])</f>
        <v>[9]</v>
      </c>
      <c r="F6">
        <f>IF(ISBLANK([1]!ScoutingData[[#This Row],[leaveStartingZone]]),"",[1]!ScoutingData[[#This Row],[leaveStartingZone]])</f>
        <v>0</v>
      </c>
      <c r="G6">
        <f>IF(ISBLANK([1]!ScoutingData[[#This Row],[autoAmpScore]]),"",[1]!ScoutingData[[#This Row],[autoAmpScore]])</f>
        <v>0</v>
      </c>
      <c r="H6">
        <f>IF(ISBLANK([1]!ScoutingData[[#This Row],[autoSpeakerScore]]),"",[1]!ScoutingData[[#This Row],[autoSpeakerScore]])</f>
        <v>0</v>
      </c>
    </row>
    <row r="7" spans="1:8" x14ac:dyDescent="0.45">
      <c r="A7">
        <f>IF(ISBLANK([1]!ScoutingData[[#This Row],[teamNumber]]),"",[1]!ScoutingData[[#This Row],[teamNumber]])</f>
        <v>877</v>
      </c>
      <c r="B7" t="str">
        <f>IF(ISBLANK([1]!ScoutingData[[#This Row],[matchLevel]]),"",[1]!ScoutingData[[#This Row],[matchLevel]])</f>
        <v>qm</v>
      </c>
      <c r="C7">
        <f>IF(ISBLANK([1]!ScoutingData[[#This Row],[matchNumber]]),"",[1]!ScoutingData[[#This Row],[matchNumber]])</f>
        <v>21</v>
      </c>
      <c r="D7" t="str">
        <f>IF(ISBLANK([1]!ScoutingData[[#This Row],[event]]),"",[1]!ScoutingData[[#This Row],[event]])</f>
        <v>2024ndgf</v>
      </c>
      <c r="E7" t="str">
        <f>IF(ISBLANK([1]!ScoutingData[[#This Row],[position]]),"",[1]!ScoutingData[[#This Row],[position]])</f>
        <v>[11]</v>
      </c>
      <c r="F7">
        <f>IF(ISBLANK([1]!ScoutingData[[#This Row],[leaveStartingZone]]),"",[1]!ScoutingData[[#This Row],[leaveStartingZone]])</f>
        <v>1</v>
      </c>
      <c r="G7">
        <f>IF(ISBLANK([1]!ScoutingData[[#This Row],[autoAmpScore]]),"",[1]!ScoutingData[[#This Row],[autoAmpScore]])</f>
        <v>0</v>
      </c>
      <c r="H7">
        <f>IF(ISBLANK([1]!ScoutingData[[#This Row],[autoSpeakerScore]]),"",[1]!ScoutingData[[#This Row],[autoSpeakerScore]])</f>
        <v>0</v>
      </c>
    </row>
    <row r="8" spans="1:8" x14ac:dyDescent="0.45">
      <c r="A8">
        <f>IF(ISBLANK([1]!ScoutingData[[#This Row],[teamNumber]]),"",[1]!ScoutingData[[#This Row],[teamNumber]])</f>
        <v>877</v>
      </c>
      <c r="B8" t="str">
        <f>IF(ISBLANK([1]!ScoutingData[[#This Row],[matchLevel]]),"",[1]!ScoutingData[[#This Row],[matchLevel]])</f>
        <v>qm</v>
      </c>
      <c r="C8">
        <f>IF(ISBLANK([1]!ScoutingData[[#This Row],[matchNumber]]),"",[1]!ScoutingData[[#This Row],[matchNumber]])</f>
        <v>4</v>
      </c>
      <c r="D8" t="str">
        <f>IF(ISBLANK([1]!ScoutingData[[#This Row],[event]]),"",[1]!ScoutingData[[#This Row],[event]])</f>
        <v>2024ndgf</v>
      </c>
      <c r="E8" t="str">
        <f>IF(ISBLANK([1]!ScoutingData[[#This Row],[position]]),"",[1]!ScoutingData[[#This Row],[position]])</f>
        <v>[3]</v>
      </c>
      <c r="F8">
        <f>IF(ISBLANK([1]!ScoutingData[[#This Row],[leaveStartingZone]]),"",[1]!ScoutingData[[#This Row],[leaveStartingZone]])</f>
        <v>1</v>
      </c>
      <c r="G8">
        <f>IF(ISBLANK([1]!ScoutingData[[#This Row],[autoAmpScore]]),"",[1]!ScoutingData[[#This Row],[autoAmpScore]])</f>
        <v>0</v>
      </c>
      <c r="H8">
        <f>IF(ISBLANK([1]!ScoutingData[[#This Row],[autoSpeakerScore]]),"",[1]!ScoutingData[[#This Row],[autoSpeakerScore]])</f>
        <v>0</v>
      </c>
    </row>
    <row r="9" spans="1:8" x14ac:dyDescent="0.45">
      <c r="A9">
        <f>IF(ISBLANK([1]!ScoutingData[[#This Row],[teamNumber]]),"",[1]!ScoutingData[[#This Row],[teamNumber]])</f>
        <v>877</v>
      </c>
      <c r="B9" t="str">
        <f>IF(ISBLANK([1]!ScoutingData[[#This Row],[matchLevel]]),"",[1]!ScoutingData[[#This Row],[matchLevel]])</f>
        <v>qm</v>
      </c>
      <c r="C9">
        <f>IF(ISBLANK([1]!ScoutingData[[#This Row],[matchNumber]]),"",[1]!ScoutingData[[#This Row],[matchNumber]])</f>
        <v>37</v>
      </c>
      <c r="D9" t="str">
        <f>IF(ISBLANK([1]!ScoutingData[[#This Row],[event]]),"",[1]!ScoutingData[[#This Row],[event]])</f>
        <v>2024ndgf</v>
      </c>
      <c r="E9" t="str">
        <f>IF(ISBLANK([1]!ScoutingData[[#This Row],[position]]),"",[1]!ScoutingData[[#This Row],[position]])</f>
        <v>[7]</v>
      </c>
      <c r="F9">
        <f>IF(ISBLANK([1]!ScoutingData[[#This Row],[leaveStartingZone]]),"",[1]!ScoutingData[[#This Row],[leaveStartingZone]])</f>
        <v>0</v>
      </c>
      <c r="G9">
        <f>IF(ISBLANK([1]!ScoutingData[[#This Row],[autoAmpScore]]),"",[1]!ScoutingData[[#This Row],[autoAmpScore]])</f>
        <v>0</v>
      </c>
      <c r="H9">
        <f>IF(ISBLANK([1]!ScoutingData[[#This Row],[autoSpeakerScore]]),"",[1]!ScoutingData[[#This Row],[autoSpeakerScore]])</f>
        <v>0</v>
      </c>
    </row>
    <row r="10" spans="1:8" x14ac:dyDescent="0.45">
      <c r="A10">
        <f>IF(ISBLANK([1]!ScoutingData[[#This Row],[teamNumber]]),"",[1]!ScoutingData[[#This Row],[teamNumber]])</f>
        <v>877</v>
      </c>
      <c r="B10" t="str">
        <f>IF(ISBLANK([1]!ScoutingData[[#This Row],[matchLevel]]),"",[1]!ScoutingData[[#This Row],[matchLevel]])</f>
        <v>qm</v>
      </c>
      <c r="C10">
        <f>IF(ISBLANK([1]!ScoutingData[[#This Row],[matchNumber]]),"",[1]!ScoutingData[[#This Row],[matchNumber]])</f>
        <v>12</v>
      </c>
      <c r="D10" t="str">
        <f>IF(ISBLANK([1]!ScoutingData[[#This Row],[event]]),"",[1]!ScoutingData[[#This Row],[event]])</f>
        <v>2024ndgf</v>
      </c>
      <c r="E10" t="str">
        <f>IF(ISBLANK([1]!ScoutingData[[#This Row],[position]]),"",[1]!ScoutingData[[#This Row],[position]])</f>
        <v>[10]</v>
      </c>
      <c r="F10">
        <f>IF(ISBLANK([1]!ScoutingData[[#This Row],[leaveStartingZone]]),"",[1]!ScoutingData[[#This Row],[leaveStartingZone]])</f>
        <v>1</v>
      </c>
      <c r="G10">
        <f>IF(ISBLANK([1]!ScoutingData[[#This Row],[autoAmpScore]]),"",[1]!ScoutingData[[#This Row],[autoAmpScore]])</f>
        <v>0</v>
      </c>
      <c r="H10">
        <f>IF(ISBLANK([1]!ScoutingData[[#This Row],[autoSpeakerScore]]),"",[1]!ScoutingData[[#This Row],[autoSpeakerScore]])</f>
        <v>0</v>
      </c>
    </row>
    <row r="11" spans="1:8" x14ac:dyDescent="0.45">
      <c r="A11">
        <f>IF(ISBLANK([1]!ScoutingData[[#This Row],[teamNumber]]),"",[1]!ScoutingData[[#This Row],[teamNumber]])</f>
        <v>877</v>
      </c>
      <c r="B11" t="str">
        <f>IF(ISBLANK([1]!ScoutingData[[#This Row],[matchLevel]]),"",[1]!ScoutingData[[#This Row],[matchLevel]])</f>
        <v>qm</v>
      </c>
      <c r="C11">
        <f>IF(ISBLANK([1]!ScoutingData[[#This Row],[matchNumber]]),"",[1]!ScoutingData[[#This Row],[matchNumber]])</f>
        <v>44</v>
      </c>
      <c r="D11" t="str">
        <f>IF(ISBLANK([1]!ScoutingData[[#This Row],[event]]),"",[1]!ScoutingData[[#This Row],[event]])</f>
        <v>2024ndgf</v>
      </c>
      <c r="E11" t="str">
        <f>IF(ISBLANK([1]!ScoutingData[[#This Row],[position]]),"",[1]!ScoutingData[[#This Row],[position]])</f>
        <v>[6]</v>
      </c>
      <c r="F11">
        <f>IF(ISBLANK([1]!ScoutingData[[#This Row],[leaveStartingZone]]),"",[1]!ScoutingData[[#This Row],[leaveStartingZone]])</f>
        <v>1</v>
      </c>
      <c r="G11">
        <f>IF(ISBLANK([1]!ScoutingData[[#This Row],[autoAmpScore]]),"",[1]!ScoutingData[[#This Row],[autoAmpScore]])</f>
        <v>0</v>
      </c>
      <c r="H11">
        <f>IF(ISBLANK([1]!ScoutingData[[#This Row],[autoSpeakerScore]]),"",[1]!ScoutingData[[#This Row],[autoSpeakerScore]])</f>
        <v>0</v>
      </c>
    </row>
    <row r="12" spans="1:8" x14ac:dyDescent="0.45">
      <c r="A12">
        <f>IF(ISBLANK([1]!ScoutingData[[#This Row],[teamNumber]]),"",[1]!ScoutingData[[#This Row],[teamNumber]])</f>
        <v>877</v>
      </c>
      <c r="B12" t="str">
        <f>IF(ISBLANK([1]!ScoutingData[[#This Row],[matchLevel]]),"",[1]!ScoutingData[[#This Row],[matchLevel]])</f>
        <v>qm</v>
      </c>
      <c r="C12">
        <f>IF(ISBLANK([1]!ScoutingData[[#This Row],[matchNumber]]),"",[1]!ScoutingData[[#This Row],[matchNumber]])</f>
        <v>54</v>
      </c>
      <c r="D12" t="str">
        <f>IF(ISBLANK([1]!ScoutingData[[#This Row],[event]]),"",[1]!ScoutingData[[#This Row],[event]])</f>
        <v>2024ndgf</v>
      </c>
      <c r="E12" t="str">
        <f>IF(ISBLANK([1]!ScoutingData[[#This Row],[position]]),"",[1]!ScoutingData[[#This Row],[position]])</f>
        <v>[4]</v>
      </c>
      <c r="F12">
        <f>IF(ISBLANK([1]!ScoutingData[[#This Row],[leaveStartingZone]]),"",[1]!ScoutingData[[#This Row],[leaveStartingZone]])</f>
        <v>1</v>
      </c>
      <c r="G12">
        <f>IF(ISBLANK([1]!ScoutingData[[#This Row],[autoAmpScore]]),"",[1]!ScoutingData[[#This Row],[autoAmpScore]])</f>
        <v>0</v>
      </c>
      <c r="H12">
        <f>IF(ISBLANK([1]!ScoutingData[[#This Row],[autoSpeakerScore]]),"",[1]!ScoutingData[[#This Row],[autoSpeakerScore]])</f>
        <v>0</v>
      </c>
    </row>
    <row r="13" spans="1:8" x14ac:dyDescent="0.45">
      <c r="A13">
        <f>IF(ISBLANK([1]!ScoutingData[[#This Row],[teamNumber]]),"",[1]!ScoutingData[[#This Row],[teamNumber]])</f>
        <v>2177</v>
      </c>
      <c r="B13" t="str">
        <f>IF(ISBLANK([1]!ScoutingData[[#This Row],[matchLevel]]),"",[1]!ScoutingData[[#This Row],[matchLevel]])</f>
        <v>p</v>
      </c>
      <c r="C13">
        <f>IF(ISBLANK([1]!ScoutingData[[#This Row],[matchNumber]]),"",[1]!ScoutingData[[#This Row],[matchNumber]])</f>
        <v>12</v>
      </c>
      <c r="D13" t="str">
        <f>IF(ISBLANK([1]!ScoutingData[[#This Row],[event]]),"",[1]!ScoutingData[[#This Row],[event]])</f>
        <v>2024ndgf</v>
      </c>
      <c r="E13" t="str">
        <f>IF(ISBLANK([1]!ScoutingData[[#This Row],[position]]),"",[1]!ScoutingData[[#This Row],[position]])</f>
        <v>[7]</v>
      </c>
      <c r="F13">
        <f>IF(ISBLANK([1]!ScoutingData[[#This Row],[leaveStartingZone]]),"",[1]!ScoutingData[[#This Row],[leaveStartingZone]])</f>
        <v>0</v>
      </c>
      <c r="G13">
        <f>IF(ISBLANK([1]!ScoutingData[[#This Row],[autoAmpScore]]),"",[1]!ScoutingData[[#This Row],[autoAmpScore]])</f>
        <v>0</v>
      </c>
      <c r="H13">
        <f>IF(ISBLANK([1]!ScoutingData[[#This Row],[autoSpeakerScore]]),"",[1]!ScoutingData[[#This Row],[autoSpeakerScore]])</f>
        <v>0</v>
      </c>
    </row>
    <row r="14" spans="1:8" x14ac:dyDescent="0.45">
      <c r="A14">
        <f>IF(ISBLANK([1]!ScoutingData[[#This Row],[teamNumber]]),"",[1]!ScoutingData[[#This Row],[teamNumber]])</f>
        <v>2177</v>
      </c>
      <c r="B14" t="str">
        <f>IF(ISBLANK([1]!ScoutingData[[#This Row],[matchLevel]]),"",[1]!ScoutingData[[#This Row],[matchLevel]])</f>
        <v>p</v>
      </c>
      <c r="C14">
        <f>IF(ISBLANK([1]!ScoutingData[[#This Row],[matchNumber]]),"",[1]!ScoutingData[[#This Row],[matchNumber]])</f>
        <v>19</v>
      </c>
      <c r="D14" t="str">
        <f>IF(ISBLANK([1]!ScoutingData[[#This Row],[event]]),"",[1]!ScoutingData[[#This Row],[event]])</f>
        <v>2024ndgf</v>
      </c>
      <c r="E14" t="str">
        <f>IF(ISBLANK([1]!ScoutingData[[#This Row],[position]]),"",[1]!ScoutingData[[#This Row],[position]])</f>
        <v>[7]</v>
      </c>
      <c r="F14">
        <f>IF(ISBLANK([1]!ScoutingData[[#This Row],[leaveStartingZone]]),"",[1]!ScoutingData[[#This Row],[leaveStartingZone]])</f>
        <v>1</v>
      </c>
      <c r="G14">
        <f>IF(ISBLANK([1]!ScoutingData[[#This Row],[autoAmpScore]]),"",[1]!ScoutingData[[#This Row],[autoAmpScore]])</f>
        <v>0</v>
      </c>
      <c r="H14">
        <f>IF(ISBLANK([1]!ScoutingData[[#This Row],[autoSpeakerScore]]),"",[1]!ScoutingData[[#This Row],[autoSpeakerScore]])</f>
        <v>1</v>
      </c>
    </row>
    <row r="15" spans="1:8" x14ac:dyDescent="0.45">
      <c r="A15">
        <f>IF(ISBLANK([1]!ScoutingData[[#This Row],[teamNumber]]),"",[1]!ScoutingData[[#This Row],[teamNumber]])</f>
        <v>2177</v>
      </c>
      <c r="B15" t="str">
        <f>IF(ISBLANK([1]!ScoutingData[[#This Row],[matchLevel]]),"",[1]!ScoutingData[[#This Row],[matchLevel]])</f>
        <v>qm</v>
      </c>
      <c r="C15">
        <f>IF(ISBLANK([1]!ScoutingData[[#This Row],[matchNumber]]),"",[1]!ScoutingData[[#This Row],[matchNumber]])</f>
        <v>11</v>
      </c>
      <c r="D15" t="str">
        <f>IF(ISBLANK([1]!ScoutingData[[#This Row],[event]]),"",[1]!ScoutingData[[#This Row],[event]])</f>
        <v>2024ndgf</v>
      </c>
      <c r="E15" t="str">
        <f>IF(ISBLANK([1]!ScoutingData[[#This Row],[position]]),"",[1]!ScoutingData[[#This Row],[position]])</f>
        <v>[7]</v>
      </c>
      <c r="F15">
        <f>IF(ISBLANK([1]!ScoutingData[[#This Row],[leaveStartingZone]]),"",[1]!ScoutingData[[#This Row],[leaveStartingZone]])</f>
        <v>0</v>
      </c>
      <c r="G15">
        <f>IF(ISBLANK([1]!ScoutingData[[#This Row],[autoAmpScore]]),"",[1]!ScoutingData[[#This Row],[autoAmpScore]])</f>
        <v>0</v>
      </c>
      <c r="H15">
        <f>IF(ISBLANK([1]!ScoutingData[[#This Row],[autoSpeakerScore]]),"",[1]!ScoutingData[[#This Row],[autoSpeakerScore]])</f>
        <v>0</v>
      </c>
    </row>
    <row r="16" spans="1:8" x14ac:dyDescent="0.45">
      <c r="A16">
        <f>IF(ISBLANK([1]!ScoutingData[[#This Row],[teamNumber]]),"",[1]!ScoutingData[[#This Row],[teamNumber]])</f>
        <v>2177</v>
      </c>
      <c r="B16" t="str">
        <f>IF(ISBLANK([1]!ScoutingData[[#This Row],[matchLevel]]),"",[1]!ScoutingData[[#This Row],[matchLevel]])</f>
        <v>qm</v>
      </c>
      <c r="C16">
        <f>IF(ISBLANK([1]!ScoutingData[[#This Row],[matchNumber]]),"",[1]!ScoutingData[[#This Row],[matchNumber]])</f>
        <v>5</v>
      </c>
      <c r="D16" t="str">
        <f>IF(ISBLANK([1]!ScoutingData[[#This Row],[event]]),"",[1]!ScoutingData[[#This Row],[event]])</f>
        <v>2024ndgf</v>
      </c>
      <c r="E16" t="str">
        <f>IF(ISBLANK([1]!ScoutingData[[#This Row],[position]]),"",[1]!ScoutingData[[#This Row],[position]])</f>
        <v>[7]</v>
      </c>
      <c r="F16">
        <f>IF(ISBLANK([1]!ScoutingData[[#This Row],[leaveStartingZone]]),"",[1]!ScoutingData[[#This Row],[leaveStartingZone]])</f>
        <v>1</v>
      </c>
      <c r="G16">
        <f>IF(ISBLANK([1]!ScoutingData[[#This Row],[autoAmpScore]]),"",[1]!ScoutingData[[#This Row],[autoAmpScore]])</f>
        <v>0</v>
      </c>
      <c r="H16">
        <f>IF(ISBLANK([1]!ScoutingData[[#This Row],[autoSpeakerScore]]),"",[1]!ScoutingData[[#This Row],[autoSpeakerScore]])</f>
        <v>0</v>
      </c>
    </row>
    <row r="17" spans="1:8" x14ac:dyDescent="0.45">
      <c r="A17">
        <f>IF(ISBLANK([1]!ScoutingData[[#This Row],[teamNumber]]),"",[1]!ScoutingData[[#This Row],[teamNumber]])</f>
        <v>2177</v>
      </c>
      <c r="B17" t="str">
        <f>IF(ISBLANK([1]!ScoutingData[[#This Row],[matchLevel]]),"",[1]!ScoutingData[[#This Row],[matchLevel]])</f>
        <v>qm</v>
      </c>
      <c r="C17">
        <f>IF(ISBLANK([1]!ScoutingData[[#This Row],[matchNumber]]),"",[1]!ScoutingData[[#This Row],[matchNumber]])</f>
        <v>56</v>
      </c>
      <c r="D17" t="str">
        <f>IF(ISBLANK([1]!ScoutingData[[#This Row],[event]]),"",[1]!ScoutingData[[#This Row],[event]])</f>
        <v>2024ndgf</v>
      </c>
      <c r="E17" t="str">
        <f>IF(ISBLANK([1]!ScoutingData[[#This Row],[position]]),"",[1]!ScoutingData[[#This Row],[position]])</f>
        <v>[7]</v>
      </c>
      <c r="F17">
        <f>IF(ISBLANK([1]!ScoutingData[[#This Row],[leaveStartingZone]]),"",[1]!ScoutingData[[#This Row],[leaveStartingZone]])</f>
        <v>1</v>
      </c>
      <c r="G17">
        <f>IF(ISBLANK([1]!ScoutingData[[#This Row],[autoAmpScore]]),"",[1]!ScoutingData[[#This Row],[autoAmpScore]])</f>
        <v>0</v>
      </c>
      <c r="H17">
        <f>IF(ISBLANK([1]!ScoutingData[[#This Row],[autoSpeakerScore]]),"",[1]!ScoutingData[[#This Row],[autoSpeakerScore]])</f>
        <v>0</v>
      </c>
    </row>
    <row r="18" spans="1:8" x14ac:dyDescent="0.45">
      <c r="A18">
        <f>IF(ISBLANK([1]!ScoutingData[[#This Row],[teamNumber]]),"",[1]!ScoutingData[[#This Row],[teamNumber]])</f>
        <v>2177</v>
      </c>
      <c r="B18" t="str">
        <f>IF(ISBLANK([1]!ScoutingData[[#This Row],[matchLevel]]),"",[1]!ScoutingData[[#This Row],[matchLevel]])</f>
        <v>qm</v>
      </c>
      <c r="C18">
        <f>IF(ISBLANK([1]!ScoutingData[[#This Row],[matchNumber]]),"",[1]!ScoutingData[[#This Row],[matchNumber]])</f>
        <v>46</v>
      </c>
      <c r="D18" t="str">
        <f>IF(ISBLANK([1]!ScoutingData[[#This Row],[event]]),"",[1]!ScoutingData[[#This Row],[event]])</f>
        <v>2024ndgf</v>
      </c>
      <c r="E18" t="str">
        <f>IF(ISBLANK([1]!ScoutingData[[#This Row],[position]]),"",[1]!ScoutingData[[#This Row],[position]])</f>
        <v>[7]</v>
      </c>
      <c r="F18">
        <f>IF(ISBLANK([1]!ScoutingData[[#This Row],[leaveStartingZone]]),"",[1]!ScoutingData[[#This Row],[leaveStartingZone]])</f>
        <v>1</v>
      </c>
      <c r="G18">
        <f>IF(ISBLANK([1]!ScoutingData[[#This Row],[autoAmpScore]]),"",[1]!ScoutingData[[#This Row],[autoAmpScore]])</f>
        <v>0</v>
      </c>
      <c r="H18">
        <f>IF(ISBLANK([1]!ScoutingData[[#This Row],[autoSpeakerScore]]),"",[1]!ScoutingData[[#This Row],[autoSpeakerScore]])</f>
        <v>0</v>
      </c>
    </row>
    <row r="19" spans="1:8" x14ac:dyDescent="0.45">
      <c r="A19">
        <f>IF(ISBLANK([1]!ScoutingData[[#This Row],[teamNumber]]),"",[1]!ScoutingData[[#This Row],[teamNumber]])</f>
        <v>2450</v>
      </c>
      <c r="B19" t="str">
        <f>IF(ISBLANK([1]!ScoutingData[[#This Row],[matchLevel]]),"",[1]!ScoutingData[[#This Row],[matchLevel]])</f>
        <v>p</v>
      </c>
      <c r="C19">
        <f>IF(ISBLANK([1]!ScoutingData[[#This Row],[matchNumber]]),"",[1]!ScoutingData[[#This Row],[matchNumber]])</f>
        <v>18</v>
      </c>
      <c r="D19" t="str">
        <f>IF(ISBLANK([1]!ScoutingData[[#This Row],[event]]),"",[1]!ScoutingData[[#This Row],[event]])</f>
        <v>2024ndgf</v>
      </c>
      <c r="E19" t="str">
        <f>IF(ISBLANK([1]!ScoutingData[[#This Row],[position]]),"",[1]!ScoutingData[[#This Row],[position]])</f>
        <v>[7]</v>
      </c>
      <c r="F19">
        <f>IF(ISBLANK([1]!ScoutingData[[#This Row],[leaveStartingZone]]),"",[1]!ScoutingData[[#This Row],[leaveStartingZone]])</f>
        <v>0</v>
      </c>
      <c r="G19">
        <f>IF(ISBLANK([1]!ScoutingData[[#This Row],[autoAmpScore]]),"",[1]!ScoutingData[[#This Row],[autoAmpScore]])</f>
        <v>0</v>
      </c>
      <c r="H19">
        <f>IF(ISBLANK([1]!ScoutingData[[#This Row],[autoSpeakerScore]]),"",[1]!ScoutingData[[#This Row],[autoSpeakerScore]])</f>
        <v>1</v>
      </c>
    </row>
    <row r="20" spans="1:8" x14ac:dyDescent="0.45">
      <c r="A20">
        <f>IF(ISBLANK([1]!ScoutingData[[#This Row],[teamNumber]]),"",[1]!ScoutingData[[#This Row],[teamNumber]])</f>
        <v>2450</v>
      </c>
      <c r="B20" t="str">
        <f>IF(ISBLANK([1]!ScoutingData[[#This Row],[matchLevel]]),"",[1]!ScoutingData[[#This Row],[matchLevel]])</f>
        <v>qm</v>
      </c>
      <c r="C20">
        <f>IF(ISBLANK([1]!ScoutingData[[#This Row],[matchNumber]]),"",[1]!ScoutingData[[#This Row],[matchNumber]])</f>
        <v>35</v>
      </c>
      <c r="D20" t="str">
        <f>IF(ISBLANK([1]!ScoutingData[[#This Row],[event]]),"",[1]!ScoutingData[[#This Row],[event]])</f>
        <v>2024ndgf</v>
      </c>
      <c r="E20" t="str">
        <f>IF(ISBLANK([1]!ScoutingData[[#This Row],[position]]),"",[1]!ScoutingData[[#This Row],[position]])</f>
        <v>[9]</v>
      </c>
      <c r="F20">
        <f>IF(ISBLANK([1]!ScoutingData[[#This Row],[leaveStartingZone]]),"",[1]!ScoutingData[[#This Row],[leaveStartingZone]])</f>
        <v>0</v>
      </c>
      <c r="G20">
        <f>IF(ISBLANK([1]!ScoutingData[[#This Row],[autoAmpScore]]),"",[1]!ScoutingData[[#This Row],[autoAmpScore]])</f>
        <v>0</v>
      </c>
      <c r="H20">
        <f>IF(ISBLANK([1]!ScoutingData[[#This Row],[autoSpeakerScore]]),"",[1]!ScoutingData[[#This Row],[autoSpeakerScore]])</f>
        <v>1</v>
      </c>
    </row>
    <row r="21" spans="1:8" x14ac:dyDescent="0.45">
      <c r="A21">
        <f>IF(ISBLANK([1]!ScoutingData[[#This Row],[teamNumber]]),"",[1]!ScoutingData[[#This Row],[teamNumber]])</f>
        <v>2450</v>
      </c>
      <c r="B21" t="str">
        <f>IF(ISBLANK([1]!ScoutingData[[#This Row],[matchLevel]]),"",[1]!ScoutingData[[#This Row],[matchLevel]])</f>
        <v>qm</v>
      </c>
      <c r="C21">
        <f>IF(ISBLANK([1]!ScoutingData[[#This Row],[matchNumber]]),"",[1]!ScoutingData[[#This Row],[matchNumber]])</f>
        <v>28</v>
      </c>
      <c r="D21" t="str">
        <f>IF(ISBLANK([1]!ScoutingData[[#This Row],[event]]),"",[1]!ScoutingData[[#This Row],[event]])</f>
        <v>2024ndgf</v>
      </c>
      <c r="E21" t="str">
        <f>IF(ISBLANK([1]!ScoutingData[[#This Row],[position]]),"",[1]!ScoutingData[[#This Row],[position]])</f>
        <v>[7]</v>
      </c>
      <c r="F21">
        <f>IF(ISBLANK([1]!ScoutingData[[#This Row],[leaveStartingZone]]),"",[1]!ScoutingData[[#This Row],[leaveStartingZone]])</f>
        <v>0</v>
      </c>
      <c r="G21">
        <f>IF(ISBLANK([1]!ScoutingData[[#This Row],[autoAmpScore]]),"",[1]!ScoutingData[[#This Row],[autoAmpScore]])</f>
        <v>0</v>
      </c>
      <c r="H21">
        <f>IF(ISBLANK([1]!ScoutingData[[#This Row],[autoSpeakerScore]]),"",[1]!ScoutingData[[#This Row],[autoSpeakerScore]])</f>
        <v>1</v>
      </c>
    </row>
    <row r="22" spans="1:8" x14ac:dyDescent="0.45">
      <c r="A22">
        <f>IF(ISBLANK([1]!ScoutingData[[#This Row],[teamNumber]]),"",[1]!ScoutingData[[#This Row],[teamNumber]])</f>
        <v>2450</v>
      </c>
      <c r="B22" t="str">
        <f>IF(ISBLANK([1]!ScoutingData[[#This Row],[matchLevel]]),"",[1]!ScoutingData[[#This Row],[matchLevel]])</f>
        <v>qm</v>
      </c>
      <c r="C22">
        <f>IF(ISBLANK([1]!ScoutingData[[#This Row],[matchNumber]]),"",[1]!ScoutingData[[#This Row],[matchNumber]])</f>
        <v>55</v>
      </c>
      <c r="D22" t="str">
        <f>IF(ISBLANK([1]!ScoutingData[[#This Row],[event]]),"",[1]!ScoutingData[[#This Row],[event]])</f>
        <v>2024ndgf</v>
      </c>
      <c r="E22" t="str">
        <f>IF(ISBLANK([1]!ScoutingData[[#This Row],[position]]),"",[1]!ScoutingData[[#This Row],[position]])</f>
        <v>[11]</v>
      </c>
      <c r="F22">
        <f>IF(ISBLANK([1]!ScoutingData[[#This Row],[leaveStartingZone]]),"",[1]!ScoutingData[[#This Row],[leaveStartingZone]])</f>
        <v>1</v>
      </c>
      <c r="G22">
        <f>IF(ISBLANK([1]!ScoutingData[[#This Row],[autoAmpScore]]),"",[1]!ScoutingData[[#This Row],[autoAmpScore]])</f>
        <v>0</v>
      </c>
      <c r="H22">
        <f>IF(ISBLANK([1]!ScoutingData[[#This Row],[autoSpeakerScore]]),"",[1]!ScoutingData[[#This Row],[autoSpeakerScore]])</f>
        <v>0</v>
      </c>
    </row>
    <row r="23" spans="1:8" x14ac:dyDescent="0.45">
      <c r="A23">
        <f>IF(ISBLANK([1]!ScoutingData[[#This Row],[teamNumber]]),"",[1]!ScoutingData[[#This Row],[teamNumber]])</f>
        <v>2450</v>
      </c>
      <c r="B23" t="str">
        <f>IF(ISBLANK([1]!ScoutingData[[#This Row],[matchLevel]]),"",[1]!ScoutingData[[#This Row],[matchLevel]])</f>
        <v>qm</v>
      </c>
      <c r="C23">
        <f>IF(ISBLANK([1]!ScoutingData[[#This Row],[matchNumber]]),"",[1]!ScoutingData[[#This Row],[matchNumber]])</f>
        <v>45</v>
      </c>
      <c r="D23" t="str">
        <f>IF(ISBLANK([1]!ScoutingData[[#This Row],[event]]),"",[1]!ScoutingData[[#This Row],[event]])</f>
        <v>2024ndgf</v>
      </c>
      <c r="E23" t="str">
        <f>IF(ISBLANK([1]!ScoutingData[[#This Row],[position]]),"",[1]!ScoutingData[[#This Row],[position]])</f>
        <v>[11]</v>
      </c>
      <c r="F23">
        <f>IF(ISBLANK([1]!ScoutingData[[#This Row],[leaveStartingZone]]),"",[1]!ScoutingData[[#This Row],[leaveStartingZone]])</f>
        <v>1</v>
      </c>
      <c r="G23">
        <f>IF(ISBLANK([1]!ScoutingData[[#This Row],[autoAmpScore]]),"",[1]!ScoutingData[[#This Row],[autoAmpScore]])</f>
        <v>0</v>
      </c>
      <c r="H23">
        <f>IF(ISBLANK([1]!ScoutingData[[#This Row],[autoSpeakerScore]]),"",[1]!ScoutingData[[#This Row],[autoSpeakerScore]])</f>
        <v>0</v>
      </c>
    </row>
    <row r="24" spans="1:8" x14ac:dyDescent="0.45">
      <c r="A24">
        <f>IF(ISBLANK([1]!ScoutingData[[#This Row],[teamNumber]]),"",[1]!ScoutingData[[#This Row],[teamNumber]])</f>
        <v>2500</v>
      </c>
      <c r="B24" t="str">
        <f>IF(ISBLANK([1]!ScoutingData[[#This Row],[matchLevel]]),"",[1]!ScoutingData[[#This Row],[matchLevel]])</f>
        <v>p</v>
      </c>
      <c r="C24">
        <f>IF(ISBLANK([1]!ScoutingData[[#This Row],[matchNumber]]),"",[1]!ScoutingData[[#This Row],[matchNumber]])</f>
        <v>9</v>
      </c>
      <c r="D24" t="str">
        <f>IF(ISBLANK([1]!ScoutingData[[#This Row],[event]]),"",[1]!ScoutingData[[#This Row],[event]])</f>
        <v>2024ndgf</v>
      </c>
      <c r="E24" t="str">
        <f>IF(ISBLANK([1]!ScoutingData[[#This Row],[position]]),"",[1]!ScoutingData[[#This Row],[position]])</f>
        <v>[8]</v>
      </c>
      <c r="F24">
        <f>IF(ISBLANK([1]!ScoutingData[[#This Row],[leaveStartingZone]]),"",[1]!ScoutingData[[#This Row],[leaveStartingZone]])</f>
        <v>1</v>
      </c>
      <c r="G24">
        <f>IF(ISBLANK([1]!ScoutingData[[#This Row],[autoAmpScore]]),"",[1]!ScoutingData[[#This Row],[autoAmpScore]])</f>
        <v>0</v>
      </c>
      <c r="H24">
        <f>IF(ISBLANK([1]!ScoutingData[[#This Row],[autoSpeakerScore]]),"",[1]!ScoutingData[[#This Row],[autoSpeakerScore]])</f>
        <v>1</v>
      </c>
    </row>
    <row r="25" spans="1:8" x14ac:dyDescent="0.45">
      <c r="A25">
        <f>IF(ISBLANK([1]!ScoutingData[[#This Row],[teamNumber]]),"",[1]!ScoutingData[[#This Row],[teamNumber]])</f>
        <v>2500</v>
      </c>
      <c r="B25" t="str">
        <f>IF(ISBLANK([1]!ScoutingData[[#This Row],[matchLevel]]),"",[1]!ScoutingData[[#This Row],[matchLevel]])</f>
        <v>p</v>
      </c>
      <c r="C25">
        <f>IF(ISBLANK([1]!ScoutingData[[#This Row],[matchNumber]]),"",[1]!ScoutingData[[#This Row],[matchNumber]])</f>
        <v>22</v>
      </c>
      <c r="D25" t="str">
        <f>IF(ISBLANK([1]!ScoutingData[[#This Row],[event]]),"",[1]!ScoutingData[[#This Row],[event]])</f>
        <v>2024ndgf</v>
      </c>
      <c r="E25" t="str">
        <f>IF(ISBLANK([1]!ScoutingData[[#This Row],[position]]),"",[1]!ScoutingData[[#This Row],[position]])</f>
        <v>[7]</v>
      </c>
      <c r="F25">
        <f>IF(ISBLANK([1]!ScoutingData[[#This Row],[leaveStartingZone]]),"",[1]!ScoutingData[[#This Row],[leaveStartingZone]])</f>
        <v>1</v>
      </c>
      <c r="G25">
        <f>IF(ISBLANK([1]!ScoutingData[[#This Row],[autoAmpScore]]),"",[1]!ScoutingData[[#This Row],[autoAmpScore]])</f>
        <v>0</v>
      </c>
      <c r="H25">
        <f>IF(ISBLANK([1]!ScoutingData[[#This Row],[autoSpeakerScore]]),"",[1]!ScoutingData[[#This Row],[autoSpeakerScore]])</f>
        <v>0</v>
      </c>
    </row>
    <row r="26" spans="1:8" x14ac:dyDescent="0.45">
      <c r="A26">
        <f>IF(ISBLANK([1]!ScoutingData[[#This Row],[teamNumber]]),"",[1]!ScoutingData[[#This Row],[teamNumber]])</f>
        <v>2500</v>
      </c>
      <c r="B26" t="str">
        <f>IF(ISBLANK([1]!ScoutingData[[#This Row],[matchLevel]]),"",[1]!ScoutingData[[#This Row],[matchLevel]])</f>
        <v>p</v>
      </c>
      <c r="C26">
        <f>IF(ISBLANK([1]!ScoutingData[[#This Row],[matchNumber]]),"",[1]!ScoutingData[[#This Row],[matchNumber]])</f>
        <v>24</v>
      </c>
      <c r="D26" t="str">
        <f>IF(ISBLANK([1]!ScoutingData[[#This Row],[event]]),"",[1]!ScoutingData[[#This Row],[event]])</f>
        <v>2024ndgf</v>
      </c>
      <c r="E26" t="str">
        <f>IF(ISBLANK([1]!ScoutingData[[#This Row],[position]]),"",[1]!ScoutingData[[#This Row],[position]])</f>
        <v>[7]</v>
      </c>
      <c r="F26">
        <f>IF(ISBLANK([1]!ScoutingData[[#This Row],[leaveStartingZone]]),"",[1]!ScoutingData[[#This Row],[leaveStartingZone]])</f>
        <v>1</v>
      </c>
      <c r="G26">
        <f>IF(ISBLANK([1]!ScoutingData[[#This Row],[autoAmpScore]]),"",[1]!ScoutingData[[#This Row],[autoAmpScore]])</f>
        <v>0</v>
      </c>
      <c r="H26">
        <f>IF(ISBLANK([1]!ScoutingData[[#This Row],[autoSpeakerScore]]),"",[1]!ScoutingData[[#This Row],[autoSpeakerScore]])</f>
        <v>1</v>
      </c>
    </row>
    <row r="27" spans="1:8" x14ac:dyDescent="0.45">
      <c r="A27">
        <f>IF(ISBLANK([1]!ScoutingData[[#This Row],[teamNumber]]),"",[1]!ScoutingData[[#This Row],[teamNumber]])</f>
        <v>2500</v>
      </c>
      <c r="B27" t="str">
        <f>IF(ISBLANK([1]!ScoutingData[[#This Row],[matchLevel]]),"",[1]!ScoutingData[[#This Row],[matchLevel]])</f>
        <v>qm</v>
      </c>
      <c r="C27">
        <f>IF(ISBLANK([1]!ScoutingData[[#This Row],[matchNumber]]),"",[1]!ScoutingData[[#This Row],[matchNumber]])</f>
        <v>43</v>
      </c>
      <c r="D27" t="str">
        <f>IF(ISBLANK([1]!ScoutingData[[#This Row],[event]]),"",[1]!ScoutingData[[#This Row],[event]])</f>
        <v>2024ndgf</v>
      </c>
      <c r="E27" t="str">
        <f>IF(ISBLANK([1]!ScoutingData[[#This Row],[position]]),"",[1]!ScoutingData[[#This Row],[position]])</f>
        <v>[3]</v>
      </c>
      <c r="F27">
        <f>IF(ISBLANK([1]!ScoutingData[[#This Row],[leaveStartingZone]]),"",[1]!ScoutingData[[#This Row],[leaveStartingZone]])</f>
        <v>1</v>
      </c>
      <c r="G27">
        <f>IF(ISBLANK([1]!ScoutingData[[#This Row],[autoAmpScore]]),"",[1]!ScoutingData[[#This Row],[autoAmpScore]])</f>
        <v>0</v>
      </c>
      <c r="H27">
        <f>IF(ISBLANK([1]!ScoutingData[[#This Row],[autoSpeakerScore]]),"",[1]!ScoutingData[[#This Row],[autoSpeakerScore]])</f>
        <v>0</v>
      </c>
    </row>
    <row r="28" spans="1:8" x14ac:dyDescent="0.45">
      <c r="A28">
        <f>IF(ISBLANK([1]!ScoutingData[[#This Row],[teamNumber]]),"",[1]!ScoutingData[[#This Row],[teamNumber]])</f>
        <v>2508</v>
      </c>
      <c r="B28" t="str">
        <f>IF(ISBLANK([1]!ScoutingData[[#This Row],[matchLevel]]),"",[1]!ScoutingData[[#This Row],[matchLevel]])</f>
        <v>qm</v>
      </c>
      <c r="C28">
        <f>IF(ISBLANK([1]!ScoutingData[[#This Row],[matchNumber]]),"",[1]!ScoutingData[[#This Row],[matchNumber]])</f>
        <v>60</v>
      </c>
      <c r="D28" t="str">
        <f>IF(ISBLANK([1]!ScoutingData[[#This Row],[event]]),"",[1]!ScoutingData[[#This Row],[event]])</f>
        <v>2024ndgf</v>
      </c>
      <c r="E28" t="str">
        <f>IF(ISBLANK([1]!ScoutingData[[#This Row],[position]]),"",[1]!ScoutingData[[#This Row],[position]])</f>
        <v>[9]</v>
      </c>
      <c r="F28">
        <f>IF(ISBLANK([1]!ScoutingData[[#This Row],[leaveStartingZone]]),"",[1]!ScoutingData[[#This Row],[leaveStartingZone]])</f>
        <v>1</v>
      </c>
      <c r="G28">
        <f>IF(ISBLANK([1]!ScoutingData[[#This Row],[autoAmpScore]]),"",[1]!ScoutingData[[#This Row],[autoAmpScore]])</f>
        <v>0</v>
      </c>
      <c r="H28">
        <f>IF(ISBLANK([1]!ScoutingData[[#This Row],[autoSpeakerScore]]),"",[1]!ScoutingData[[#This Row],[autoSpeakerScore]])</f>
        <v>2</v>
      </c>
    </row>
    <row r="29" spans="1:8" x14ac:dyDescent="0.45">
      <c r="A29">
        <f>IF(ISBLANK([1]!ScoutingData[[#This Row],[teamNumber]]),"",[1]!ScoutingData[[#This Row],[teamNumber]])</f>
        <v>2530</v>
      </c>
      <c r="B29" t="str">
        <f>IF(ISBLANK([1]!ScoutingData[[#This Row],[matchLevel]]),"",[1]!ScoutingData[[#This Row],[matchLevel]])</f>
        <v>p</v>
      </c>
      <c r="C29">
        <f>IF(ISBLANK([1]!ScoutingData[[#This Row],[matchNumber]]),"",[1]!ScoutingData[[#This Row],[matchNumber]])</f>
        <v>7</v>
      </c>
      <c r="D29" t="str">
        <f>IF(ISBLANK([1]!ScoutingData[[#This Row],[event]]),"",[1]!ScoutingData[[#This Row],[event]])</f>
        <v>2024ndgf</v>
      </c>
      <c r="E29" t="str">
        <f>IF(ISBLANK([1]!ScoutingData[[#This Row],[position]]),"",[1]!ScoutingData[[#This Row],[position]])</f>
        <v>[6]</v>
      </c>
      <c r="F29">
        <f>IF(ISBLANK([1]!ScoutingData[[#This Row],[leaveStartingZone]]),"",[1]!ScoutingData[[#This Row],[leaveStartingZone]])</f>
        <v>1</v>
      </c>
      <c r="G29">
        <f>IF(ISBLANK([1]!ScoutingData[[#This Row],[autoAmpScore]]),"",[1]!ScoutingData[[#This Row],[autoAmpScore]])</f>
        <v>0</v>
      </c>
      <c r="H29">
        <f>IF(ISBLANK([1]!ScoutingData[[#This Row],[autoSpeakerScore]]),"",[1]!ScoutingData[[#This Row],[autoSpeakerScore]])</f>
        <v>4</v>
      </c>
    </row>
    <row r="30" spans="1:8" x14ac:dyDescent="0.45">
      <c r="A30">
        <f>IF(ISBLANK([1]!ScoutingData[[#This Row],[teamNumber]]),"",[1]!ScoutingData[[#This Row],[teamNumber]])</f>
        <v>2530</v>
      </c>
      <c r="B30" t="str">
        <f>IF(ISBLANK([1]!ScoutingData[[#This Row],[matchLevel]]),"",[1]!ScoutingData[[#This Row],[matchLevel]])</f>
        <v>qm</v>
      </c>
      <c r="C30">
        <f>IF(ISBLANK([1]!ScoutingData[[#This Row],[matchNumber]]),"",[1]!ScoutingData[[#This Row],[matchNumber]])</f>
        <v>15</v>
      </c>
      <c r="D30" t="str">
        <f>IF(ISBLANK([1]!ScoutingData[[#This Row],[event]]),"",[1]!ScoutingData[[#This Row],[event]])</f>
        <v>2024ndgf</v>
      </c>
      <c r="E30" t="str">
        <f>IF(ISBLANK([1]!ScoutingData[[#This Row],[position]]),"",[1]!ScoutingData[[#This Row],[position]])</f>
        <v>[7]</v>
      </c>
      <c r="F30">
        <f>IF(ISBLANK([1]!ScoutingData[[#This Row],[leaveStartingZone]]),"",[1]!ScoutingData[[#This Row],[leaveStartingZone]])</f>
        <v>1</v>
      </c>
      <c r="G30">
        <f>IF(ISBLANK([1]!ScoutingData[[#This Row],[autoAmpScore]]),"",[1]!ScoutingData[[#This Row],[autoAmpScore]])</f>
        <v>0</v>
      </c>
      <c r="H30">
        <f>IF(ISBLANK([1]!ScoutingData[[#This Row],[autoSpeakerScore]]),"",[1]!ScoutingData[[#This Row],[autoSpeakerScore]])</f>
        <v>3</v>
      </c>
    </row>
    <row r="31" spans="1:8" x14ac:dyDescent="0.45">
      <c r="A31">
        <f>IF(ISBLANK([1]!ScoutingData[[#This Row],[teamNumber]]),"",[1]!ScoutingData[[#This Row],[teamNumber]])</f>
        <v>2530</v>
      </c>
      <c r="B31" t="str">
        <f>IF(ISBLANK([1]!ScoutingData[[#This Row],[matchLevel]]),"",[1]!ScoutingData[[#This Row],[matchLevel]])</f>
        <v>qm</v>
      </c>
      <c r="C31">
        <f>IF(ISBLANK([1]!ScoutingData[[#This Row],[matchNumber]]),"",[1]!ScoutingData[[#This Row],[matchNumber]])</f>
        <v>22</v>
      </c>
      <c r="D31" t="str">
        <f>IF(ISBLANK([1]!ScoutingData[[#This Row],[event]]),"",[1]!ScoutingData[[#This Row],[event]])</f>
        <v>2024ndgf</v>
      </c>
      <c r="E31" t="str">
        <f>IF(ISBLANK([1]!ScoutingData[[#This Row],[position]]),"",[1]!ScoutingData[[#This Row],[position]])</f>
        <v>[11]</v>
      </c>
      <c r="F31">
        <f>IF(ISBLANK([1]!ScoutingData[[#This Row],[leaveStartingZone]]),"",[1]!ScoutingData[[#This Row],[leaveStartingZone]])</f>
        <v>1</v>
      </c>
      <c r="G31">
        <f>IF(ISBLANK([1]!ScoutingData[[#This Row],[autoAmpScore]]),"",[1]!ScoutingData[[#This Row],[autoAmpScore]])</f>
        <v>0</v>
      </c>
      <c r="H31">
        <f>IF(ISBLANK([1]!ScoutingData[[#This Row],[autoSpeakerScore]]),"",[1]!ScoutingData[[#This Row],[autoSpeakerScore]])</f>
        <v>0</v>
      </c>
    </row>
    <row r="32" spans="1:8" x14ac:dyDescent="0.45">
      <c r="A32">
        <f>IF(ISBLANK([1]!ScoutingData[[#This Row],[teamNumber]]),"",[1]!ScoutingData[[#This Row],[teamNumber]])</f>
        <v>2530</v>
      </c>
      <c r="B32" t="str">
        <f>IF(ISBLANK([1]!ScoutingData[[#This Row],[matchLevel]]),"",[1]!ScoutingData[[#This Row],[matchLevel]])</f>
        <v>p</v>
      </c>
      <c r="C32">
        <f>IF(ISBLANK([1]!ScoutingData[[#This Row],[matchNumber]]),"",[1]!ScoutingData[[#This Row],[matchNumber]])</f>
        <v>22</v>
      </c>
      <c r="D32" t="str">
        <f>IF(ISBLANK([1]!ScoutingData[[#This Row],[event]]),"",[1]!ScoutingData[[#This Row],[event]])</f>
        <v>2024ndgf</v>
      </c>
      <c r="E32" t="str">
        <f>IF(ISBLANK([1]!ScoutingData[[#This Row],[position]]),"",[1]!ScoutingData[[#This Row],[position]])</f>
        <v>[10]</v>
      </c>
      <c r="F32">
        <f>IF(ISBLANK([1]!ScoutingData[[#This Row],[leaveStartingZone]]),"",[1]!ScoutingData[[#This Row],[leaveStartingZone]])</f>
        <v>0</v>
      </c>
      <c r="G32">
        <f>IF(ISBLANK([1]!ScoutingData[[#This Row],[autoAmpScore]]),"",[1]!ScoutingData[[#This Row],[autoAmpScore]])</f>
        <v>0</v>
      </c>
      <c r="H32">
        <f>IF(ISBLANK([1]!ScoutingData[[#This Row],[autoSpeakerScore]]),"",[1]!ScoutingData[[#This Row],[autoSpeakerScore]])</f>
        <v>1</v>
      </c>
    </row>
    <row r="33" spans="1:8" x14ac:dyDescent="0.45">
      <c r="A33">
        <f>IF(ISBLANK([1]!ScoutingData[[#This Row],[teamNumber]]),"",[1]!ScoutingData[[#This Row],[teamNumber]])</f>
        <v>2530</v>
      </c>
      <c r="B33" t="str">
        <f>IF(ISBLANK([1]!ScoutingData[[#This Row],[matchLevel]]),"",[1]!ScoutingData[[#This Row],[matchLevel]])</f>
        <v>qm</v>
      </c>
      <c r="C33">
        <f>IF(ISBLANK([1]!ScoutingData[[#This Row],[matchNumber]]),"",[1]!ScoutingData[[#This Row],[matchNumber]])</f>
        <v>8</v>
      </c>
      <c r="D33" t="str">
        <f>IF(ISBLANK([1]!ScoutingData[[#This Row],[event]]),"",[1]!ScoutingData[[#This Row],[event]])</f>
        <v>2024ndgf</v>
      </c>
      <c r="E33" t="str">
        <f>IF(ISBLANK([1]!ScoutingData[[#This Row],[position]]),"",[1]!ScoutingData[[#This Row],[position]])</f>
        <v>[10]</v>
      </c>
      <c r="F33">
        <f>IF(ISBLANK([1]!ScoutingData[[#This Row],[leaveStartingZone]]),"",[1]!ScoutingData[[#This Row],[leaveStartingZone]])</f>
        <v>1</v>
      </c>
      <c r="G33">
        <f>IF(ISBLANK([1]!ScoutingData[[#This Row],[autoAmpScore]]),"",[1]!ScoutingData[[#This Row],[autoAmpScore]])</f>
        <v>0</v>
      </c>
      <c r="H33">
        <f>IF(ISBLANK([1]!ScoutingData[[#This Row],[autoSpeakerScore]]),"",[1]!ScoutingData[[#This Row],[autoSpeakerScore]])</f>
        <v>1</v>
      </c>
    </row>
    <row r="34" spans="1:8" x14ac:dyDescent="0.45">
      <c r="A34">
        <f>IF(ISBLANK([1]!ScoutingData[[#This Row],[teamNumber]]),"",[1]!ScoutingData[[#This Row],[teamNumber]])</f>
        <v>2530</v>
      </c>
      <c r="B34" t="str">
        <f>IF(ISBLANK([1]!ScoutingData[[#This Row],[matchLevel]]),"",[1]!ScoutingData[[#This Row],[matchLevel]])</f>
        <v>qm</v>
      </c>
      <c r="C34">
        <f>IF(ISBLANK([1]!ScoutingData[[#This Row],[matchNumber]]),"",[1]!ScoutingData[[#This Row],[matchNumber]])</f>
        <v>32</v>
      </c>
      <c r="D34" t="str">
        <f>IF(ISBLANK([1]!ScoutingData[[#This Row],[event]]),"",[1]!ScoutingData[[#This Row],[event]])</f>
        <v>2024ndgf</v>
      </c>
      <c r="E34" t="str">
        <f>IF(ISBLANK([1]!ScoutingData[[#This Row],[position]]),"",[1]!ScoutingData[[#This Row],[position]])</f>
        <v>[8]</v>
      </c>
      <c r="F34">
        <f>IF(ISBLANK([1]!ScoutingData[[#This Row],[leaveStartingZone]]),"",[1]!ScoutingData[[#This Row],[leaveStartingZone]])</f>
        <v>1</v>
      </c>
      <c r="G34">
        <f>IF(ISBLANK([1]!ScoutingData[[#This Row],[autoAmpScore]]),"",[1]!ScoutingData[[#This Row],[autoAmpScore]])</f>
        <v>0</v>
      </c>
      <c r="H34">
        <f>IF(ISBLANK([1]!ScoutingData[[#This Row],[autoSpeakerScore]]),"",[1]!ScoutingData[[#This Row],[autoSpeakerScore]])</f>
        <v>2</v>
      </c>
    </row>
    <row r="35" spans="1:8" x14ac:dyDescent="0.45">
      <c r="A35">
        <f>IF(ISBLANK([1]!ScoutingData[[#This Row],[teamNumber]]),"",[1]!ScoutingData[[#This Row],[teamNumber]])</f>
        <v>2530</v>
      </c>
      <c r="B35" t="str">
        <f>IF(ISBLANK([1]!ScoutingData[[#This Row],[matchLevel]]),"",[1]!ScoutingData[[#This Row],[matchLevel]])</f>
        <v>qm</v>
      </c>
      <c r="C35">
        <f>IF(ISBLANK([1]!ScoutingData[[#This Row],[matchNumber]]),"",[1]!ScoutingData[[#This Row],[matchNumber]])</f>
        <v>49</v>
      </c>
      <c r="D35" t="str">
        <f>IF(ISBLANK([1]!ScoutingData[[#This Row],[event]]),"",[1]!ScoutingData[[#This Row],[event]])</f>
        <v>2024ndgf</v>
      </c>
      <c r="E35" t="str">
        <f>IF(ISBLANK([1]!ScoutingData[[#This Row],[position]]),"",[1]!ScoutingData[[#This Row],[position]])</f>
        <v>[7]</v>
      </c>
      <c r="F35">
        <f>IF(ISBLANK([1]!ScoutingData[[#This Row],[leaveStartingZone]]),"",[1]!ScoutingData[[#This Row],[leaveStartingZone]])</f>
        <v>1</v>
      </c>
      <c r="G35">
        <f>IF(ISBLANK([1]!ScoutingData[[#This Row],[autoAmpScore]]),"",[1]!ScoutingData[[#This Row],[autoAmpScore]])</f>
        <v>0</v>
      </c>
      <c r="H35">
        <f>IF(ISBLANK([1]!ScoutingData[[#This Row],[autoSpeakerScore]]),"",[1]!ScoutingData[[#This Row],[autoSpeakerScore]])</f>
        <v>2</v>
      </c>
    </row>
    <row r="36" spans="1:8" x14ac:dyDescent="0.45">
      <c r="A36">
        <f>IF(ISBLANK([1]!ScoutingData[[#This Row],[teamNumber]]),"",[1]!ScoutingData[[#This Row],[teamNumber]])</f>
        <v>2530</v>
      </c>
      <c r="B36" t="str">
        <f>IF(ISBLANK([1]!ScoutingData[[#This Row],[matchLevel]]),"",[1]!ScoutingData[[#This Row],[matchLevel]])</f>
        <v>qm</v>
      </c>
      <c r="C36">
        <f>IF(ISBLANK([1]!ScoutingData[[#This Row],[matchNumber]]),"",[1]!ScoutingData[[#This Row],[matchNumber]])</f>
        <v>41</v>
      </c>
      <c r="D36" t="str">
        <f>IF(ISBLANK([1]!ScoutingData[[#This Row],[event]]),"",[1]!ScoutingData[[#This Row],[event]])</f>
        <v>2024ndgf</v>
      </c>
      <c r="E36" t="str">
        <f>IF(ISBLANK([1]!ScoutingData[[#This Row],[position]]),"",[1]!ScoutingData[[#This Row],[position]])</f>
        <v>[7]</v>
      </c>
      <c r="F36">
        <f>IF(ISBLANK([1]!ScoutingData[[#This Row],[leaveStartingZone]]),"",[1]!ScoutingData[[#This Row],[leaveStartingZone]])</f>
        <v>1</v>
      </c>
      <c r="G36">
        <f>IF(ISBLANK([1]!ScoutingData[[#This Row],[autoAmpScore]]),"",[1]!ScoutingData[[#This Row],[autoAmpScore]])</f>
        <v>0</v>
      </c>
      <c r="H36">
        <f>IF(ISBLANK([1]!ScoutingData[[#This Row],[autoSpeakerScore]]),"",[1]!ScoutingData[[#This Row],[autoSpeakerScore]])</f>
        <v>1</v>
      </c>
    </row>
    <row r="37" spans="1:8" x14ac:dyDescent="0.45">
      <c r="A37">
        <f>IF(ISBLANK([1]!ScoutingData[[#This Row],[teamNumber]]),"",[1]!ScoutingData[[#This Row],[teamNumber]])</f>
        <v>2549</v>
      </c>
      <c r="B37" t="str">
        <f>IF(ISBLANK([1]!ScoutingData[[#This Row],[matchLevel]]),"",[1]!ScoutingData[[#This Row],[matchLevel]])</f>
        <v>p</v>
      </c>
      <c r="C37">
        <f>IF(ISBLANK([1]!ScoutingData[[#This Row],[matchNumber]]),"",[1]!ScoutingData[[#This Row],[matchNumber]])</f>
        <v>10</v>
      </c>
      <c r="D37" t="str">
        <f>IF(ISBLANK([1]!ScoutingData[[#This Row],[event]]),"",[1]!ScoutingData[[#This Row],[event]])</f>
        <v>2024ndgf</v>
      </c>
      <c r="E37" t="str">
        <f>IF(ISBLANK([1]!ScoutingData[[#This Row],[position]]),"",[1]!ScoutingData[[#This Row],[position]])</f>
        <v>[7]</v>
      </c>
      <c r="F37">
        <f>IF(ISBLANK([1]!ScoutingData[[#This Row],[leaveStartingZone]]),"",[1]!ScoutingData[[#This Row],[leaveStartingZone]])</f>
        <v>0</v>
      </c>
      <c r="G37">
        <f>IF(ISBLANK([1]!ScoutingData[[#This Row],[autoAmpScore]]),"",[1]!ScoutingData[[#This Row],[autoAmpScore]])</f>
        <v>0</v>
      </c>
      <c r="H37">
        <f>IF(ISBLANK([1]!ScoutingData[[#This Row],[autoSpeakerScore]]),"",[1]!ScoutingData[[#This Row],[autoSpeakerScore]])</f>
        <v>0</v>
      </c>
    </row>
    <row r="38" spans="1:8" x14ac:dyDescent="0.45">
      <c r="A38">
        <f>IF(ISBLANK([1]!ScoutingData[[#This Row],[teamNumber]]),"",[1]!ScoutingData[[#This Row],[teamNumber]])</f>
        <v>2549</v>
      </c>
      <c r="B38" t="str">
        <f>IF(ISBLANK([1]!ScoutingData[[#This Row],[matchLevel]]),"",[1]!ScoutingData[[#This Row],[matchLevel]])</f>
        <v>qm</v>
      </c>
      <c r="C38">
        <f>IF(ISBLANK([1]!ScoutingData[[#This Row],[matchNumber]]),"",[1]!ScoutingData[[#This Row],[matchNumber]])</f>
        <v>23</v>
      </c>
      <c r="D38" t="str">
        <f>IF(ISBLANK([1]!ScoutingData[[#This Row],[event]]),"",[1]!ScoutingData[[#This Row],[event]])</f>
        <v>2024ndgf</v>
      </c>
      <c r="E38" t="str">
        <f>IF(ISBLANK([1]!ScoutingData[[#This Row],[position]]),"",[1]!ScoutingData[[#This Row],[position]])</f>
        <v>[10]</v>
      </c>
      <c r="F38">
        <f>IF(ISBLANK([1]!ScoutingData[[#This Row],[leaveStartingZone]]),"",[1]!ScoutingData[[#This Row],[leaveStartingZone]])</f>
        <v>0</v>
      </c>
      <c r="G38">
        <f>IF(ISBLANK([1]!ScoutingData[[#This Row],[autoAmpScore]]),"",[1]!ScoutingData[[#This Row],[autoAmpScore]])</f>
        <v>0</v>
      </c>
      <c r="H38">
        <f>IF(ISBLANK([1]!ScoutingData[[#This Row],[autoSpeakerScore]]),"",[1]!ScoutingData[[#This Row],[autoSpeakerScore]])</f>
        <v>1</v>
      </c>
    </row>
    <row r="39" spans="1:8" x14ac:dyDescent="0.45">
      <c r="A39">
        <f>IF(ISBLANK([1]!ScoutingData[[#This Row],[teamNumber]]),"",[1]!ScoutingData[[#This Row],[teamNumber]])</f>
        <v>2549</v>
      </c>
      <c r="B39" t="str">
        <f>IF(ISBLANK([1]!ScoutingData[[#This Row],[matchLevel]]),"",[1]!ScoutingData[[#This Row],[matchLevel]])</f>
        <v>qm</v>
      </c>
      <c r="C39">
        <f>IF(ISBLANK([1]!ScoutingData[[#This Row],[matchNumber]]),"",[1]!ScoutingData[[#This Row],[matchNumber]])</f>
        <v>16</v>
      </c>
      <c r="D39" t="str">
        <f>IF(ISBLANK([1]!ScoutingData[[#This Row],[event]]),"",[1]!ScoutingData[[#This Row],[event]])</f>
        <v>2024ndgf</v>
      </c>
      <c r="E39" t="str">
        <f>IF(ISBLANK([1]!ScoutingData[[#This Row],[position]]),"",[1]!ScoutingData[[#This Row],[position]])</f>
        <v>[7]</v>
      </c>
      <c r="F39">
        <f>IF(ISBLANK([1]!ScoutingData[[#This Row],[leaveStartingZone]]),"",[1]!ScoutingData[[#This Row],[leaveStartingZone]])</f>
        <v>0</v>
      </c>
      <c r="G39">
        <f>IF(ISBLANK([1]!ScoutingData[[#This Row],[autoAmpScore]]),"",[1]!ScoutingData[[#This Row],[autoAmpScore]])</f>
        <v>0</v>
      </c>
      <c r="H39">
        <f>IF(ISBLANK([1]!ScoutingData[[#This Row],[autoSpeakerScore]]),"",[1]!ScoutingData[[#This Row],[autoSpeakerScore]])</f>
        <v>1</v>
      </c>
    </row>
    <row r="40" spans="1:8" x14ac:dyDescent="0.45">
      <c r="A40">
        <f>IF(ISBLANK([1]!ScoutingData[[#This Row],[teamNumber]]),"",[1]!ScoutingData[[#This Row],[teamNumber]])</f>
        <v>2549</v>
      </c>
      <c r="B40" t="str">
        <f>IF(ISBLANK([1]!ScoutingData[[#This Row],[matchLevel]]),"",[1]!ScoutingData[[#This Row],[matchLevel]])</f>
        <v>qm</v>
      </c>
      <c r="C40">
        <f>IF(ISBLANK([1]!ScoutingData[[#This Row],[matchNumber]]),"",[1]!ScoutingData[[#This Row],[matchNumber]])</f>
        <v>5</v>
      </c>
      <c r="D40" t="str">
        <f>IF(ISBLANK([1]!ScoutingData[[#This Row],[event]]),"",[1]!ScoutingData[[#This Row],[event]])</f>
        <v>2024ndgf</v>
      </c>
      <c r="E40" t="str">
        <f>IF(ISBLANK([1]!ScoutingData[[#This Row],[position]]),"",[1]!ScoutingData[[#This Row],[position]])</f>
        <v>[10]</v>
      </c>
      <c r="F40">
        <f>IF(ISBLANK([1]!ScoutingData[[#This Row],[leaveStartingZone]]),"",[1]!ScoutingData[[#This Row],[leaveStartingZone]])</f>
        <v>0</v>
      </c>
      <c r="G40">
        <f>IF(ISBLANK([1]!ScoutingData[[#This Row],[autoAmpScore]]),"",[1]!ScoutingData[[#This Row],[autoAmpScore]])</f>
        <v>0</v>
      </c>
      <c r="H40">
        <f>IF(ISBLANK([1]!ScoutingData[[#This Row],[autoSpeakerScore]]),"",[1]!ScoutingData[[#This Row],[autoSpeakerScore]])</f>
        <v>0</v>
      </c>
    </row>
    <row r="41" spans="1:8" x14ac:dyDescent="0.45">
      <c r="A41">
        <f>IF(ISBLANK([1]!ScoutingData[[#This Row],[teamNumber]]),"",[1]!ScoutingData[[#This Row],[teamNumber]])</f>
        <v>2549</v>
      </c>
      <c r="B41" t="str">
        <f>IF(ISBLANK([1]!ScoutingData[[#This Row],[matchLevel]]),"",[1]!ScoutingData[[#This Row],[matchLevel]])</f>
        <v>p</v>
      </c>
      <c r="C41">
        <f>IF(ISBLANK([1]!ScoutingData[[#This Row],[matchNumber]]),"",[1]!ScoutingData[[#This Row],[matchNumber]])</f>
        <v>38</v>
      </c>
      <c r="D41" t="str">
        <f>IF(ISBLANK([1]!ScoutingData[[#This Row],[event]]),"",[1]!ScoutingData[[#This Row],[event]])</f>
        <v>2024ndgf</v>
      </c>
      <c r="E41" t="str">
        <f>IF(ISBLANK([1]!ScoutingData[[#This Row],[position]]),"",[1]!ScoutingData[[#This Row],[position]])</f>
        <v>[8]</v>
      </c>
      <c r="F41">
        <f>IF(ISBLANK([1]!ScoutingData[[#This Row],[leaveStartingZone]]),"",[1]!ScoutingData[[#This Row],[leaveStartingZone]])</f>
        <v>1</v>
      </c>
      <c r="G41">
        <f>IF(ISBLANK([1]!ScoutingData[[#This Row],[autoAmpScore]]),"",[1]!ScoutingData[[#This Row],[autoAmpScore]])</f>
        <v>0</v>
      </c>
      <c r="H41">
        <f>IF(ISBLANK([1]!ScoutingData[[#This Row],[autoSpeakerScore]]),"",[1]!ScoutingData[[#This Row],[autoSpeakerScore]])</f>
        <v>1</v>
      </c>
    </row>
    <row r="42" spans="1:8" x14ac:dyDescent="0.45">
      <c r="A42">
        <f>IF(ISBLANK([1]!ScoutingData[[#This Row],[teamNumber]]),"",[1]!ScoutingData[[#This Row],[teamNumber]])</f>
        <v>2652</v>
      </c>
      <c r="B42" t="str">
        <f>IF(ISBLANK([1]!ScoutingData[[#This Row],[matchLevel]]),"",[1]!ScoutingData[[#This Row],[matchLevel]])</f>
        <v>p</v>
      </c>
      <c r="C42">
        <f>IF(ISBLANK([1]!ScoutingData[[#This Row],[matchNumber]]),"",[1]!ScoutingData[[#This Row],[matchNumber]])</f>
        <v>15</v>
      </c>
      <c r="D42" t="str">
        <f>IF(ISBLANK([1]!ScoutingData[[#This Row],[event]]),"",[1]!ScoutingData[[#This Row],[event]])</f>
        <v>2024ndgf</v>
      </c>
      <c r="E42" t="str">
        <f>IF(ISBLANK([1]!ScoutingData[[#This Row],[position]]),"",[1]!ScoutingData[[#This Row],[position]])</f>
        <v>[4]</v>
      </c>
      <c r="F42">
        <f>IF(ISBLANK([1]!ScoutingData[[#This Row],[leaveStartingZone]]),"",[1]!ScoutingData[[#This Row],[leaveStartingZone]])</f>
        <v>0</v>
      </c>
      <c r="G42">
        <f>IF(ISBLANK([1]!ScoutingData[[#This Row],[autoAmpScore]]),"",[1]!ScoutingData[[#This Row],[autoAmpScore]])</f>
        <v>0</v>
      </c>
      <c r="H42">
        <f>IF(ISBLANK([1]!ScoutingData[[#This Row],[autoSpeakerScore]]),"",[1]!ScoutingData[[#This Row],[autoSpeakerScore]])</f>
        <v>0</v>
      </c>
    </row>
    <row r="43" spans="1:8" x14ac:dyDescent="0.45">
      <c r="A43">
        <f>IF(ISBLANK([1]!ScoutingData[[#This Row],[teamNumber]]),"",[1]!ScoutingData[[#This Row],[teamNumber]])</f>
        <v>2654</v>
      </c>
      <c r="B43" t="str">
        <f>IF(ISBLANK([1]!ScoutingData[[#This Row],[matchLevel]]),"",[1]!ScoutingData[[#This Row],[matchLevel]])</f>
        <v>qm</v>
      </c>
      <c r="C43">
        <f>IF(ISBLANK([1]!ScoutingData[[#This Row],[matchNumber]]),"",[1]!ScoutingData[[#This Row],[matchNumber]])</f>
        <v>13</v>
      </c>
      <c r="D43" t="str">
        <f>IF(ISBLANK([1]!ScoutingData[[#This Row],[event]]),"",[1]!ScoutingData[[#This Row],[event]])</f>
        <v>2024ndgf</v>
      </c>
      <c r="E43" t="str">
        <f>IF(ISBLANK([1]!ScoutingData[[#This Row],[position]]),"",[1]!ScoutingData[[#This Row],[position]])</f>
        <v>[11]</v>
      </c>
      <c r="F43">
        <f>IF(ISBLANK([1]!ScoutingData[[#This Row],[leaveStartingZone]]),"",[1]!ScoutingData[[#This Row],[leaveStartingZone]])</f>
        <v>1</v>
      </c>
      <c r="G43">
        <f>IF(ISBLANK([1]!ScoutingData[[#This Row],[autoAmpScore]]),"",[1]!ScoutingData[[#This Row],[autoAmpScore]])</f>
        <v>0</v>
      </c>
      <c r="H43">
        <f>IF(ISBLANK([1]!ScoutingData[[#This Row],[autoSpeakerScore]]),"",[1]!ScoutingData[[#This Row],[autoSpeakerScore]])</f>
        <v>0</v>
      </c>
    </row>
    <row r="44" spans="1:8" x14ac:dyDescent="0.45">
      <c r="A44">
        <f>IF(ISBLANK([1]!ScoutingData[[#This Row],[teamNumber]]),"",[1]!ScoutingData[[#This Row],[teamNumber]])</f>
        <v>2654</v>
      </c>
      <c r="B44" t="str">
        <f>IF(ISBLANK([1]!ScoutingData[[#This Row],[matchLevel]]),"",[1]!ScoutingData[[#This Row],[matchLevel]])</f>
        <v>qm</v>
      </c>
      <c r="C44">
        <f>IF(ISBLANK([1]!ScoutingData[[#This Row],[matchNumber]]),"",[1]!ScoutingData[[#This Row],[matchNumber]])</f>
        <v>22</v>
      </c>
      <c r="D44" t="str">
        <f>IF(ISBLANK([1]!ScoutingData[[#This Row],[event]]),"",[1]!ScoutingData[[#This Row],[event]])</f>
        <v>2024ndgf</v>
      </c>
      <c r="E44" t="str">
        <f>IF(ISBLANK([1]!ScoutingData[[#This Row],[position]]),"",[1]!ScoutingData[[#This Row],[position]])</f>
        <v>[5]</v>
      </c>
      <c r="F44">
        <f>IF(ISBLANK([1]!ScoutingData[[#This Row],[leaveStartingZone]]),"",[1]!ScoutingData[[#This Row],[leaveStartingZone]])</f>
        <v>1</v>
      </c>
      <c r="G44">
        <f>IF(ISBLANK([1]!ScoutingData[[#This Row],[autoAmpScore]]),"",[1]!ScoutingData[[#This Row],[autoAmpScore]])</f>
        <v>0</v>
      </c>
      <c r="H44">
        <f>IF(ISBLANK([1]!ScoutingData[[#This Row],[autoSpeakerScore]]),"",[1]!ScoutingData[[#This Row],[autoSpeakerScore]])</f>
        <v>0</v>
      </c>
    </row>
    <row r="45" spans="1:8" x14ac:dyDescent="0.45">
      <c r="A45">
        <f>IF(ISBLANK([1]!ScoutingData[[#This Row],[teamNumber]]),"",[1]!ScoutingData[[#This Row],[teamNumber]])</f>
        <v>2654</v>
      </c>
      <c r="B45" t="str">
        <f>IF(ISBLANK([1]!ScoutingData[[#This Row],[matchLevel]]),"",[1]!ScoutingData[[#This Row],[matchLevel]])</f>
        <v>qm</v>
      </c>
      <c r="C45">
        <f>IF(ISBLANK([1]!ScoutingData[[#This Row],[matchNumber]]),"",[1]!ScoutingData[[#This Row],[matchNumber]])</f>
        <v>4</v>
      </c>
      <c r="D45" t="str">
        <f>IF(ISBLANK([1]!ScoutingData[[#This Row],[event]]),"",[1]!ScoutingData[[#This Row],[event]])</f>
        <v>2024ndgf</v>
      </c>
      <c r="E45" t="str">
        <f>IF(ISBLANK([1]!ScoutingData[[#This Row],[position]]),"",[1]!ScoutingData[[#This Row],[position]])</f>
        <v>[11]</v>
      </c>
      <c r="F45">
        <f>IF(ISBLANK([1]!ScoutingData[[#This Row],[leaveStartingZone]]),"",[1]!ScoutingData[[#This Row],[leaveStartingZone]])</f>
        <v>1</v>
      </c>
      <c r="G45">
        <f>IF(ISBLANK([1]!ScoutingData[[#This Row],[autoAmpScore]]),"",[1]!ScoutingData[[#This Row],[autoAmpScore]])</f>
        <v>0</v>
      </c>
      <c r="H45">
        <f>IF(ISBLANK([1]!ScoutingData[[#This Row],[autoSpeakerScore]]),"",[1]!ScoutingData[[#This Row],[autoSpeakerScore]])</f>
        <v>0</v>
      </c>
    </row>
    <row r="46" spans="1:8" x14ac:dyDescent="0.45">
      <c r="A46">
        <f>IF(ISBLANK([1]!ScoutingData[[#This Row],[teamNumber]]),"",[1]!ScoutingData[[#This Row],[teamNumber]])</f>
        <v>2654</v>
      </c>
      <c r="B46" t="str">
        <f>IF(ISBLANK([1]!ScoutingData[[#This Row],[matchLevel]]),"",[1]!ScoutingData[[#This Row],[matchLevel]])</f>
        <v>qm</v>
      </c>
      <c r="C46">
        <f>IF(ISBLANK([1]!ScoutingData[[#This Row],[matchNumber]]),"",[1]!ScoutingData[[#This Row],[matchNumber]])</f>
        <v>55</v>
      </c>
      <c r="D46" t="str">
        <f>IF(ISBLANK([1]!ScoutingData[[#This Row],[event]]),"",[1]!ScoutingData[[#This Row],[event]])</f>
        <v>2024ndgf</v>
      </c>
      <c r="E46" t="str">
        <f>IF(ISBLANK([1]!ScoutingData[[#This Row],[position]]),"",[1]!ScoutingData[[#This Row],[position]])</f>
        <v>[5]</v>
      </c>
      <c r="F46">
        <f>IF(ISBLANK([1]!ScoutingData[[#This Row],[leaveStartingZone]]),"",[1]!ScoutingData[[#This Row],[leaveStartingZone]])</f>
        <v>1</v>
      </c>
      <c r="G46">
        <f>IF(ISBLANK([1]!ScoutingData[[#This Row],[autoAmpScore]]),"",[1]!ScoutingData[[#This Row],[autoAmpScore]])</f>
        <v>0</v>
      </c>
      <c r="H46">
        <f>IF(ISBLANK([1]!ScoutingData[[#This Row],[autoSpeakerScore]]),"",[1]!ScoutingData[[#This Row],[autoSpeakerScore]])</f>
        <v>0</v>
      </c>
    </row>
    <row r="47" spans="1:8" x14ac:dyDescent="0.45">
      <c r="A47">
        <f>IF(ISBLANK([1]!ScoutingData[[#This Row],[teamNumber]]),"",[1]!ScoutingData[[#This Row],[teamNumber]])</f>
        <v>2883</v>
      </c>
      <c r="B47" t="str">
        <f>IF(ISBLANK([1]!ScoutingData[[#This Row],[matchLevel]]),"",[1]!ScoutingData[[#This Row],[matchLevel]])</f>
        <v>p</v>
      </c>
      <c r="C47">
        <f>IF(ISBLANK([1]!ScoutingData[[#This Row],[matchNumber]]),"",[1]!ScoutingData[[#This Row],[matchNumber]])</f>
        <v>12</v>
      </c>
      <c r="D47" t="str">
        <f>IF(ISBLANK([1]!ScoutingData[[#This Row],[event]]),"",[1]!ScoutingData[[#This Row],[event]])</f>
        <v>2024ndgf</v>
      </c>
      <c r="E47" t="str">
        <f>IF(ISBLANK([1]!ScoutingData[[#This Row],[position]]),"",[1]!ScoutingData[[#This Row],[position]])</f>
        <v>[10]</v>
      </c>
      <c r="F47">
        <f>IF(ISBLANK([1]!ScoutingData[[#This Row],[leaveStartingZone]]),"",[1]!ScoutingData[[#This Row],[leaveStartingZone]])</f>
        <v>1</v>
      </c>
      <c r="G47">
        <f>IF(ISBLANK([1]!ScoutingData[[#This Row],[autoAmpScore]]),"",[1]!ScoutingData[[#This Row],[autoAmpScore]])</f>
        <v>0</v>
      </c>
      <c r="H47">
        <f>IF(ISBLANK([1]!ScoutingData[[#This Row],[autoSpeakerScore]]),"",[1]!ScoutingData[[#This Row],[autoSpeakerScore]])</f>
        <v>2</v>
      </c>
    </row>
    <row r="48" spans="1:8" x14ac:dyDescent="0.45">
      <c r="A48">
        <f>IF(ISBLANK([1]!ScoutingData[[#This Row],[teamNumber]]),"",[1]!ScoutingData[[#This Row],[teamNumber]])</f>
        <v>2883</v>
      </c>
      <c r="B48" t="str">
        <f>IF(ISBLANK([1]!ScoutingData[[#This Row],[matchLevel]]),"",[1]!ScoutingData[[#This Row],[matchLevel]])</f>
        <v>qm</v>
      </c>
      <c r="C48">
        <f>IF(ISBLANK([1]!ScoutingData[[#This Row],[matchNumber]]),"",[1]!ScoutingData[[#This Row],[matchNumber]])</f>
        <v>30</v>
      </c>
      <c r="D48" t="str">
        <f>IF(ISBLANK([1]!ScoutingData[[#This Row],[event]]),"",[1]!ScoutingData[[#This Row],[event]])</f>
        <v>2024ndgf</v>
      </c>
      <c r="E48" t="str">
        <f>IF(ISBLANK([1]!ScoutingData[[#This Row],[position]]),"",[1]!ScoutingData[[#This Row],[position]])</f>
        <v>[10]</v>
      </c>
      <c r="F48">
        <f>IF(ISBLANK([1]!ScoutingData[[#This Row],[leaveStartingZone]]),"",[1]!ScoutingData[[#This Row],[leaveStartingZone]])</f>
        <v>1</v>
      </c>
      <c r="G48">
        <f>IF(ISBLANK([1]!ScoutingData[[#This Row],[autoAmpScore]]),"",[1]!ScoutingData[[#This Row],[autoAmpScore]])</f>
        <v>0</v>
      </c>
      <c r="H48">
        <f>IF(ISBLANK([1]!ScoutingData[[#This Row],[autoSpeakerScore]]),"",[1]!ScoutingData[[#This Row],[autoSpeakerScore]])</f>
        <v>2</v>
      </c>
    </row>
    <row r="49" spans="1:8" x14ac:dyDescent="0.45">
      <c r="A49">
        <f>IF(ISBLANK([1]!ScoutingData[[#This Row],[teamNumber]]),"",[1]!ScoutingData[[#This Row],[teamNumber]])</f>
        <v>2883</v>
      </c>
      <c r="B49" t="str">
        <f>IF(ISBLANK([1]!ScoutingData[[#This Row],[matchLevel]]),"",[1]!ScoutingData[[#This Row],[matchLevel]])</f>
        <v>qm</v>
      </c>
      <c r="C49">
        <f>IF(ISBLANK([1]!ScoutingData[[#This Row],[matchNumber]]),"",[1]!ScoutingData[[#This Row],[matchNumber]])</f>
        <v>41</v>
      </c>
      <c r="D49" t="str">
        <f>IF(ISBLANK([1]!ScoutingData[[#This Row],[event]]),"",[1]!ScoutingData[[#This Row],[event]])</f>
        <v>2024ndgf</v>
      </c>
      <c r="E49" t="str">
        <f>IF(ISBLANK([1]!ScoutingData[[#This Row],[position]]),"",[1]!ScoutingData[[#This Row],[position]])</f>
        <v>[5]</v>
      </c>
      <c r="F49">
        <f>IF(ISBLANK([1]!ScoutingData[[#This Row],[leaveStartingZone]]),"",[1]!ScoutingData[[#This Row],[leaveStartingZone]])</f>
        <v>1</v>
      </c>
      <c r="G49">
        <f>IF(ISBLANK([1]!ScoutingData[[#This Row],[autoAmpScore]]),"",[1]!ScoutingData[[#This Row],[autoAmpScore]])</f>
        <v>0</v>
      </c>
      <c r="H49">
        <f>IF(ISBLANK([1]!ScoutingData[[#This Row],[autoSpeakerScore]]),"",[1]!ScoutingData[[#This Row],[autoSpeakerScore]])</f>
        <v>0</v>
      </c>
    </row>
    <row r="50" spans="1:8" x14ac:dyDescent="0.45">
      <c r="A50">
        <f>IF(ISBLANK([1]!ScoutingData[[#This Row],[teamNumber]]),"",[1]!ScoutingData[[#This Row],[teamNumber]])</f>
        <v>2883</v>
      </c>
      <c r="B50" t="str">
        <f>IF(ISBLANK([1]!ScoutingData[[#This Row],[matchLevel]]),"",[1]!ScoutingData[[#This Row],[matchLevel]])</f>
        <v>qm</v>
      </c>
      <c r="C50">
        <f>IF(ISBLANK([1]!ScoutingData[[#This Row],[matchNumber]]),"",[1]!ScoutingData[[#This Row],[matchNumber]])</f>
        <v>49</v>
      </c>
      <c r="D50" t="str">
        <f>IF(ISBLANK([1]!ScoutingData[[#This Row],[event]]),"",[1]!ScoutingData[[#This Row],[event]])</f>
        <v>2024ndgf</v>
      </c>
      <c r="E50" t="str">
        <f>IF(ISBLANK([1]!ScoutingData[[#This Row],[position]]),"",[1]!ScoutingData[[#This Row],[position]])</f>
        <v>[22]</v>
      </c>
      <c r="F50">
        <f>IF(ISBLANK([1]!ScoutingData[[#This Row],[leaveStartingZone]]),"",[1]!ScoutingData[[#This Row],[leaveStartingZone]])</f>
        <v>1</v>
      </c>
      <c r="G50">
        <f>IF(ISBLANK([1]!ScoutingData[[#This Row],[autoAmpScore]]),"",[1]!ScoutingData[[#This Row],[autoAmpScore]])</f>
        <v>0</v>
      </c>
      <c r="H50">
        <f>IF(ISBLANK([1]!ScoutingData[[#This Row],[autoSpeakerScore]]),"",[1]!ScoutingData[[#This Row],[autoSpeakerScore]])</f>
        <v>0</v>
      </c>
    </row>
    <row r="51" spans="1:8" x14ac:dyDescent="0.45">
      <c r="A51">
        <f>IF(ISBLANK([1]!ScoutingData[[#This Row],[teamNumber]]),"",[1]!ScoutingData[[#This Row],[teamNumber]])</f>
        <v>3026</v>
      </c>
      <c r="B51" t="str">
        <f>IF(ISBLANK([1]!ScoutingData[[#This Row],[matchLevel]]),"",[1]!ScoutingData[[#This Row],[matchLevel]])</f>
        <v>p</v>
      </c>
      <c r="C51">
        <f>IF(ISBLANK([1]!ScoutingData[[#This Row],[matchNumber]]),"",[1]!ScoutingData[[#This Row],[matchNumber]])</f>
        <v>6</v>
      </c>
      <c r="D51" t="str">
        <f>IF(ISBLANK([1]!ScoutingData[[#This Row],[event]]),"",[1]!ScoutingData[[#This Row],[event]])</f>
        <v>2024ndgf</v>
      </c>
      <c r="E51" t="str">
        <f>IF(ISBLANK([1]!ScoutingData[[#This Row],[position]]),"",[1]!ScoutingData[[#This Row],[position]])</f>
        <v>[9]</v>
      </c>
      <c r="F51">
        <f>IF(ISBLANK([1]!ScoutingData[[#This Row],[leaveStartingZone]]),"",[1]!ScoutingData[[#This Row],[leaveStartingZone]])</f>
        <v>0</v>
      </c>
      <c r="G51">
        <f>IF(ISBLANK([1]!ScoutingData[[#This Row],[autoAmpScore]]),"",[1]!ScoutingData[[#This Row],[autoAmpScore]])</f>
        <v>0</v>
      </c>
      <c r="H51">
        <f>IF(ISBLANK([1]!ScoutingData[[#This Row],[autoSpeakerScore]]),"",[1]!ScoutingData[[#This Row],[autoSpeakerScore]])</f>
        <v>1</v>
      </c>
    </row>
    <row r="52" spans="1:8" x14ac:dyDescent="0.45">
      <c r="A52">
        <f>IF(ISBLANK([1]!ScoutingData[[#This Row],[teamNumber]]),"",[1]!ScoutingData[[#This Row],[teamNumber]])</f>
        <v>3026</v>
      </c>
      <c r="B52" t="str">
        <f>IF(ISBLANK([1]!ScoutingData[[#This Row],[matchLevel]]),"",[1]!ScoutingData[[#This Row],[matchLevel]])</f>
        <v>p</v>
      </c>
      <c r="C52">
        <f>IF(ISBLANK([1]!ScoutingData[[#This Row],[matchNumber]]),"",[1]!ScoutingData[[#This Row],[matchNumber]])</f>
        <v>17</v>
      </c>
      <c r="D52" t="str">
        <f>IF(ISBLANK([1]!ScoutingData[[#This Row],[event]]),"",[1]!ScoutingData[[#This Row],[event]])</f>
        <v>2024ndgf</v>
      </c>
      <c r="E52" t="str">
        <f>IF(ISBLANK([1]!ScoutingData[[#This Row],[position]]),"",[1]!ScoutingData[[#This Row],[position]])</f>
        <v>[21]</v>
      </c>
      <c r="F52">
        <f>IF(ISBLANK([1]!ScoutingData[[#This Row],[leaveStartingZone]]),"",[1]!ScoutingData[[#This Row],[leaveStartingZone]])</f>
        <v>1</v>
      </c>
      <c r="G52">
        <f>IF(ISBLANK([1]!ScoutingData[[#This Row],[autoAmpScore]]),"",[1]!ScoutingData[[#This Row],[autoAmpScore]])</f>
        <v>0</v>
      </c>
      <c r="H52">
        <f>IF(ISBLANK([1]!ScoutingData[[#This Row],[autoSpeakerScore]]),"",[1]!ScoutingData[[#This Row],[autoSpeakerScore]])</f>
        <v>1</v>
      </c>
    </row>
    <row r="53" spans="1:8" x14ac:dyDescent="0.45">
      <c r="A53">
        <f>IF(ISBLANK([1]!ScoutingData[[#This Row],[teamNumber]]),"",[1]!ScoutingData[[#This Row],[teamNumber]])</f>
        <v>3026</v>
      </c>
      <c r="B53" t="str">
        <f>IF(ISBLANK([1]!ScoutingData[[#This Row],[matchLevel]]),"",[1]!ScoutingData[[#This Row],[matchLevel]])</f>
        <v>qm</v>
      </c>
      <c r="C53">
        <f>IF(ISBLANK([1]!ScoutingData[[#This Row],[matchNumber]]),"",[1]!ScoutingData[[#This Row],[matchNumber]])</f>
        <v>15</v>
      </c>
      <c r="D53" t="str">
        <f>IF(ISBLANK([1]!ScoutingData[[#This Row],[event]]),"",[1]!ScoutingData[[#This Row],[event]])</f>
        <v>2024ndgf</v>
      </c>
      <c r="E53" t="str">
        <f>IF(ISBLANK([1]!ScoutingData[[#This Row],[position]]),"",[1]!ScoutingData[[#This Row],[position]])</f>
        <v>[10]</v>
      </c>
      <c r="F53">
        <f>IF(ISBLANK([1]!ScoutingData[[#This Row],[leaveStartingZone]]),"",[1]!ScoutingData[[#This Row],[leaveStartingZone]])</f>
        <v>0</v>
      </c>
      <c r="G53">
        <f>IF(ISBLANK([1]!ScoutingData[[#This Row],[autoAmpScore]]),"",[1]!ScoutingData[[#This Row],[autoAmpScore]])</f>
        <v>0</v>
      </c>
      <c r="H53">
        <f>IF(ISBLANK([1]!ScoutingData[[#This Row],[autoSpeakerScore]]),"",[1]!ScoutingData[[#This Row],[autoSpeakerScore]])</f>
        <v>0</v>
      </c>
    </row>
    <row r="54" spans="1:8" x14ac:dyDescent="0.45">
      <c r="A54">
        <f>IF(ISBLANK([1]!ScoutingData[[#This Row],[teamNumber]]),"",[1]!ScoutingData[[#This Row],[teamNumber]])</f>
        <v>3026</v>
      </c>
      <c r="B54" t="str">
        <f>IF(ISBLANK([1]!ScoutingData[[#This Row],[matchLevel]]),"",[1]!ScoutingData[[#This Row],[matchLevel]])</f>
        <v>qm</v>
      </c>
      <c r="C54">
        <f>IF(ISBLANK([1]!ScoutingData[[#This Row],[matchNumber]]),"",[1]!ScoutingData[[#This Row],[matchNumber]])</f>
        <v>9</v>
      </c>
      <c r="D54" t="str">
        <f>IF(ISBLANK([1]!ScoutingData[[#This Row],[event]]),"",[1]!ScoutingData[[#This Row],[event]])</f>
        <v>2024ndgf</v>
      </c>
      <c r="E54" t="str">
        <f>IF(ISBLANK([1]!ScoutingData[[#This Row],[position]]),"",[1]!ScoutingData[[#This Row],[position]])</f>
        <v>[6]</v>
      </c>
      <c r="F54">
        <f>IF(ISBLANK([1]!ScoutingData[[#This Row],[leaveStartingZone]]),"",[1]!ScoutingData[[#This Row],[leaveStartingZone]])</f>
        <v>0</v>
      </c>
      <c r="G54">
        <f>IF(ISBLANK([1]!ScoutingData[[#This Row],[autoAmpScore]]),"",[1]!ScoutingData[[#This Row],[autoAmpScore]])</f>
        <v>0</v>
      </c>
      <c r="H54">
        <f>IF(ISBLANK([1]!ScoutingData[[#This Row],[autoSpeakerScore]]),"",[1]!ScoutingData[[#This Row],[autoSpeakerScore]])</f>
        <v>0</v>
      </c>
    </row>
    <row r="55" spans="1:8" x14ac:dyDescent="0.45">
      <c r="A55">
        <f>IF(ISBLANK([1]!ScoutingData[[#This Row],[teamNumber]]),"",[1]!ScoutingData[[#This Row],[teamNumber]])</f>
        <v>3026</v>
      </c>
      <c r="B55" t="str">
        <f>IF(ISBLANK([1]!ScoutingData[[#This Row],[matchLevel]]),"",[1]!ScoutingData[[#This Row],[matchLevel]])</f>
        <v>qm</v>
      </c>
      <c r="C55">
        <f>IF(ISBLANK([1]!ScoutingData[[#This Row],[matchNumber]]),"",[1]!ScoutingData[[#This Row],[matchNumber]])</f>
        <v>24</v>
      </c>
      <c r="D55" t="str">
        <f>IF(ISBLANK([1]!ScoutingData[[#This Row],[event]]),"",[1]!ScoutingData[[#This Row],[event]])</f>
        <v>2024ndgf</v>
      </c>
      <c r="E55" t="str">
        <f>IF(ISBLANK([1]!ScoutingData[[#This Row],[position]]),"",[1]!ScoutingData[[#This Row],[position]])</f>
        <v>[23]</v>
      </c>
      <c r="F55">
        <f>IF(ISBLANK([1]!ScoutingData[[#This Row],[leaveStartingZone]]),"",[1]!ScoutingData[[#This Row],[leaveStartingZone]])</f>
        <v>0</v>
      </c>
      <c r="G55">
        <f>IF(ISBLANK([1]!ScoutingData[[#This Row],[autoAmpScore]]),"",[1]!ScoutingData[[#This Row],[autoAmpScore]])</f>
        <v>0</v>
      </c>
      <c r="H55">
        <f>IF(ISBLANK([1]!ScoutingData[[#This Row],[autoSpeakerScore]]),"",[1]!ScoutingData[[#This Row],[autoSpeakerScore]])</f>
        <v>0</v>
      </c>
    </row>
    <row r="56" spans="1:8" x14ac:dyDescent="0.45">
      <c r="A56">
        <f>IF(ISBLANK([1]!ScoutingData[[#This Row],[teamNumber]]),"",[1]!ScoutingData[[#This Row],[teamNumber]])</f>
        <v>3026</v>
      </c>
      <c r="B56" t="str">
        <f>IF(ISBLANK([1]!ScoutingData[[#This Row],[matchLevel]]),"",[1]!ScoutingData[[#This Row],[matchLevel]])</f>
        <v>qm</v>
      </c>
      <c r="C56">
        <f>IF(ISBLANK([1]!ScoutingData[[#This Row],[matchNumber]]),"",[1]!ScoutingData[[#This Row],[matchNumber]])</f>
        <v>50</v>
      </c>
      <c r="D56" t="str">
        <f>IF(ISBLANK([1]!ScoutingData[[#This Row],[event]]),"",[1]!ScoutingData[[#This Row],[event]])</f>
        <v>2024ndgf</v>
      </c>
      <c r="E56" t="str">
        <f>IF(ISBLANK([1]!ScoutingData[[#This Row],[position]]),"",[1]!ScoutingData[[#This Row],[position]])</f>
        <v>[16]</v>
      </c>
      <c r="F56">
        <f>IF(ISBLANK([1]!ScoutingData[[#This Row],[leaveStartingZone]]),"",[1]!ScoutingData[[#This Row],[leaveStartingZone]])</f>
        <v>1</v>
      </c>
      <c r="G56">
        <f>IF(ISBLANK([1]!ScoutingData[[#This Row],[autoAmpScore]]),"",[1]!ScoutingData[[#This Row],[autoAmpScore]])</f>
        <v>0</v>
      </c>
      <c r="H56">
        <f>IF(ISBLANK([1]!ScoutingData[[#This Row],[autoSpeakerScore]]),"",[1]!ScoutingData[[#This Row],[autoSpeakerScore]])</f>
        <v>0</v>
      </c>
    </row>
    <row r="57" spans="1:8" x14ac:dyDescent="0.45">
      <c r="A57">
        <f>IF(ISBLANK([1]!ScoutingData[[#This Row],[teamNumber]]),"",[1]!ScoutingData[[#This Row],[teamNumber]])</f>
        <v>3026</v>
      </c>
      <c r="B57" t="str">
        <f>IF(ISBLANK([1]!ScoutingData[[#This Row],[matchLevel]]),"",[1]!ScoutingData[[#This Row],[matchLevel]])</f>
        <v>qm</v>
      </c>
      <c r="C57">
        <f>IF(ISBLANK([1]!ScoutingData[[#This Row],[matchNumber]]),"",[1]!ScoutingData[[#This Row],[matchNumber]])</f>
        <v>42</v>
      </c>
      <c r="D57" t="str">
        <f>IF(ISBLANK([1]!ScoutingData[[#This Row],[event]]),"",[1]!ScoutingData[[#This Row],[event]])</f>
        <v>2024ndgf</v>
      </c>
      <c r="E57" t="str">
        <f>IF(ISBLANK([1]!ScoutingData[[#This Row],[position]]),"",[1]!ScoutingData[[#This Row],[position]])</f>
        <v>[9]</v>
      </c>
      <c r="F57">
        <f>IF(ISBLANK([1]!ScoutingData[[#This Row],[leaveStartingZone]]),"",[1]!ScoutingData[[#This Row],[leaveStartingZone]])</f>
        <v>1</v>
      </c>
      <c r="G57">
        <f>IF(ISBLANK([1]!ScoutingData[[#This Row],[autoAmpScore]]),"",[1]!ScoutingData[[#This Row],[autoAmpScore]])</f>
        <v>0</v>
      </c>
      <c r="H57">
        <f>IF(ISBLANK([1]!ScoutingData[[#This Row],[autoSpeakerScore]]),"",[1]!ScoutingData[[#This Row],[autoSpeakerScore]])</f>
        <v>1</v>
      </c>
    </row>
    <row r="58" spans="1:8" x14ac:dyDescent="0.45">
      <c r="A58">
        <f>IF(ISBLANK([1]!ScoutingData[[#This Row],[teamNumber]]),"",[1]!ScoutingData[[#This Row],[teamNumber]])</f>
        <v>3026</v>
      </c>
      <c r="B58" t="str">
        <f>IF(ISBLANK([1]!ScoutingData[[#This Row],[matchLevel]]),"",[1]!ScoutingData[[#This Row],[matchLevel]])</f>
        <v>qm</v>
      </c>
      <c r="C58">
        <f>IF(ISBLANK([1]!ScoutingData[[#This Row],[matchNumber]]),"",[1]!ScoutingData[[#This Row],[matchNumber]])</f>
        <v>59</v>
      </c>
      <c r="D58" t="str">
        <f>IF(ISBLANK([1]!ScoutingData[[#This Row],[event]]),"",[1]!ScoutingData[[#This Row],[event]])</f>
        <v>2024ndgf</v>
      </c>
      <c r="E58" t="str">
        <f>IF(ISBLANK([1]!ScoutingData[[#This Row],[position]]),"",[1]!ScoutingData[[#This Row],[position]])</f>
        <v>[4]</v>
      </c>
      <c r="F58">
        <f>IF(ISBLANK([1]!ScoutingData[[#This Row],[leaveStartingZone]]),"",[1]!ScoutingData[[#This Row],[leaveStartingZone]])</f>
        <v>0</v>
      </c>
      <c r="G58">
        <f>IF(ISBLANK([1]!ScoutingData[[#This Row],[autoAmpScore]]),"",[1]!ScoutingData[[#This Row],[autoAmpScore]])</f>
        <v>0</v>
      </c>
      <c r="H58">
        <f>IF(ISBLANK([1]!ScoutingData[[#This Row],[autoSpeakerScore]]),"",[1]!ScoutingData[[#This Row],[autoSpeakerScore]])</f>
        <v>0</v>
      </c>
    </row>
    <row r="59" spans="1:8" x14ac:dyDescent="0.45">
      <c r="A59">
        <f>IF(ISBLANK([1]!ScoutingData[[#This Row],[teamNumber]]),"",[1]!ScoutingData[[#This Row],[teamNumber]])</f>
        <v>3042</v>
      </c>
      <c r="B59" t="str">
        <f>IF(ISBLANK([1]!ScoutingData[[#This Row],[matchLevel]]),"",[1]!ScoutingData[[#This Row],[matchLevel]])</f>
        <v>p</v>
      </c>
      <c r="C59">
        <f>IF(ISBLANK([1]!ScoutingData[[#This Row],[matchNumber]]),"",[1]!ScoutingData[[#This Row],[matchNumber]])</f>
        <v>15</v>
      </c>
      <c r="D59" t="str">
        <f>IF(ISBLANK([1]!ScoutingData[[#This Row],[event]]),"",[1]!ScoutingData[[#This Row],[event]])</f>
        <v>2024ndgf</v>
      </c>
      <c r="E59" t="str">
        <f>IF(ISBLANK([1]!ScoutingData[[#This Row],[position]]),"",[1]!ScoutingData[[#This Row],[position]])</f>
        <v>[3]</v>
      </c>
      <c r="F59">
        <f>IF(ISBLANK([1]!ScoutingData[[#This Row],[leaveStartingZone]]),"",[1]!ScoutingData[[#This Row],[leaveStartingZone]])</f>
        <v>0</v>
      </c>
      <c r="G59">
        <f>IF(ISBLANK([1]!ScoutingData[[#This Row],[autoAmpScore]]),"",[1]!ScoutingData[[#This Row],[autoAmpScore]])</f>
        <v>0</v>
      </c>
      <c r="H59">
        <f>IF(ISBLANK([1]!ScoutingData[[#This Row],[autoSpeakerScore]]),"",[1]!ScoutingData[[#This Row],[autoSpeakerScore]])</f>
        <v>0</v>
      </c>
    </row>
    <row r="60" spans="1:8" x14ac:dyDescent="0.45">
      <c r="A60">
        <f>IF(ISBLANK([1]!ScoutingData[[#This Row],[teamNumber]]),"",[1]!ScoutingData[[#This Row],[teamNumber]])</f>
        <v>3042</v>
      </c>
      <c r="B60" t="str">
        <f>IF(ISBLANK([1]!ScoutingData[[#This Row],[matchLevel]]),"",[1]!ScoutingData[[#This Row],[matchLevel]])</f>
        <v>p</v>
      </c>
      <c r="C60">
        <f>IF(ISBLANK([1]!ScoutingData[[#This Row],[matchNumber]]),"",[1]!ScoutingData[[#This Row],[matchNumber]])</f>
        <v>8</v>
      </c>
      <c r="D60" t="str">
        <f>IF(ISBLANK([1]!ScoutingData[[#This Row],[event]]),"",[1]!ScoutingData[[#This Row],[event]])</f>
        <v>2024ndgf</v>
      </c>
      <c r="E60" t="str">
        <f>IF(ISBLANK([1]!ScoutingData[[#This Row],[position]]),"",[1]!ScoutingData[[#This Row],[position]])</f>
        <v>[18]</v>
      </c>
      <c r="F60">
        <f>IF(ISBLANK([1]!ScoutingData[[#This Row],[leaveStartingZone]]),"",[1]!ScoutingData[[#This Row],[leaveStartingZone]])</f>
        <v>0</v>
      </c>
      <c r="G60">
        <f>IF(ISBLANK([1]!ScoutingData[[#This Row],[autoAmpScore]]),"",[1]!ScoutingData[[#This Row],[autoAmpScore]])</f>
        <v>0</v>
      </c>
      <c r="H60">
        <f>IF(ISBLANK([1]!ScoutingData[[#This Row],[autoSpeakerScore]]),"",[1]!ScoutingData[[#This Row],[autoSpeakerScore]])</f>
        <v>0</v>
      </c>
    </row>
    <row r="61" spans="1:8" x14ac:dyDescent="0.45">
      <c r="A61">
        <f>IF(ISBLANK([1]!ScoutingData[[#This Row],[teamNumber]]),"",[1]!ScoutingData[[#This Row],[teamNumber]])</f>
        <v>3042</v>
      </c>
      <c r="B61" t="str">
        <f>IF(ISBLANK([1]!ScoutingData[[#This Row],[matchLevel]]),"",[1]!ScoutingData[[#This Row],[matchLevel]])</f>
        <v>qm</v>
      </c>
      <c r="C61">
        <f>IF(ISBLANK([1]!ScoutingData[[#This Row],[matchNumber]]),"",[1]!ScoutingData[[#This Row],[matchNumber]])</f>
        <v>5</v>
      </c>
      <c r="D61" t="str">
        <f>IF(ISBLANK([1]!ScoutingData[[#This Row],[event]]),"",[1]!ScoutingData[[#This Row],[event]])</f>
        <v>2024ndgf</v>
      </c>
      <c r="E61" t="str">
        <f>IF(ISBLANK([1]!ScoutingData[[#This Row],[position]]),"",[1]!ScoutingData[[#This Row],[position]])</f>
        <v>[15]</v>
      </c>
      <c r="F61">
        <f>IF(ISBLANK([1]!ScoutingData[[#This Row],[leaveStartingZone]]),"",[1]!ScoutingData[[#This Row],[leaveStartingZone]])</f>
        <v>0</v>
      </c>
      <c r="G61">
        <f>IF(ISBLANK([1]!ScoutingData[[#This Row],[autoAmpScore]]),"",[1]!ScoutingData[[#This Row],[autoAmpScore]])</f>
        <v>0</v>
      </c>
      <c r="H61">
        <f>IF(ISBLANK([1]!ScoutingData[[#This Row],[autoSpeakerScore]]),"",[1]!ScoutingData[[#This Row],[autoSpeakerScore]])</f>
        <v>0</v>
      </c>
    </row>
    <row r="62" spans="1:8" x14ac:dyDescent="0.45">
      <c r="A62">
        <f>IF(ISBLANK([1]!ScoutingData[[#This Row],[teamNumber]]),"",[1]!ScoutingData[[#This Row],[teamNumber]])</f>
        <v>3042</v>
      </c>
      <c r="B62" t="str">
        <f>IF(ISBLANK([1]!ScoutingData[[#This Row],[matchLevel]]),"",[1]!ScoutingData[[#This Row],[matchLevel]])</f>
        <v>qm</v>
      </c>
      <c r="C62">
        <f>IF(ISBLANK([1]!ScoutingData[[#This Row],[matchNumber]]),"",[1]!ScoutingData[[#This Row],[matchNumber]])</f>
        <v>12</v>
      </c>
      <c r="D62" t="str">
        <f>IF(ISBLANK([1]!ScoutingData[[#This Row],[event]]),"",[1]!ScoutingData[[#This Row],[event]])</f>
        <v>2024ndgf</v>
      </c>
      <c r="E62" t="str">
        <f>IF(ISBLANK([1]!ScoutingData[[#This Row],[position]]),"",[1]!ScoutingData[[#This Row],[position]])</f>
        <v>[4]</v>
      </c>
      <c r="F62">
        <f>IF(ISBLANK([1]!ScoutingData[[#This Row],[leaveStartingZone]]),"",[1]!ScoutingData[[#This Row],[leaveStartingZone]])</f>
        <v>0</v>
      </c>
      <c r="G62">
        <f>IF(ISBLANK([1]!ScoutingData[[#This Row],[autoAmpScore]]),"",[1]!ScoutingData[[#This Row],[autoAmpScore]])</f>
        <v>0</v>
      </c>
      <c r="H62">
        <f>IF(ISBLANK([1]!ScoutingData[[#This Row],[autoSpeakerScore]]),"",[1]!ScoutingData[[#This Row],[autoSpeakerScore]])</f>
        <v>0</v>
      </c>
    </row>
    <row r="63" spans="1:8" x14ac:dyDescent="0.45">
      <c r="A63">
        <f>IF(ISBLANK([1]!ScoutingData[[#This Row],[teamNumber]]),"",[1]!ScoutingData[[#This Row],[teamNumber]])</f>
        <v>3042</v>
      </c>
      <c r="B63" t="str">
        <f>IF(ISBLANK([1]!ScoutingData[[#This Row],[matchLevel]]),"",[1]!ScoutingData[[#This Row],[matchLevel]])</f>
        <v>qm</v>
      </c>
      <c r="C63">
        <f>IF(ISBLANK([1]!ScoutingData[[#This Row],[matchNumber]]),"",[1]!ScoutingData[[#This Row],[matchNumber]])</f>
        <v>20</v>
      </c>
      <c r="D63" t="str">
        <f>IF(ISBLANK([1]!ScoutingData[[#This Row],[event]]),"",[1]!ScoutingData[[#This Row],[event]])</f>
        <v>2024ndgf</v>
      </c>
      <c r="E63" t="str">
        <f>IF(ISBLANK([1]!ScoutingData[[#This Row],[position]]),"",[1]!ScoutingData[[#This Row],[position]])</f>
        <v>[4]</v>
      </c>
      <c r="F63">
        <f>IF(ISBLANK([1]!ScoutingData[[#This Row],[leaveStartingZone]]),"",[1]!ScoutingData[[#This Row],[leaveStartingZone]])</f>
        <v>0</v>
      </c>
      <c r="G63">
        <f>IF(ISBLANK([1]!ScoutingData[[#This Row],[autoAmpScore]]),"",[1]!ScoutingData[[#This Row],[autoAmpScore]])</f>
        <v>0</v>
      </c>
      <c r="H63">
        <f>IF(ISBLANK([1]!ScoutingData[[#This Row],[autoSpeakerScore]]),"",[1]!ScoutingData[[#This Row],[autoSpeakerScore]])</f>
        <v>0</v>
      </c>
    </row>
    <row r="64" spans="1:8" x14ac:dyDescent="0.45">
      <c r="A64">
        <f>IF(ISBLANK([1]!ScoutingData[[#This Row],[teamNumber]]),"",[1]!ScoutingData[[#This Row],[teamNumber]])</f>
        <v>3042</v>
      </c>
      <c r="B64" t="str">
        <f>IF(ISBLANK([1]!ScoutingData[[#This Row],[matchLevel]]),"",[1]!ScoutingData[[#This Row],[matchLevel]])</f>
        <v>qm</v>
      </c>
      <c r="C64">
        <f>IF(ISBLANK([1]!ScoutingData[[#This Row],[matchNumber]]),"",[1]!ScoutingData[[#This Row],[matchNumber]])</f>
        <v>29</v>
      </c>
      <c r="D64" t="str">
        <f>IF(ISBLANK([1]!ScoutingData[[#This Row],[event]]),"",[1]!ScoutingData[[#This Row],[event]])</f>
        <v>2024ndgf</v>
      </c>
      <c r="E64" t="str">
        <f>IF(ISBLANK([1]!ScoutingData[[#This Row],[position]]),"",[1]!ScoutingData[[#This Row],[position]])</f>
        <v>[11]</v>
      </c>
      <c r="F64">
        <f>IF(ISBLANK([1]!ScoutingData[[#This Row],[leaveStartingZone]]),"",[1]!ScoutingData[[#This Row],[leaveStartingZone]])</f>
        <v>0</v>
      </c>
      <c r="G64">
        <f>IF(ISBLANK([1]!ScoutingData[[#This Row],[autoAmpScore]]),"",[1]!ScoutingData[[#This Row],[autoAmpScore]])</f>
        <v>0</v>
      </c>
      <c r="H64">
        <f>IF(ISBLANK([1]!ScoutingData[[#This Row],[autoSpeakerScore]]),"",[1]!ScoutingData[[#This Row],[autoSpeakerScore]])</f>
        <v>0</v>
      </c>
    </row>
    <row r="65" spans="1:8" x14ac:dyDescent="0.45">
      <c r="A65">
        <f>IF(ISBLANK([1]!ScoutingData[[#This Row],[teamNumber]]),"",[1]!ScoutingData[[#This Row],[teamNumber]])</f>
        <v>3042</v>
      </c>
      <c r="B65" t="str">
        <f>IF(ISBLANK([1]!ScoutingData[[#This Row],[matchLevel]]),"",[1]!ScoutingData[[#This Row],[matchLevel]])</f>
        <v>qm</v>
      </c>
      <c r="C65">
        <f>IF(ISBLANK([1]!ScoutingData[[#This Row],[matchNumber]]),"",[1]!ScoutingData[[#This Row],[matchNumber]])</f>
        <v>41</v>
      </c>
      <c r="D65" t="str">
        <f>IF(ISBLANK([1]!ScoutingData[[#This Row],[event]]),"",[1]!ScoutingData[[#This Row],[event]])</f>
        <v>2024ndgf</v>
      </c>
      <c r="E65" t="str">
        <f>IF(ISBLANK([1]!ScoutingData[[#This Row],[position]]),"",[1]!ScoutingData[[#This Row],[position]])</f>
        <v>[3]</v>
      </c>
      <c r="F65">
        <f>IF(ISBLANK([1]!ScoutingData[[#This Row],[leaveStartingZone]]),"",[1]!ScoutingData[[#This Row],[leaveStartingZone]])</f>
        <v>0</v>
      </c>
      <c r="G65">
        <f>IF(ISBLANK([1]!ScoutingData[[#This Row],[autoAmpScore]]),"",[1]!ScoutingData[[#This Row],[autoAmpScore]])</f>
        <v>0</v>
      </c>
      <c r="H65">
        <f>IF(ISBLANK([1]!ScoutingData[[#This Row],[autoSpeakerScore]]),"",[1]!ScoutingData[[#This Row],[autoSpeakerScore]])</f>
        <v>0</v>
      </c>
    </row>
    <row r="66" spans="1:8" x14ac:dyDescent="0.45">
      <c r="A66">
        <f>IF(ISBLANK([1]!ScoutingData[[#This Row],[teamNumber]]),"",[1]!ScoutingData[[#This Row],[teamNumber]])</f>
        <v>3058</v>
      </c>
      <c r="B66" t="str">
        <f>IF(ISBLANK([1]!ScoutingData[[#This Row],[matchLevel]]),"",[1]!ScoutingData[[#This Row],[matchLevel]])</f>
        <v>p</v>
      </c>
      <c r="C66">
        <f>IF(ISBLANK([1]!ScoutingData[[#This Row],[matchNumber]]),"",[1]!ScoutingData[[#This Row],[matchNumber]])</f>
        <v>19</v>
      </c>
      <c r="D66" t="str">
        <f>IF(ISBLANK([1]!ScoutingData[[#This Row],[event]]),"",[1]!ScoutingData[[#This Row],[event]])</f>
        <v>2024ndgf</v>
      </c>
      <c r="E66" t="str">
        <f>IF(ISBLANK([1]!ScoutingData[[#This Row],[position]]),"",[1]!ScoutingData[[#This Row],[position]])</f>
        <v>[21]</v>
      </c>
      <c r="F66">
        <f>IF(ISBLANK([1]!ScoutingData[[#This Row],[leaveStartingZone]]),"",[1]!ScoutingData[[#This Row],[leaveStartingZone]])</f>
        <v>0</v>
      </c>
      <c r="G66">
        <f>IF(ISBLANK([1]!ScoutingData[[#This Row],[autoAmpScore]]),"",[1]!ScoutingData[[#This Row],[autoAmpScore]])</f>
        <v>0</v>
      </c>
      <c r="H66">
        <f>IF(ISBLANK([1]!ScoutingData[[#This Row],[autoSpeakerScore]]),"",[1]!ScoutingData[[#This Row],[autoSpeakerScore]])</f>
        <v>2</v>
      </c>
    </row>
    <row r="67" spans="1:8" x14ac:dyDescent="0.45">
      <c r="A67">
        <f>IF(ISBLANK([1]!ScoutingData[[#This Row],[teamNumber]]),"",[1]!ScoutingData[[#This Row],[teamNumber]])</f>
        <v>3058</v>
      </c>
      <c r="B67" t="str">
        <f>IF(ISBLANK([1]!ScoutingData[[#This Row],[matchLevel]]),"",[1]!ScoutingData[[#This Row],[matchLevel]])</f>
        <v>qm</v>
      </c>
      <c r="C67">
        <f>IF(ISBLANK([1]!ScoutingData[[#This Row],[matchNumber]]),"",[1]!ScoutingData[[#This Row],[matchNumber]])</f>
        <v>21</v>
      </c>
      <c r="D67" t="str">
        <f>IF(ISBLANK([1]!ScoutingData[[#This Row],[event]]),"",[1]!ScoutingData[[#This Row],[event]])</f>
        <v>2024ndgf</v>
      </c>
      <c r="E67" t="str">
        <f>IF(ISBLANK([1]!ScoutingData[[#This Row],[position]]),"",[1]!ScoutingData[[#This Row],[position]])</f>
        <v>[21]</v>
      </c>
      <c r="F67">
        <f>IF(ISBLANK([1]!ScoutingData[[#This Row],[leaveStartingZone]]),"",[1]!ScoutingData[[#This Row],[leaveStartingZone]])</f>
        <v>1</v>
      </c>
      <c r="G67">
        <f>IF(ISBLANK([1]!ScoutingData[[#This Row],[autoAmpScore]]),"",[1]!ScoutingData[[#This Row],[autoAmpScore]])</f>
        <v>0</v>
      </c>
      <c r="H67">
        <f>IF(ISBLANK([1]!ScoutingData[[#This Row],[autoSpeakerScore]]),"",[1]!ScoutingData[[#This Row],[autoSpeakerScore]])</f>
        <v>2</v>
      </c>
    </row>
    <row r="68" spans="1:8" x14ac:dyDescent="0.45">
      <c r="A68">
        <f>IF(ISBLANK([1]!ScoutingData[[#This Row],[teamNumber]]),"",[1]!ScoutingData[[#This Row],[teamNumber]])</f>
        <v>3058</v>
      </c>
      <c r="B68" t="str">
        <f>IF(ISBLANK([1]!ScoutingData[[#This Row],[matchLevel]]),"",[1]!ScoutingData[[#This Row],[matchLevel]])</f>
        <v>qm</v>
      </c>
      <c r="C68">
        <f>IF(ISBLANK([1]!ScoutingData[[#This Row],[matchNumber]]),"",[1]!ScoutingData[[#This Row],[matchNumber]])</f>
        <v>29</v>
      </c>
      <c r="D68" t="str">
        <f>IF(ISBLANK([1]!ScoutingData[[#This Row],[event]]),"",[1]!ScoutingData[[#This Row],[event]])</f>
        <v>2024ndgf</v>
      </c>
      <c r="E68" t="str">
        <f>IF(ISBLANK([1]!ScoutingData[[#This Row],[position]]),"",[1]!ScoutingData[[#This Row],[position]])</f>
        <v>[7]</v>
      </c>
      <c r="F68">
        <f>IF(ISBLANK([1]!ScoutingData[[#This Row],[leaveStartingZone]]),"",[1]!ScoutingData[[#This Row],[leaveStartingZone]])</f>
        <v>1</v>
      </c>
      <c r="G68">
        <f>IF(ISBLANK([1]!ScoutingData[[#This Row],[autoAmpScore]]),"",[1]!ScoutingData[[#This Row],[autoAmpScore]])</f>
        <v>0</v>
      </c>
      <c r="H68">
        <f>IF(ISBLANK([1]!ScoutingData[[#This Row],[autoSpeakerScore]]),"",[1]!ScoutingData[[#This Row],[autoSpeakerScore]])</f>
        <v>1</v>
      </c>
    </row>
    <row r="69" spans="1:8" x14ac:dyDescent="0.45">
      <c r="A69">
        <f>IF(ISBLANK([1]!ScoutingData[[#This Row],[teamNumber]]),"",[1]!ScoutingData[[#This Row],[teamNumber]])</f>
        <v>3058</v>
      </c>
      <c r="B69" t="str">
        <f>IF(ISBLANK([1]!ScoutingData[[#This Row],[matchLevel]]),"",[1]!ScoutingData[[#This Row],[matchLevel]])</f>
        <v>qm</v>
      </c>
      <c r="C69">
        <f>IF(ISBLANK([1]!ScoutingData[[#This Row],[matchNumber]]),"",[1]!ScoutingData[[#This Row],[matchNumber]])</f>
        <v>1</v>
      </c>
      <c r="D69" t="str">
        <f>IF(ISBLANK([1]!ScoutingData[[#This Row],[event]]),"",[1]!ScoutingData[[#This Row],[event]])</f>
        <v>2024ndgf</v>
      </c>
      <c r="E69" t="str">
        <f>IF(ISBLANK([1]!ScoutingData[[#This Row],[position]]),"",[1]!ScoutingData[[#This Row],[position]])</f>
        <v>[7]</v>
      </c>
      <c r="F69">
        <f>IF(ISBLANK([1]!ScoutingData[[#This Row],[leaveStartingZone]]),"",[1]!ScoutingData[[#This Row],[leaveStartingZone]])</f>
        <v>0</v>
      </c>
      <c r="G69">
        <f>IF(ISBLANK([1]!ScoutingData[[#This Row],[autoAmpScore]]),"",[1]!ScoutingData[[#This Row],[autoAmpScore]])</f>
        <v>0</v>
      </c>
      <c r="H69">
        <f>IF(ISBLANK([1]!ScoutingData[[#This Row],[autoSpeakerScore]]),"",[1]!ScoutingData[[#This Row],[autoSpeakerScore]])</f>
        <v>1</v>
      </c>
    </row>
    <row r="70" spans="1:8" x14ac:dyDescent="0.45">
      <c r="A70">
        <f>IF(ISBLANK([1]!ScoutingData[[#This Row],[teamNumber]]),"",[1]!ScoutingData[[#This Row],[teamNumber]])</f>
        <v>3058</v>
      </c>
      <c r="B70" t="str">
        <f>IF(ISBLANK([1]!ScoutingData[[#This Row],[matchLevel]]),"",[1]!ScoutingData[[#This Row],[matchLevel]])</f>
        <v>qm</v>
      </c>
      <c r="C70">
        <f>IF(ISBLANK([1]!ScoutingData[[#This Row],[matchNumber]]),"",[1]!ScoutingData[[#This Row],[matchNumber]])</f>
        <v>10</v>
      </c>
      <c r="D70" t="str">
        <f>IF(ISBLANK([1]!ScoutingData[[#This Row],[event]]),"",[1]!ScoutingData[[#This Row],[event]])</f>
        <v>2024ndgf</v>
      </c>
      <c r="E70" t="str">
        <f>IF(ISBLANK([1]!ScoutingData[[#This Row],[position]]),"",[1]!ScoutingData[[#This Row],[position]])</f>
        <v>[8]</v>
      </c>
      <c r="F70">
        <f>IF(ISBLANK([1]!ScoutingData[[#This Row],[leaveStartingZone]]),"",[1]!ScoutingData[[#This Row],[leaveStartingZone]])</f>
        <v>1</v>
      </c>
      <c r="G70">
        <f>IF(ISBLANK([1]!ScoutingData[[#This Row],[autoAmpScore]]),"",[1]!ScoutingData[[#This Row],[autoAmpScore]])</f>
        <v>0</v>
      </c>
      <c r="H70">
        <f>IF(ISBLANK([1]!ScoutingData[[#This Row],[autoSpeakerScore]]),"",[1]!ScoutingData[[#This Row],[autoSpeakerScore]])</f>
        <v>2</v>
      </c>
    </row>
    <row r="71" spans="1:8" x14ac:dyDescent="0.45">
      <c r="A71">
        <f>IF(ISBLANK([1]!ScoutingData[[#This Row],[teamNumber]]),"",[1]!ScoutingData[[#This Row],[teamNumber]])</f>
        <v>3058</v>
      </c>
      <c r="B71" t="str">
        <f>IF(ISBLANK([1]!ScoutingData[[#This Row],[matchLevel]]),"",[1]!ScoutingData[[#This Row],[matchLevel]])</f>
        <v>qm</v>
      </c>
      <c r="C71">
        <f>IF(ISBLANK([1]!ScoutingData[[#This Row],[matchNumber]]),"",[1]!ScoutingData[[#This Row],[matchNumber]])</f>
        <v>40</v>
      </c>
      <c r="D71" t="str">
        <f>IF(ISBLANK([1]!ScoutingData[[#This Row],[event]]),"",[1]!ScoutingData[[#This Row],[event]])</f>
        <v>2024ndgf</v>
      </c>
      <c r="E71" t="str">
        <f>IF(ISBLANK([1]!ScoutingData[[#This Row],[position]]),"",[1]!ScoutingData[[#This Row],[position]])</f>
        <v>[9]</v>
      </c>
      <c r="F71">
        <f>IF(ISBLANK([1]!ScoutingData[[#This Row],[leaveStartingZone]]),"",[1]!ScoutingData[[#This Row],[leaveStartingZone]])</f>
        <v>1</v>
      </c>
      <c r="G71">
        <f>IF(ISBLANK([1]!ScoutingData[[#This Row],[autoAmpScore]]),"",[1]!ScoutingData[[#This Row],[autoAmpScore]])</f>
        <v>0</v>
      </c>
      <c r="H71">
        <f>IF(ISBLANK([1]!ScoutingData[[#This Row],[autoSpeakerScore]]),"",[1]!ScoutingData[[#This Row],[autoSpeakerScore]])</f>
        <v>1</v>
      </c>
    </row>
    <row r="72" spans="1:8" x14ac:dyDescent="0.45">
      <c r="A72">
        <f>IF(ISBLANK([1]!ScoutingData[[#This Row],[teamNumber]]),"",[1]!ScoutingData[[#This Row],[teamNumber]])</f>
        <v>3134</v>
      </c>
      <c r="B72" t="str">
        <f>IF(ISBLANK([1]!ScoutingData[[#This Row],[matchLevel]]),"",[1]!ScoutingData[[#This Row],[matchLevel]])</f>
        <v>p</v>
      </c>
      <c r="C72">
        <f>IF(ISBLANK([1]!ScoutingData[[#This Row],[matchNumber]]),"",[1]!ScoutingData[[#This Row],[matchNumber]])</f>
        <v>6</v>
      </c>
      <c r="D72" t="str">
        <f>IF(ISBLANK([1]!ScoutingData[[#This Row],[event]]),"",[1]!ScoutingData[[#This Row],[event]])</f>
        <v>2024ndgf</v>
      </c>
      <c r="E72" t="str">
        <f>IF(ISBLANK([1]!ScoutingData[[#This Row],[position]]),"",[1]!ScoutingData[[#This Row],[position]])</f>
        <v>[21]</v>
      </c>
      <c r="F72">
        <f>IF(ISBLANK([1]!ScoutingData[[#This Row],[leaveStartingZone]]),"",[1]!ScoutingData[[#This Row],[leaveStartingZone]])</f>
        <v>0</v>
      </c>
      <c r="G72">
        <f>IF(ISBLANK([1]!ScoutingData[[#This Row],[autoAmpScore]]),"",[1]!ScoutingData[[#This Row],[autoAmpScore]])</f>
        <v>1</v>
      </c>
      <c r="H72">
        <f>IF(ISBLANK([1]!ScoutingData[[#This Row],[autoSpeakerScore]]),"",[1]!ScoutingData[[#This Row],[autoSpeakerScore]])</f>
        <v>0</v>
      </c>
    </row>
    <row r="73" spans="1:8" x14ac:dyDescent="0.45">
      <c r="A73">
        <f>IF(ISBLANK([1]!ScoutingData[[#This Row],[teamNumber]]),"",[1]!ScoutingData[[#This Row],[teamNumber]])</f>
        <v>3134</v>
      </c>
      <c r="B73" t="str">
        <f>IF(ISBLANK([1]!ScoutingData[[#This Row],[matchLevel]]),"",[1]!ScoutingData[[#This Row],[matchLevel]])</f>
        <v>p</v>
      </c>
      <c r="C73">
        <f>IF(ISBLANK([1]!ScoutingData[[#This Row],[matchNumber]]),"",[1]!ScoutingData[[#This Row],[matchNumber]])</f>
        <v>25</v>
      </c>
      <c r="D73" t="str">
        <f>IF(ISBLANK([1]!ScoutingData[[#This Row],[event]]),"",[1]!ScoutingData[[#This Row],[event]])</f>
        <v>2024ndgf</v>
      </c>
      <c r="E73" t="str">
        <f>IF(ISBLANK([1]!ScoutingData[[#This Row],[position]]),"",[1]!ScoutingData[[#This Row],[position]])</f>
        <v>[9]</v>
      </c>
      <c r="F73">
        <f>IF(ISBLANK([1]!ScoutingData[[#This Row],[leaveStartingZone]]),"",[1]!ScoutingData[[#This Row],[leaveStartingZone]])</f>
        <v>1</v>
      </c>
      <c r="G73">
        <f>IF(ISBLANK([1]!ScoutingData[[#This Row],[autoAmpScore]]),"",[1]!ScoutingData[[#This Row],[autoAmpScore]])</f>
        <v>0</v>
      </c>
      <c r="H73">
        <f>IF(ISBLANK([1]!ScoutingData[[#This Row],[autoSpeakerScore]]),"",[1]!ScoutingData[[#This Row],[autoSpeakerScore]])</f>
        <v>0</v>
      </c>
    </row>
    <row r="74" spans="1:8" x14ac:dyDescent="0.45">
      <c r="A74">
        <f>IF(ISBLANK([1]!ScoutingData[[#This Row],[teamNumber]]),"",[1]!ScoutingData[[#This Row],[teamNumber]])</f>
        <v>3134</v>
      </c>
      <c r="B74" t="str">
        <f>IF(ISBLANK([1]!ScoutingData[[#This Row],[matchLevel]]),"",[1]!ScoutingData[[#This Row],[matchLevel]])</f>
        <v>p</v>
      </c>
      <c r="C74">
        <f>IF(ISBLANK([1]!ScoutingData[[#This Row],[matchNumber]]),"",[1]!ScoutingData[[#This Row],[matchNumber]])</f>
        <v>17</v>
      </c>
      <c r="D74" t="str">
        <f>IF(ISBLANK([1]!ScoutingData[[#This Row],[event]]),"",[1]!ScoutingData[[#This Row],[event]])</f>
        <v>2024ndgf</v>
      </c>
      <c r="E74" t="str">
        <f>IF(ISBLANK([1]!ScoutingData[[#This Row],[position]]),"",[1]!ScoutingData[[#This Row],[position]])</f>
        <v>[9]</v>
      </c>
      <c r="F74">
        <f>IF(ISBLANK([1]!ScoutingData[[#This Row],[leaveStartingZone]]),"",[1]!ScoutingData[[#This Row],[leaveStartingZone]])</f>
        <v>0</v>
      </c>
      <c r="G74">
        <f>IF(ISBLANK([1]!ScoutingData[[#This Row],[autoAmpScore]]),"",[1]!ScoutingData[[#This Row],[autoAmpScore]])</f>
        <v>0</v>
      </c>
      <c r="H74">
        <f>IF(ISBLANK([1]!ScoutingData[[#This Row],[autoSpeakerScore]]),"",[1]!ScoutingData[[#This Row],[autoSpeakerScore]])</f>
        <v>2</v>
      </c>
    </row>
    <row r="75" spans="1:8" x14ac:dyDescent="0.45">
      <c r="A75">
        <f>IF(ISBLANK([1]!ScoutingData[[#This Row],[teamNumber]]),"",[1]!ScoutingData[[#This Row],[teamNumber]])</f>
        <v>3134</v>
      </c>
      <c r="B75" t="str">
        <f>IF(ISBLANK([1]!ScoutingData[[#This Row],[matchLevel]]),"",[1]!ScoutingData[[#This Row],[matchLevel]])</f>
        <v>qm</v>
      </c>
      <c r="C75">
        <f>IF(ISBLANK([1]!ScoutingData[[#This Row],[matchNumber]]),"",[1]!ScoutingData[[#This Row],[matchNumber]])</f>
        <v>10</v>
      </c>
      <c r="D75" t="str">
        <f>IF(ISBLANK([1]!ScoutingData[[#This Row],[event]]),"",[1]!ScoutingData[[#This Row],[event]])</f>
        <v>2024ndgf</v>
      </c>
      <c r="E75" t="str">
        <f>IF(ISBLANK([1]!ScoutingData[[#This Row],[position]]),"",[1]!ScoutingData[[#This Row],[position]])</f>
        <v>[9]</v>
      </c>
      <c r="F75">
        <f>IF(ISBLANK([1]!ScoutingData[[#This Row],[leaveStartingZone]]),"",[1]!ScoutingData[[#This Row],[leaveStartingZone]])</f>
        <v>1</v>
      </c>
      <c r="G75">
        <f>IF(ISBLANK([1]!ScoutingData[[#This Row],[autoAmpScore]]),"",[1]!ScoutingData[[#This Row],[autoAmpScore]])</f>
        <v>0</v>
      </c>
      <c r="H75">
        <f>IF(ISBLANK([1]!ScoutingData[[#This Row],[autoSpeakerScore]]),"",[1]!ScoutingData[[#This Row],[autoSpeakerScore]])</f>
        <v>2</v>
      </c>
    </row>
    <row r="76" spans="1:8" x14ac:dyDescent="0.45">
      <c r="A76">
        <f>IF(ISBLANK([1]!ScoutingData[[#This Row],[teamNumber]]),"",[1]!ScoutingData[[#This Row],[teamNumber]])</f>
        <v>3134</v>
      </c>
      <c r="B76" t="str">
        <f>IF(ISBLANK([1]!ScoutingData[[#This Row],[matchLevel]]),"",[1]!ScoutingData[[#This Row],[matchLevel]])</f>
        <v>qm</v>
      </c>
      <c r="C76">
        <f>IF(ISBLANK([1]!ScoutingData[[#This Row],[matchNumber]]),"",[1]!ScoutingData[[#This Row],[matchNumber]])</f>
        <v>26</v>
      </c>
      <c r="D76" t="str">
        <f>IF(ISBLANK([1]!ScoutingData[[#This Row],[event]]),"",[1]!ScoutingData[[#This Row],[event]])</f>
        <v>2024ndgf</v>
      </c>
      <c r="E76" t="str">
        <f>IF(ISBLANK([1]!ScoutingData[[#This Row],[position]]),"",[1]!ScoutingData[[#This Row],[position]])</f>
        <v>[20]</v>
      </c>
      <c r="F76">
        <f>IF(ISBLANK([1]!ScoutingData[[#This Row],[leaveStartingZone]]),"",[1]!ScoutingData[[#This Row],[leaveStartingZone]])</f>
        <v>1</v>
      </c>
      <c r="G76">
        <f>IF(ISBLANK([1]!ScoutingData[[#This Row],[autoAmpScore]]),"",[1]!ScoutingData[[#This Row],[autoAmpScore]])</f>
        <v>0</v>
      </c>
      <c r="H76">
        <f>IF(ISBLANK([1]!ScoutingData[[#This Row],[autoSpeakerScore]]),"",[1]!ScoutingData[[#This Row],[autoSpeakerScore]])</f>
        <v>4</v>
      </c>
    </row>
    <row r="77" spans="1:8" x14ac:dyDescent="0.45">
      <c r="A77">
        <f>IF(ISBLANK([1]!ScoutingData[[#This Row],[teamNumber]]),"",[1]!ScoutingData[[#This Row],[teamNumber]])</f>
        <v>3134</v>
      </c>
      <c r="B77" t="str">
        <f>IF(ISBLANK([1]!ScoutingData[[#This Row],[matchLevel]]),"",[1]!ScoutingData[[#This Row],[matchLevel]])</f>
        <v>qm</v>
      </c>
      <c r="C77">
        <f>IF(ISBLANK([1]!ScoutingData[[#This Row],[matchNumber]]),"",[1]!ScoutingData[[#This Row],[matchNumber]])</f>
        <v>1</v>
      </c>
      <c r="D77" t="str">
        <f>IF(ISBLANK([1]!ScoutingData[[#This Row],[event]]),"",[1]!ScoutingData[[#This Row],[event]])</f>
        <v>2024ndgf</v>
      </c>
      <c r="E77" t="str">
        <f>IF(ISBLANK([1]!ScoutingData[[#This Row],[position]]),"",[1]!ScoutingData[[#This Row],[position]])</f>
        <v>[8]</v>
      </c>
      <c r="F77">
        <f>IF(ISBLANK([1]!ScoutingData[[#This Row],[leaveStartingZone]]),"",[1]!ScoutingData[[#This Row],[leaveStartingZone]])</f>
        <v>1</v>
      </c>
      <c r="G77">
        <f>IF(ISBLANK([1]!ScoutingData[[#This Row],[autoAmpScore]]),"",[1]!ScoutingData[[#This Row],[autoAmpScore]])</f>
        <v>0</v>
      </c>
      <c r="H77">
        <f>IF(ISBLANK([1]!ScoutingData[[#This Row],[autoSpeakerScore]]),"",[1]!ScoutingData[[#This Row],[autoSpeakerScore]])</f>
        <v>2</v>
      </c>
    </row>
    <row r="78" spans="1:8" x14ac:dyDescent="0.45">
      <c r="A78">
        <f>IF(ISBLANK([1]!ScoutingData[[#This Row],[teamNumber]]),"",[1]!ScoutingData[[#This Row],[teamNumber]])</f>
        <v>3134</v>
      </c>
      <c r="B78" t="str">
        <f>IF(ISBLANK([1]!ScoutingData[[#This Row],[matchLevel]]),"",[1]!ScoutingData[[#This Row],[matchLevel]])</f>
        <v>qm</v>
      </c>
      <c r="C78">
        <f>IF(ISBLANK([1]!ScoutingData[[#This Row],[matchNumber]]),"",[1]!ScoutingData[[#This Row],[matchNumber]])</f>
        <v>41</v>
      </c>
      <c r="D78" t="str">
        <f>IF(ISBLANK([1]!ScoutingData[[#This Row],[event]]),"",[1]!ScoutingData[[#This Row],[event]])</f>
        <v>2024ndgf</v>
      </c>
      <c r="E78" t="str">
        <f>IF(ISBLANK([1]!ScoutingData[[#This Row],[position]]),"",[1]!ScoutingData[[#This Row],[position]])</f>
        <v>[9]</v>
      </c>
      <c r="F78">
        <f>IF(ISBLANK([1]!ScoutingData[[#This Row],[leaveStartingZone]]),"",[1]!ScoutingData[[#This Row],[leaveStartingZone]])</f>
        <v>1</v>
      </c>
      <c r="G78">
        <f>IF(ISBLANK([1]!ScoutingData[[#This Row],[autoAmpScore]]),"",[1]!ScoutingData[[#This Row],[autoAmpScore]])</f>
        <v>0</v>
      </c>
      <c r="H78">
        <f>IF(ISBLANK([1]!ScoutingData[[#This Row],[autoSpeakerScore]]),"",[1]!ScoutingData[[#This Row],[autoSpeakerScore]])</f>
        <v>4</v>
      </c>
    </row>
    <row r="79" spans="1:8" x14ac:dyDescent="0.45">
      <c r="A79">
        <f>IF(ISBLANK([1]!ScoutingData[[#This Row],[teamNumber]]),"",[1]!ScoutingData[[#This Row],[teamNumber]])</f>
        <v>3275</v>
      </c>
      <c r="B79" t="str">
        <f>IF(ISBLANK([1]!ScoutingData[[#This Row],[matchLevel]]),"",[1]!ScoutingData[[#This Row],[matchLevel]])</f>
        <v>p</v>
      </c>
      <c r="C79">
        <f>IF(ISBLANK([1]!ScoutingData[[#This Row],[matchNumber]]),"",[1]!ScoutingData[[#This Row],[matchNumber]])</f>
        <v>9</v>
      </c>
      <c r="D79" t="str">
        <f>IF(ISBLANK([1]!ScoutingData[[#This Row],[event]]),"",[1]!ScoutingData[[#This Row],[event]])</f>
        <v>2024ndgf</v>
      </c>
      <c r="E79" t="str">
        <f>IF(ISBLANK([1]!ScoutingData[[#This Row],[position]]),"",[1]!ScoutingData[[#This Row],[position]])</f>
        <v>[11]</v>
      </c>
      <c r="F79">
        <f>IF(ISBLANK([1]!ScoutingData[[#This Row],[leaveStartingZone]]),"",[1]!ScoutingData[[#This Row],[leaveStartingZone]])</f>
        <v>1</v>
      </c>
      <c r="G79">
        <f>IF(ISBLANK([1]!ScoutingData[[#This Row],[autoAmpScore]]),"",[1]!ScoutingData[[#This Row],[autoAmpScore]])</f>
        <v>0</v>
      </c>
      <c r="H79">
        <f>IF(ISBLANK([1]!ScoutingData[[#This Row],[autoSpeakerScore]]),"",[1]!ScoutingData[[#This Row],[autoSpeakerScore]])</f>
        <v>1</v>
      </c>
    </row>
    <row r="80" spans="1:8" x14ac:dyDescent="0.45">
      <c r="A80">
        <f>IF(ISBLANK([1]!ScoutingData[[#This Row],[teamNumber]]),"",[1]!ScoutingData[[#This Row],[teamNumber]])</f>
        <v>3275</v>
      </c>
      <c r="B80" t="str">
        <f>IF(ISBLANK([1]!ScoutingData[[#This Row],[matchLevel]]),"",[1]!ScoutingData[[#This Row],[matchLevel]])</f>
        <v>qm</v>
      </c>
      <c r="C80">
        <f>IF(ISBLANK([1]!ScoutingData[[#This Row],[matchNumber]]),"",[1]!ScoutingData[[#This Row],[matchNumber]])</f>
        <v>18</v>
      </c>
      <c r="D80" t="str">
        <f>IF(ISBLANK([1]!ScoutingData[[#This Row],[event]]),"",[1]!ScoutingData[[#This Row],[event]])</f>
        <v>2024ndgf</v>
      </c>
      <c r="E80" t="str">
        <f>IF(ISBLANK([1]!ScoutingData[[#This Row],[position]]),"",[1]!ScoutingData[[#This Row],[position]])</f>
        <v>[10]</v>
      </c>
      <c r="F80">
        <f>IF(ISBLANK([1]!ScoutingData[[#This Row],[leaveStartingZone]]),"",[1]!ScoutingData[[#This Row],[leaveStartingZone]])</f>
        <v>0</v>
      </c>
      <c r="G80">
        <f>IF(ISBLANK([1]!ScoutingData[[#This Row],[autoAmpScore]]),"",[1]!ScoutingData[[#This Row],[autoAmpScore]])</f>
        <v>0</v>
      </c>
      <c r="H80">
        <f>IF(ISBLANK([1]!ScoutingData[[#This Row],[autoSpeakerScore]]),"",[1]!ScoutingData[[#This Row],[autoSpeakerScore]])</f>
        <v>2</v>
      </c>
    </row>
    <row r="81" spans="1:8" x14ac:dyDescent="0.45">
      <c r="A81">
        <f>IF(ISBLANK([1]!ScoutingData[[#This Row],[teamNumber]]),"",[1]!ScoutingData[[#This Row],[teamNumber]])</f>
        <v>3275</v>
      </c>
      <c r="B81" t="str">
        <f>IF(ISBLANK([1]!ScoutingData[[#This Row],[matchLevel]]),"",[1]!ScoutingData[[#This Row],[matchLevel]])</f>
        <v>p</v>
      </c>
      <c r="C81">
        <f>IF(ISBLANK([1]!ScoutingData[[#This Row],[matchNumber]]),"",[1]!ScoutingData[[#This Row],[matchNumber]])</f>
        <v>18</v>
      </c>
      <c r="D81" t="str">
        <f>IF(ISBLANK([1]!ScoutingData[[#This Row],[event]]),"",[1]!ScoutingData[[#This Row],[event]])</f>
        <v>2024ndgf</v>
      </c>
      <c r="E81" t="str">
        <f>IF(ISBLANK([1]!ScoutingData[[#This Row],[position]]),"",[1]!ScoutingData[[#This Row],[position]])</f>
        <v>[10]</v>
      </c>
      <c r="F81">
        <f>IF(ISBLANK([1]!ScoutingData[[#This Row],[leaveStartingZone]]),"",[1]!ScoutingData[[#This Row],[leaveStartingZone]])</f>
        <v>1</v>
      </c>
      <c r="G81">
        <f>IF(ISBLANK([1]!ScoutingData[[#This Row],[autoAmpScore]]),"",[1]!ScoutingData[[#This Row],[autoAmpScore]])</f>
        <v>0</v>
      </c>
      <c r="H81">
        <f>IF(ISBLANK([1]!ScoutingData[[#This Row],[autoSpeakerScore]]),"",[1]!ScoutingData[[#This Row],[autoSpeakerScore]])</f>
        <v>1</v>
      </c>
    </row>
    <row r="82" spans="1:8" x14ac:dyDescent="0.45">
      <c r="A82">
        <f>IF(ISBLANK([1]!ScoutingData[[#This Row],[teamNumber]]),"",[1]!ScoutingData[[#This Row],[teamNumber]])</f>
        <v>3275</v>
      </c>
      <c r="B82" t="str">
        <f>IF(ISBLANK([1]!ScoutingData[[#This Row],[matchLevel]]),"",[1]!ScoutingData[[#This Row],[matchLevel]])</f>
        <v>qm</v>
      </c>
      <c r="C82">
        <f>IF(ISBLANK([1]!ScoutingData[[#This Row],[matchNumber]]),"",[1]!ScoutingData[[#This Row],[matchNumber]])</f>
        <v>2</v>
      </c>
      <c r="D82" t="str">
        <f>IF(ISBLANK([1]!ScoutingData[[#This Row],[event]]),"",[1]!ScoutingData[[#This Row],[event]])</f>
        <v>2024ndgf</v>
      </c>
      <c r="E82" t="str">
        <f>IF(ISBLANK([1]!ScoutingData[[#This Row],[position]]),"",[1]!ScoutingData[[#This Row],[position]])</f>
        <v>[10]</v>
      </c>
      <c r="F82">
        <f>IF(ISBLANK([1]!ScoutingData[[#This Row],[leaveStartingZone]]),"",[1]!ScoutingData[[#This Row],[leaveStartingZone]])</f>
        <v>1</v>
      </c>
      <c r="G82">
        <f>IF(ISBLANK([1]!ScoutingData[[#This Row],[autoAmpScore]]),"",[1]!ScoutingData[[#This Row],[autoAmpScore]])</f>
        <v>0</v>
      </c>
      <c r="H82">
        <f>IF(ISBLANK([1]!ScoutingData[[#This Row],[autoSpeakerScore]]),"",[1]!ScoutingData[[#This Row],[autoSpeakerScore]])</f>
        <v>1</v>
      </c>
    </row>
    <row r="83" spans="1:8" x14ac:dyDescent="0.45">
      <c r="A83">
        <f>IF(ISBLANK([1]!ScoutingData[[#This Row],[teamNumber]]),"",[1]!ScoutingData[[#This Row],[teamNumber]])</f>
        <v>3275</v>
      </c>
      <c r="B83" t="str">
        <f>IF(ISBLANK([1]!ScoutingData[[#This Row],[matchLevel]]),"",[1]!ScoutingData[[#This Row],[matchLevel]])</f>
        <v>qm</v>
      </c>
      <c r="C83">
        <f>IF(ISBLANK([1]!ScoutingData[[#This Row],[matchNumber]]),"",[1]!ScoutingData[[#This Row],[matchNumber]])</f>
        <v>35</v>
      </c>
      <c r="D83" t="str">
        <f>IF(ISBLANK([1]!ScoutingData[[#This Row],[event]]),"",[1]!ScoutingData[[#This Row],[event]])</f>
        <v>2024ndgf</v>
      </c>
      <c r="E83" t="str">
        <f>IF(ISBLANK([1]!ScoutingData[[#This Row],[position]]),"",[1]!ScoutingData[[#This Row],[position]])</f>
        <v>[10]</v>
      </c>
      <c r="F83">
        <f>IF(ISBLANK([1]!ScoutingData[[#This Row],[leaveStartingZone]]),"",[1]!ScoutingData[[#This Row],[leaveStartingZone]])</f>
        <v>0</v>
      </c>
      <c r="G83">
        <f>IF(ISBLANK([1]!ScoutingData[[#This Row],[autoAmpScore]]),"",[1]!ScoutingData[[#This Row],[autoAmpScore]])</f>
        <v>0</v>
      </c>
      <c r="H83">
        <f>IF(ISBLANK([1]!ScoutingData[[#This Row],[autoSpeakerScore]]),"",[1]!ScoutingData[[#This Row],[autoSpeakerScore]])</f>
        <v>2</v>
      </c>
    </row>
    <row r="84" spans="1:8" x14ac:dyDescent="0.45">
      <c r="A84">
        <f>IF(ISBLANK([1]!ScoutingData[[#This Row],[teamNumber]]),"",[1]!ScoutingData[[#This Row],[teamNumber]])</f>
        <v>3275</v>
      </c>
      <c r="B84" t="str">
        <f>IF(ISBLANK([1]!ScoutingData[[#This Row],[matchLevel]]),"",[1]!ScoutingData[[#This Row],[matchLevel]])</f>
        <v>qm</v>
      </c>
      <c r="C84">
        <f>IF(ISBLANK([1]!ScoutingData[[#This Row],[matchNumber]]),"",[1]!ScoutingData[[#This Row],[matchNumber]])</f>
        <v>26</v>
      </c>
      <c r="D84" t="str">
        <f>IF(ISBLANK([1]!ScoutingData[[#This Row],[event]]),"",[1]!ScoutingData[[#This Row],[event]])</f>
        <v>2024ndgf</v>
      </c>
      <c r="E84" t="str">
        <f>IF(ISBLANK([1]!ScoutingData[[#This Row],[position]]),"",[1]!ScoutingData[[#This Row],[position]])</f>
        <v>[10]</v>
      </c>
      <c r="F84">
        <f>IF(ISBLANK([1]!ScoutingData[[#This Row],[leaveStartingZone]]),"",[1]!ScoutingData[[#This Row],[leaveStartingZone]])</f>
        <v>1</v>
      </c>
      <c r="G84">
        <f>IF(ISBLANK([1]!ScoutingData[[#This Row],[autoAmpScore]]),"",[1]!ScoutingData[[#This Row],[autoAmpScore]])</f>
        <v>1</v>
      </c>
      <c r="H84">
        <f>IF(ISBLANK([1]!ScoutingData[[#This Row],[autoSpeakerScore]]),"",[1]!ScoutingData[[#This Row],[autoSpeakerScore]])</f>
        <v>0</v>
      </c>
    </row>
    <row r="85" spans="1:8" x14ac:dyDescent="0.45">
      <c r="A85">
        <f>IF(ISBLANK([1]!ScoutingData[[#This Row],[teamNumber]]),"",[1]!ScoutingData[[#This Row],[teamNumber]])</f>
        <v>3275</v>
      </c>
      <c r="B85" t="str">
        <f>IF(ISBLANK([1]!ScoutingData[[#This Row],[matchLevel]]),"",[1]!ScoutingData[[#This Row],[matchLevel]])</f>
        <v>qm</v>
      </c>
      <c r="C85">
        <f>IF(ISBLANK([1]!ScoutingData[[#This Row],[matchNumber]]),"",[1]!ScoutingData[[#This Row],[matchNumber]])</f>
        <v>43</v>
      </c>
      <c r="D85" t="str">
        <f>IF(ISBLANK([1]!ScoutingData[[#This Row],[event]]),"",[1]!ScoutingData[[#This Row],[event]])</f>
        <v>2024ndgf</v>
      </c>
      <c r="E85" t="str">
        <f>IF(ISBLANK([1]!ScoutingData[[#This Row],[position]]),"",[1]!ScoutingData[[#This Row],[position]])</f>
        <v>[10]</v>
      </c>
      <c r="F85">
        <f>IF(ISBLANK([1]!ScoutingData[[#This Row],[leaveStartingZone]]),"",[1]!ScoutingData[[#This Row],[leaveStartingZone]])</f>
        <v>1</v>
      </c>
      <c r="G85">
        <f>IF(ISBLANK([1]!ScoutingData[[#This Row],[autoAmpScore]]),"",[1]!ScoutingData[[#This Row],[autoAmpScore]])</f>
        <v>0</v>
      </c>
      <c r="H85">
        <f>IF(ISBLANK([1]!ScoutingData[[#This Row],[autoSpeakerScore]]),"",[1]!ScoutingData[[#This Row],[autoSpeakerScore]])</f>
        <v>1</v>
      </c>
    </row>
    <row r="86" spans="1:8" x14ac:dyDescent="0.45">
      <c r="A86">
        <f>IF(ISBLANK([1]!ScoutingData[[#This Row],[teamNumber]]),"",[1]!ScoutingData[[#This Row],[teamNumber]])</f>
        <v>3275</v>
      </c>
      <c r="B86" t="str">
        <f>IF(ISBLANK([1]!ScoutingData[[#This Row],[matchLevel]]),"",[1]!ScoutingData[[#This Row],[matchLevel]])</f>
        <v>qm</v>
      </c>
      <c r="C86">
        <f>IF(ISBLANK([1]!ScoutingData[[#This Row],[matchNumber]]),"",[1]!ScoutingData[[#This Row],[matchNumber]])</f>
        <v>50</v>
      </c>
      <c r="D86" t="str">
        <f>IF(ISBLANK([1]!ScoutingData[[#This Row],[event]]),"",[1]!ScoutingData[[#This Row],[event]])</f>
        <v>2024ndgf</v>
      </c>
      <c r="E86" t="str">
        <f>IF(ISBLANK([1]!ScoutingData[[#This Row],[position]]),"",[1]!ScoutingData[[#This Row],[position]])</f>
        <v>[10]</v>
      </c>
      <c r="F86">
        <f>IF(ISBLANK([1]!ScoutingData[[#This Row],[leaveStartingZone]]),"",[1]!ScoutingData[[#This Row],[leaveStartingZone]])</f>
        <v>0</v>
      </c>
      <c r="G86">
        <f>IF(ISBLANK([1]!ScoutingData[[#This Row],[autoAmpScore]]),"",[1]!ScoutingData[[#This Row],[autoAmpScore]])</f>
        <v>0</v>
      </c>
      <c r="H86">
        <f>IF(ISBLANK([1]!ScoutingData[[#This Row],[autoSpeakerScore]]),"",[1]!ScoutingData[[#This Row],[autoSpeakerScore]])</f>
        <v>1</v>
      </c>
    </row>
    <row r="87" spans="1:8" x14ac:dyDescent="0.45">
      <c r="A87">
        <f>IF(ISBLANK([1]!ScoutingData[[#This Row],[teamNumber]]),"",[1]!ScoutingData[[#This Row],[teamNumber]])</f>
        <v>3276</v>
      </c>
      <c r="B87" t="str">
        <f>IF(ISBLANK([1]!ScoutingData[[#This Row],[matchLevel]]),"",[1]!ScoutingData[[#This Row],[matchLevel]])</f>
        <v>p</v>
      </c>
      <c r="C87">
        <f>IF(ISBLANK([1]!ScoutingData[[#This Row],[matchNumber]]),"",[1]!ScoutingData[[#This Row],[matchNumber]])</f>
        <v>14</v>
      </c>
      <c r="D87" t="str">
        <f>IF(ISBLANK([1]!ScoutingData[[#This Row],[event]]),"",[1]!ScoutingData[[#This Row],[event]])</f>
        <v>2024ndgf</v>
      </c>
      <c r="E87" t="str">
        <f>IF(ISBLANK([1]!ScoutingData[[#This Row],[position]]),"",[1]!ScoutingData[[#This Row],[position]])</f>
        <v>[7]</v>
      </c>
      <c r="F87">
        <f>IF(ISBLANK([1]!ScoutingData[[#This Row],[leaveStartingZone]]),"",[1]!ScoutingData[[#This Row],[leaveStartingZone]])</f>
        <v>0</v>
      </c>
      <c r="G87">
        <f>IF(ISBLANK([1]!ScoutingData[[#This Row],[autoAmpScore]]),"",[1]!ScoutingData[[#This Row],[autoAmpScore]])</f>
        <v>0</v>
      </c>
      <c r="H87">
        <f>IF(ISBLANK([1]!ScoutingData[[#This Row],[autoSpeakerScore]]),"",[1]!ScoutingData[[#This Row],[autoSpeakerScore]])</f>
        <v>0</v>
      </c>
    </row>
    <row r="88" spans="1:8" x14ac:dyDescent="0.45">
      <c r="A88">
        <f>IF(ISBLANK([1]!ScoutingData[[#This Row],[teamNumber]]),"",[1]!ScoutingData[[#This Row],[teamNumber]])</f>
        <v>3276</v>
      </c>
      <c r="B88" t="str">
        <f>IF(ISBLANK([1]!ScoutingData[[#This Row],[matchLevel]]),"",[1]!ScoutingData[[#This Row],[matchLevel]])</f>
        <v>p</v>
      </c>
      <c r="C88">
        <f>IF(ISBLANK([1]!ScoutingData[[#This Row],[matchNumber]]),"",[1]!ScoutingData[[#This Row],[matchNumber]])</f>
        <v>22</v>
      </c>
      <c r="D88" t="str">
        <f>IF(ISBLANK([1]!ScoutingData[[#This Row],[event]]),"",[1]!ScoutingData[[#This Row],[event]])</f>
        <v>2024ndgf</v>
      </c>
      <c r="E88" t="str">
        <f>IF(ISBLANK([1]!ScoutingData[[#This Row],[position]]),"",[1]!ScoutingData[[#This Row],[position]])</f>
        <v>[10]</v>
      </c>
      <c r="F88">
        <f>IF(ISBLANK([1]!ScoutingData[[#This Row],[leaveStartingZone]]),"",[1]!ScoutingData[[#This Row],[leaveStartingZone]])</f>
        <v>1</v>
      </c>
      <c r="G88">
        <f>IF(ISBLANK([1]!ScoutingData[[#This Row],[autoAmpScore]]),"",[1]!ScoutingData[[#This Row],[autoAmpScore]])</f>
        <v>0</v>
      </c>
      <c r="H88">
        <f>IF(ISBLANK([1]!ScoutingData[[#This Row],[autoSpeakerScore]]),"",[1]!ScoutingData[[#This Row],[autoSpeakerScore]])</f>
        <v>0</v>
      </c>
    </row>
    <row r="89" spans="1:8" x14ac:dyDescent="0.45">
      <c r="A89">
        <f>IF(ISBLANK([1]!ScoutingData[[#This Row],[teamNumber]]),"",[1]!ScoutingData[[#This Row],[teamNumber]])</f>
        <v>3276</v>
      </c>
      <c r="B89" t="str">
        <f>IF(ISBLANK([1]!ScoutingData[[#This Row],[matchLevel]]),"",[1]!ScoutingData[[#This Row],[matchLevel]])</f>
        <v>p</v>
      </c>
      <c r="C89">
        <f>IF(ISBLANK([1]!ScoutingData[[#This Row],[matchNumber]]),"",[1]!ScoutingData[[#This Row],[matchNumber]])</f>
        <v>6</v>
      </c>
      <c r="D89" t="str">
        <f>IF(ISBLANK([1]!ScoutingData[[#This Row],[event]]),"",[1]!ScoutingData[[#This Row],[event]])</f>
        <v>2024ndgf</v>
      </c>
      <c r="E89" t="str">
        <f>IF(ISBLANK([1]!ScoutingData[[#This Row],[position]]),"",[1]!ScoutingData[[#This Row],[position]])</f>
        <v>[7]</v>
      </c>
      <c r="F89">
        <f>IF(ISBLANK([1]!ScoutingData[[#This Row],[leaveStartingZone]]),"",[1]!ScoutingData[[#This Row],[leaveStartingZone]])</f>
        <v>0</v>
      </c>
      <c r="G89">
        <f>IF(ISBLANK([1]!ScoutingData[[#This Row],[autoAmpScore]]),"",[1]!ScoutingData[[#This Row],[autoAmpScore]])</f>
        <v>0</v>
      </c>
      <c r="H89">
        <f>IF(ISBLANK([1]!ScoutingData[[#This Row],[autoSpeakerScore]]),"",[1]!ScoutingData[[#This Row],[autoSpeakerScore]])</f>
        <v>1</v>
      </c>
    </row>
    <row r="90" spans="1:8" x14ac:dyDescent="0.45">
      <c r="A90">
        <f>IF(ISBLANK([1]!ScoutingData[[#This Row],[teamNumber]]),"",[1]!ScoutingData[[#This Row],[teamNumber]])</f>
        <v>3276</v>
      </c>
      <c r="B90" t="str">
        <f>IF(ISBLANK([1]!ScoutingData[[#This Row],[matchLevel]]),"",[1]!ScoutingData[[#This Row],[matchLevel]])</f>
        <v>qm</v>
      </c>
      <c r="C90">
        <f>IF(ISBLANK([1]!ScoutingData[[#This Row],[matchNumber]]),"",[1]!ScoutingData[[#This Row],[matchNumber]])</f>
        <v>3</v>
      </c>
      <c r="D90" t="str">
        <f>IF(ISBLANK([1]!ScoutingData[[#This Row],[event]]),"",[1]!ScoutingData[[#This Row],[event]])</f>
        <v>2024ndgf</v>
      </c>
      <c r="E90" t="str">
        <f>IF(ISBLANK([1]!ScoutingData[[#This Row],[position]]),"",[1]!ScoutingData[[#This Row],[position]])</f>
        <v>[9]</v>
      </c>
      <c r="F90">
        <f>IF(ISBLANK([1]!ScoutingData[[#This Row],[leaveStartingZone]]),"",[1]!ScoutingData[[#This Row],[leaveStartingZone]])</f>
        <v>1</v>
      </c>
      <c r="G90">
        <f>IF(ISBLANK([1]!ScoutingData[[#This Row],[autoAmpScore]]),"",[1]!ScoutingData[[#This Row],[autoAmpScore]])</f>
        <v>0</v>
      </c>
      <c r="H90">
        <f>IF(ISBLANK([1]!ScoutingData[[#This Row],[autoSpeakerScore]]),"",[1]!ScoutingData[[#This Row],[autoSpeakerScore]])</f>
        <v>3</v>
      </c>
    </row>
    <row r="91" spans="1:8" x14ac:dyDescent="0.45">
      <c r="A91">
        <f>IF(ISBLANK([1]!ScoutingData[[#This Row],[teamNumber]]),"",[1]!ScoutingData[[#This Row],[teamNumber]])</f>
        <v>3276</v>
      </c>
      <c r="B91" t="str">
        <f>IF(ISBLANK([1]!ScoutingData[[#This Row],[matchLevel]]),"",[1]!ScoutingData[[#This Row],[matchLevel]])</f>
        <v>qm</v>
      </c>
      <c r="C91">
        <f>IF(ISBLANK([1]!ScoutingData[[#This Row],[matchNumber]]),"",[1]!ScoutingData[[#This Row],[matchNumber]])</f>
        <v>11</v>
      </c>
      <c r="D91" t="str">
        <f>IF(ISBLANK([1]!ScoutingData[[#This Row],[event]]),"",[1]!ScoutingData[[#This Row],[event]])</f>
        <v>2024ndgf</v>
      </c>
      <c r="E91" t="str">
        <f>IF(ISBLANK([1]!ScoutingData[[#This Row],[position]]),"",[1]!ScoutingData[[#This Row],[position]])</f>
        <v>[9]</v>
      </c>
      <c r="F91">
        <f>IF(ISBLANK([1]!ScoutingData[[#This Row],[leaveStartingZone]]),"",[1]!ScoutingData[[#This Row],[leaveStartingZone]])</f>
        <v>1</v>
      </c>
      <c r="G91">
        <f>IF(ISBLANK([1]!ScoutingData[[#This Row],[autoAmpScore]]),"",[1]!ScoutingData[[#This Row],[autoAmpScore]])</f>
        <v>0</v>
      </c>
      <c r="H91">
        <f>IF(ISBLANK([1]!ScoutingData[[#This Row],[autoSpeakerScore]]),"",[1]!ScoutingData[[#This Row],[autoSpeakerScore]])</f>
        <v>3</v>
      </c>
    </row>
    <row r="92" spans="1:8" x14ac:dyDescent="0.45">
      <c r="A92">
        <f>IF(ISBLANK([1]!ScoutingData[[#This Row],[teamNumber]]),"",[1]!ScoutingData[[#This Row],[teamNumber]])</f>
        <v>3276</v>
      </c>
      <c r="B92" t="str">
        <f>IF(ISBLANK([1]!ScoutingData[[#This Row],[matchLevel]]),"",[1]!ScoutingData[[#This Row],[matchLevel]])</f>
        <v>qm</v>
      </c>
      <c r="C92">
        <f>IF(ISBLANK([1]!ScoutingData[[#This Row],[matchNumber]]),"",[1]!ScoutingData[[#This Row],[matchNumber]])</f>
        <v>37</v>
      </c>
      <c r="D92" t="str">
        <f>IF(ISBLANK([1]!ScoutingData[[#This Row],[event]]),"",[1]!ScoutingData[[#This Row],[event]])</f>
        <v>2024ndgf</v>
      </c>
      <c r="E92" t="str">
        <f>IF(ISBLANK([1]!ScoutingData[[#This Row],[position]]),"",[1]!ScoutingData[[#This Row],[position]])</f>
        <v>[7]</v>
      </c>
      <c r="F92">
        <f>IF(ISBLANK([1]!ScoutingData[[#This Row],[leaveStartingZone]]),"",[1]!ScoutingData[[#This Row],[leaveStartingZone]])</f>
        <v>1</v>
      </c>
      <c r="G92">
        <f>IF(ISBLANK([1]!ScoutingData[[#This Row],[autoAmpScore]]),"",[1]!ScoutingData[[#This Row],[autoAmpScore]])</f>
        <v>0</v>
      </c>
      <c r="H92">
        <f>IF(ISBLANK([1]!ScoutingData[[#This Row],[autoSpeakerScore]]),"",[1]!ScoutingData[[#This Row],[autoSpeakerScore]])</f>
        <v>1</v>
      </c>
    </row>
    <row r="93" spans="1:8" x14ac:dyDescent="0.45">
      <c r="A93">
        <f>IF(ISBLANK([1]!ScoutingData[[#This Row],[teamNumber]]),"",[1]!ScoutingData[[#This Row],[teamNumber]])</f>
        <v>3276</v>
      </c>
      <c r="B93" t="str">
        <f>IF(ISBLANK([1]!ScoutingData[[#This Row],[matchLevel]]),"",[1]!ScoutingData[[#This Row],[matchLevel]])</f>
        <v>qm</v>
      </c>
      <c r="C93">
        <f>IF(ISBLANK([1]!ScoutingData[[#This Row],[matchNumber]]),"",[1]!ScoutingData[[#This Row],[matchNumber]])</f>
        <v>57</v>
      </c>
      <c r="D93" t="str">
        <f>IF(ISBLANK([1]!ScoutingData[[#This Row],[event]]),"",[1]!ScoutingData[[#This Row],[event]])</f>
        <v>2024ndgf</v>
      </c>
      <c r="E93" t="str">
        <f>IF(ISBLANK([1]!ScoutingData[[#This Row],[position]]),"",[1]!ScoutingData[[#This Row],[position]])</f>
        <v>[9]</v>
      </c>
      <c r="F93">
        <f>IF(ISBLANK([1]!ScoutingData[[#This Row],[leaveStartingZone]]),"",[1]!ScoutingData[[#This Row],[leaveStartingZone]])</f>
        <v>1</v>
      </c>
      <c r="G93">
        <f>IF(ISBLANK([1]!ScoutingData[[#This Row],[autoAmpScore]]),"",[1]!ScoutingData[[#This Row],[autoAmpScore]])</f>
        <v>0</v>
      </c>
      <c r="H93">
        <f>IF(ISBLANK([1]!ScoutingData[[#This Row],[autoSpeakerScore]]),"",[1]!ScoutingData[[#This Row],[autoSpeakerScore]])</f>
        <v>2</v>
      </c>
    </row>
    <row r="94" spans="1:8" x14ac:dyDescent="0.45">
      <c r="A94">
        <f>IF(ISBLANK([1]!ScoutingData[[#This Row],[teamNumber]]),"",[1]!ScoutingData[[#This Row],[teamNumber]])</f>
        <v>3276</v>
      </c>
      <c r="B94" t="str">
        <f>IF(ISBLANK([1]!ScoutingData[[#This Row],[matchLevel]]),"",[1]!ScoutingData[[#This Row],[matchLevel]])</f>
        <v>qm</v>
      </c>
      <c r="C94">
        <f>IF(ISBLANK([1]!ScoutingData[[#This Row],[matchNumber]]),"",[1]!ScoutingData[[#This Row],[matchNumber]])</f>
        <v>51</v>
      </c>
      <c r="D94" t="str">
        <f>IF(ISBLANK([1]!ScoutingData[[#This Row],[event]]),"",[1]!ScoutingData[[#This Row],[event]])</f>
        <v>2024ndgf</v>
      </c>
      <c r="E94" t="str">
        <f>IF(ISBLANK([1]!ScoutingData[[#This Row],[position]]),"",[1]!ScoutingData[[#This Row],[position]])</f>
        <v>[9]</v>
      </c>
      <c r="F94">
        <f>IF(ISBLANK([1]!ScoutingData[[#This Row],[leaveStartingZone]]),"",[1]!ScoutingData[[#This Row],[leaveStartingZone]])</f>
        <v>1</v>
      </c>
      <c r="G94">
        <f>IF(ISBLANK([1]!ScoutingData[[#This Row],[autoAmpScore]]),"",[1]!ScoutingData[[#This Row],[autoAmpScore]])</f>
        <v>0</v>
      </c>
      <c r="H94">
        <f>IF(ISBLANK([1]!ScoutingData[[#This Row],[autoSpeakerScore]]),"",[1]!ScoutingData[[#This Row],[autoSpeakerScore]])</f>
        <v>3</v>
      </c>
    </row>
    <row r="95" spans="1:8" x14ac:dyDescent="0.45">
      <c r="A95">
        <f>IF(ISBLANK([1]!ScoutingData[[#This Row],[teamNumber]]),"",[1]!ScoutingData[[#This Row],[teamNumber]])</f>
        <v>3276</v>
      </c>
      <c r="B95" t="str">
        <f>IF(ISBLANK([1]!ScoutingData[[#This Row],[matchLevel]]),"",[1]!ScoutingData[[#This Row],[matchLevel]])</f>
        <v>qm</v>
      </c>
      <c r="C95">
        <f>IF(ISBLANK([1]!ScoutingData[[#This Row],[matchNumber]]),"",[1]!ScoutingData[[#This Row],[matchNumber]])</f>
        <v>43</v>
      </c>
      <c r="D95" t="str">
        <f>IF(ISBLANK([1]!ScoutingData[[#This Row],[event]]),"",[1]!ScoutingData[[#This Row],[event]])</f>
        <v>2024ndgf</v>
      </c>
      <c r="E95" t="str">
        <f>IF(ISBLANK([1]!ScoutingData[[#This Row],[position]]),"",[1]!ScoutingData[[#This Row],[position]])</f>
        <v>[21]</v>
      </c>
      <c r="F95">
        <f>IF(ISBLANK([1]!ScoutingData[[#This Row],[leaveStartingZone]]),"",[1]!ScoutingData[[#This Row],[leaveStartingZone]])</f>
        <v>1</v>
      </c>
      <c r="G95">
        <f>IF(ISBLANK([1]!ScoutingData[[#This Row],[autoAmpScore]]),"",[1]!ScoutingData[[#This Row],[autoAmpScore]])</f>
        <v>0</v>
      </c>
      <c r="H95">
        <f>IF(ISBLANK([1]!ScoutingData[[#This Row],[autoSpeakerScore]]),"",[1]!ScoutingData[[#This Row],[autoSpeakerScore]])</f>
        <v>3</v>
      </c>
    </row>
    <row r="96" spans="1:8" x14ac:dyDescent="0.45">
      <c r="A96">
        <f>IF(ISBLANK([1]!ScoutingData[[#This Row],[teamNumber]]),"",[1]!ScoutingData[[#This Row],[teamNumber]])</f>
        <v>3277</v>
      </c>
      <c r="B96" t="str">
        <f>IF(ISBLANK([1]!ScoutingData[[#This Row],[matchLevel]]),"",[1]!ScoutingData[[#This Row],[matchLevel]])</f>
        <v>p</v>
      </c>
      <c r="C96">
        <f>IF(ISBLANK([1]!ScoutingData[[#This Row],[matchNumber]]),"",[1]!ScoutingData[[#This Row],[matchNumber]])</f>
        <v>15</v>
      </c>
      <c r="D96" t="str">
        <f>IF(ISBLANK([1]!ScoutingData[[#This Row],[event]]),"",[1]!ScoutingData[[#This Row],[event]])</f>
        <v>2024ndgf</v>
      </c>
      <c r="E96" t="str">
        <f>IF(ISBLANK([1]!ScoutingData[[#This Row],[position]]),"",[1]!ScoutingData[[#This Row],[position]])</f>
        <v>[10]</v>
      </c>
      <c r="F96">
        <f>IF(ISBLANK([1]!ScoutingData[[#This Row],[leaveStartingZone]]),"",[1]!ScoutingData[[#This Row],[leaveStartingZone]])</f>
        <v>0</v>
      </c>
      <c r="G96">
        <f>IF(ISBLANK([1]!ScoutingData[[#This Row],[autoAmpScore]]),"",[1]!ScoutingData[[#This Row],[autoAmpScore]])</f>
        <v>0</v>
      </c>
      <c r="H96">
        <f>IF(ISBLANK([1]!ScoutingData[[#This Row],[autoSpeakerScore]]),"",[1]!ScoutingData[[#This Row],[autoSpeakerScore]])</f>
        <v>0</v>
      </c>
    </row>
    <row r="97" spans="1:8" x14ac:dyDescent="0.45">
      <c r="A97">
        <f>IF(ISBLANK([1]!ScoutingData[[#This Row],[teamNumber]]),"",[1]!ScoutingData[[#This Row],[teamNumber]])</f>
        <v>3277</v>
      </c>
      <c r="B97" t="str">
        <f>IF(ISBLANK([1]!ScoutingData[[#This Row],[matchLevel]]),"",[1]!ScoutingData[[#This Row],[matchLevel]])</f>
        <v>p</v>
      </c>
      <c r="C97">
        <f>IF(ISBLANK([1]!ScoutingData[[#This Row],[matchNumber]]),"",[1]!ScoutingData[[#This Row],[matchNumber]])</f>
        <v>25</v>
      </c>
      <c r="D97" t="str">
        <f>IF(ISBLANK([1]!ScoutingData[[#This Row],[event]]),"",[1]!ScoutingData[[#This Row],[event]])</f>
        <v>2024ndgf</v>
      </c>
      <c r="E97" t="str">
        <f>IF(ISBLANK([1]!ScoutingData[[#This Row],[position]]),"",[1]!ScoutingData[[#This Row],[position]])</f>
        <v>[7]</v>
      </c>
      <c r="F97">
        <f>IF(ISBLANK([1]!ScoutingData[[#This Row],[leaveStartingZone]]),"",[1]!ScoutingData[[#This Row],[leaveStartingZone]])</f>
        <v>1</v>
      </c>
      <c r="G97">
        <f>IF(ISBLANK([1]!ScoutingData[[#This Row],[autoAmpScore]]),"",[1]!ScoutingData[[#This Row],[autoAmpScore]])</f>
        <v>0</v>
      </c>
      <c r="H97">
        <f>IF(ISBLANK([1]!ScoutingData[[#This Row],[autoSpeakerScore]]),"",[1]!ScoutingData[[#This Row],[autoSpeakerScore]])</f>
        <v>0</v>
      </c>
    </row>
    <row r="98" spans="1:8" x14ac:dyDescent="0.45">
      <c r="A98">
        <f>IF(ISBLANK([1]!ScoutingData[[#This Row],[teamNumber]]),"",[1]!ScoutingData[[#This Row],[teamNumber]])</f>
        <v>3277</v>
      </c>
      <c r="B98" t="str">
        <f>IF(ISBLANK([1]!ScoutingData[[#This Row],[matchLevel]]),"",[1]!ScoutingData[[#This Row],[matchLevel]])</f>
        <v>p</v>
      </c>
      <c r="C98">
        <f>IF(ISBLANK([1]!ScoutingData[[#This Row],[matchNumber]]),"",[1]!ScoutingData[[#This Row],[matchNumber]])</f>
        <v>16</v>
      </c>
      <c r="D98" t="str">
        <f>IF(ISBLANK([1]!ScoutingData[[#This Row],[event]]),"",[1]!ScoutingData[[#This Row],[event]])</f>
        <v>2024ndgf</v>
      </c>
      <c r="E98" t="str">
        <f>IF(ISBLANK([1]!ScoutingData[[#This Row],[position]]),"",[1]!ScoutingData[[#This Row],[position]])</f>
        <v>[9]</v>
      </c>
      <c r="F98">
        <f>IF(ISBLANK([1]!ScoutingData[[#This Row],[leaveStartingZone]]),"",[1]!ScoutingData[[#This Row],[leaveStartingZone]])</f>
        <v>0</v>
      </c>
      <c r="G98">
        <f>IF(ISBLANK([1]!ScoutingData[[#This Row],[autoAmpScore]]),"",[1]!ScoutingData[[#This Row],[autoAmpScore]])</f>
        <v>0</v>
      </c>
      <c r="H98">
        <f>IF(ISBLANK([1]!ScoutingData[[#This Row],[autoSpeakerScore]]),"",[1]!ScoutingData[[#This Row],[autoSpeakerScore]])</f>
        <v>2</v>
      </c>
    </row>
    <row r="99" spans="1:8" x14ac:dyDescent="0.45">
      <c r="A99">
        <f>IF(ISBLANK([1]!ScoutingData[[#This Row],[teamNumber]]),"",[1]!ScoutingData[[#This Row],[teamNumber]])</f>
        <v>3277</v>
      </c>
      <c r="B99" t="str">
        <f>IF(ISBLANK([1]!ScoutingData[[#This Row],[matchLevel]]),"",[1]!ScoutingData[[#This Row],[matchLevel]])</f>
        <v>qm</v>
      </c>
      <c r="C99">
        <f>IF(ISBLANK([1]!ScoutingData[[#This Row],[matchNumber]]),"",[1]!ScoutingData[[#This Row],[matchNumber]])</f>
        <v>9</v>
      </c>
      <c r="D99" t="str">
        <f>IF(ISBLANK([1]!ScoutingData[[#This Row],[event]]),"",[1]!ScoutingData[[#This Row],[event]])</f>
        <v>2024ndgf</v>
      </c>
      <c r="E99" t="str">
        <f>IF(ISBLANK([1]!ScoutingData[[#This Row],[position]]),"",[1]!ScoutingData[[#This Row],[position]])</f>
        <v>[7]</v>
      </c>
      <c r="F99">
        <f>IF(ISBLANK([1]!ScoutingData[[#This Row],[leaveStartingZone]]),"",[1]!ScoutingData[[#This Row],[leaveStartingZone]])</f>
        <v>1</v>
      </c>
      <c r="G99">
        <f>IF(ISBLANK([1]!ScoutingData[[#This Row],[autoAmpScore]]),"",[1]!ScoutingData[[#This Row],[autoAmpScore]])</f>
        <v>0</v>
      </c>
      <c r="H99">
        <f>IF(ISBLANK([1]!ScoutingData[[#This Row],[autoSpeakerScore]]),"",[1]!ScoutingData[[#This Row],[autoSpeakerScore]])</f>
        <v>0</v>
      </c>
    </row>
    <row r="100" spans="1:8" x14ac:dyDescent="0.45">
      <c r="A100">
        <f>IF(ISBLANK([1]!ScoutingData[[#This Row],[teamNumber]]),"",[1]!ScoutingData[[#This Row],[teamNumber]])</f>
        <v>3277</v>
      </c>
      <c r="B100" t="str">
        <f>IF(ISBLANK([1]!ScoutingData[[#This Row],[matchLevel]]),"",[1]!ScoutingData[[#This Row],[matchLevel]])</f>
        <v>qm</v>
      </c>
      <c r="C100">
        <f>IF(ISBLANK([1]!ScoutingData[[#This Row],[matchNumber]]),"",[1]!ScoutingData[[#This Row],[matchNumber]])</f>
        <v>34</v>
      </c>
      <c r="D100" t="str">
        <f>IF(ISBLANK([1]!ScoutingData[[#This Row],[event]]),"",[1]!ScoutingData[[#This Row],[event]])</f>
        <v>2024ndgf</v>
      </c>
      <c r="E100" t="str">
        <f>IF(ISBLANK([1]!ScoutingData[[#This Row],[position]]),"",[1]!ScoutingData[[#This Row],[position]])</f>
        <v>[9]</v>
      </c>
      <c r="F100">
        <f>IF(ISBLANK([1]!ScoutingData[[#This Row],[leaveStartingZone]]),"",[1]!ScoutingData[[#This Row],[leaveStartingZone]])</f>
        <v>1</v>
      </c>
      <c r="G100">
        <f>IF(ISBLANK([1]!ScoutingData[[#This Row],[autoAmpScore]]),"",[1]!ScoutingData[[#This Row],[autoAmpScore]])</f>
        <v>0</v>
      </c>
      <c r="H100">
        <f>IF(ISBLANK([1]!ScoutingData[[#This Row],[autoSpeakerScore]]),"",[1]!ScoutingData[[#This Row],[autoSpeakerScore]])</f>
        <v>3</v>
      </c>
    </row>
    <row r="101" spans="1:8" x14ac:dyDescent="0.45">
      <c r="A101">
        <f>IF(ISBLANK([1]!ScoutingData[[#This Row],[teamNumber]]),"",[1]!ScoutingData[[#This Row],[teamNumber]])</f>
        <v>3277</v>
      </c>
      <c r="B101" t="str">
        <f>IF(ISBLANK([1]!ScoutingData[[#This Row],[matchLevel]]),"",[1]!ScoutingData[[#This Row],[matchLevel]])</f>
        <v>qm</v>
      </c>
      <c r="C101">
        <f>IF(ISBLANK([1]!ScoutingData[[#This Row],[matchNumber]]),"",[1]!ScoutingData[[#This Row],[matchNumber]])</f>
        <v>25</v>
      </c>
      <c r="D101" t="str">
        <f>IF(ISBLANK([1]!ScoutingData[[#This Row],[event]]),"",[1]!ScoutingData[[#This Row],[event]])</f>
        <v>2024ndgf</v>
      </c>
      <c r="E101" t="str">
        <f>IF(ISBLANK([1]!ScoutingData[[#This Row],[position]]),"",[1]!ScoutingData[[#This Row],[position]])</f>
        <v>[9]</v>
      </c>
      <c r="F101">
        <f>IF(ISBLANK([1]!ScoutingData[[#This Row],[leaveStartingZone]]),"",[1]!ScoutingData[[#This Row],[leaveStartingZone]])</f>
        <v>1</v>
      </c>
      <c r="G101">
        <f>IF(ISBLANK([1]!ScoutingData[[#This Row],[autoAmpScore]]),"",[1]!ScoutingData[[#This Row],[autoAmpScore]])</f>
        <v>0</v>
      </c>
      <c r="H101">
        <f>IF(ISBLANK([1]!ScoutingData[[#This Row],[autoSpeakerScore]]),"",[1]!ScoutingData[[#This Row],[autoSpeakerScore]])</f>
        <v>3</v>
      </c>
    </row>
    <row r="102" spans="1:8" x14ac:dyDescent="0.45">
      <c r="A102">
        <f>IF(ISBLANK([1]!ScoutingData[[#This Row],[teamNumber]]),"",[1]!ScoutingData[[#This Row],[teamNumber]])</f>
        <v>3277</v>
      </c>
      <c r="B102" t="str">
        <f>IF(ISBLANK([1]!ScoutingData[[#This Row],[matchLevel]]),"",[1]!ScoutingData[[#This Row],[matchLevel]])</f>
        <v>qm</v>
      </c>
      <c r="C102">
        <f>IF(ISBLANK([1]!ScoutingData[[#This Row],[matchNumber]]),"",[1]!ScoutingData[[#This Row],[matchNumber]])</f>
        <v>57</v>
      </c>
      <c r="D102" t="str">
        <f>IF(ISBLANK([1]!ScoutingData[[#This Row],[event]]),"",[1]!ScoutingData[[#This Row],[event]])</f>
        <v>2024ndgf</v>
      </c>
      <c r="E102" t="str">
        <f>IF(ISBLANK([1]!ScoutingData[[#This Row],[position]]),"",[1]!ScoutingData[[#This Row],[position]])</f>
        <v>[21]</v>
      </c>
      <c r="F102">
        <f>IF(ISBLANK([1]!ScoutingData[[#This Row],[leaveStartingZone]]),"",[1]!ScoutingData[[#This Row],[leaveStartingZone]])</f>
        <v>1</v>
      </c>
      <c r="G102">
        <f>IF(ISBLANK([1]!ScoutingData[[#This Row],[autoAmpScore]]),"",[1]!ScoutingData[[#This Row],[autoAmpScore]])</f>
        <v>0</v>
      </c>
      <c r="H102">
        <f>IF(ISBLANK([1]!ScoutingData[[#This Row],[autoSpeakerScore]]),"",[1]!ScoutingData[[#This Row],[autoSpeakerScore]])</f>
        <v>4</v>
      </c>
    </row>
    <row r="103" spans="1:8" x14ac:dyDescent="0.45">
      <c r="A103">
        <f>IF(ISBLANK([1]!ScoutingData[[#This Row],[teamNumber]]),"",[1]!ScoutingData[[#This Row],[teamNumber]])</f>
        <v>3277</v>
      </c>
      <c r="B103" t="str">
        <f>IF(ISBLANK([1]!ScoutingData[[#This Row],[matchLevel]]),"",[1]!ScoutingData[[#This Row],[matchLevel]])</f>
        <v>qm</v>
      </c>
      <c r="C103">
        <f>IF(ISBLANK([1]!ScoutingData[[#This Row],[matchNumber]]),"",[1]!ScoutingData[[#This Row],[matchNumber]])</f>
        <v>44</v>
      </c>
      <c r="D103" t="str">
        <f>IF(ISBLANK([1]!ScoutingData[[#This Row],[event]]),"",[1]!ScoutingData[[#This Row],[event]])</f>
        <v>2024ndgf</v>
      </c>
      <c r="E103" t="str">
        <f>IF(ISBLANK([1]!ScoutingData[[#This Row],[position]]),"",[1]!ScoutingData[[#This Row],[position]])</f>
        <v>[8]</v>
      </c>
      <c r="F103">
        <f>IF(ISBLANK([1]!ScoutingData[[#This Row],[leaveStartingZone]]),"",[1]!ScoutingData[[#This Row],[leaveStartingZone]])</f>
        <v>1</v>
      </c>
      <c r="G103">
        <f>IF(ISBLANK([1]!ScoutingData[[#This Row],[autoAmpScore]]),"",[1]!ScoutingData[[#This Row],[autoAmpScore]])</f>
        <v>0</v>
      </c>
      <c r="H103">
        <f>IF(ISBLANK([1]!ScoutingData[[#This Row],[autoSpeakerScore]]),"",[1]!ScoutingData[[#This Row],[autoSpeakerScore]])</f>
        <v>4</v>
      </c>
    </row>
    <row r="104" spans="1:8" x14ac:dyDescent="0.45">
      <c r="A104">
        <f>IF(ISBLANK([1]!ScoutingData[[#This Row],[teamNumber]]),"",[1]!ScoutingData[[#This Row],[teamNumber]])</f>
        <v>3277</v>
      </c>
      <c r="B104" t="str">
        <f>IF(ISBLANK([1]!ScoutingData[[#This Row],[matchLevel]]),"",[1]!ScoutingData[[#This Row],[matchLevel]])</f>
        <v>qm</v>
      </c>
      <c r="C104">
        <f>IF(ISBLANK([1]!ScoutingData[[#This Row],[matchNumber]]),"",[1]!ScoutingData[[#This Row],[matchNumber]])</f>
        <v>50</v>
      </c>
      <c r="D104" t="str">
        <f>IF(ISBLANK([1]!ScoutingData[[#This Row],[event]]),"",[1]!ScoutingData[[#This Row],[event]])</f>
        <v>2024ndgf</v>
      </c>
      <c r="E104" t="str">
        <f>IF(ISBLANK([1]!ScoutingData[[#This Row],[position]]),"",[1]!ScoutingData[[#This Row],[position]])</f>
        <v>[9]</v>
      </c>
      <c r="F104">
        <f>IF(ISBLANK([1]!ScoutingData[[#This Row],[leaveStartingZone]]),"",[1]!ScoutingData[[#This Row],[leaveStartingZone]])</f>
        <v>1</v>
      </c>
      <c r="G104">
        <f>IF(ISBLANK([1]!ScoutingData[[#This Row],[autoAmpScore]]),"",[1]!ScoutingData[[#This Row],[autoAmpScore]])</f>
        <v>0</v>
      </c>
      <c r="H104">
        <f>IF(ISBLANK([1]!ScoutingData[[#This Row],[autoSpeakerScore]]),"",[1]!ScoutingData[[#This Row],[autoSpeakerScore]])</f>
        <v>4</v>
      </c>
    </row>
    <row r="105" spans="1:8" x14ac:dyDescent="0.45">
      <c r="A105">
        <f>IF(ISBLANK([1]!ScoutingData[[#This Row],[teamNumber]]),"",[1]!ScoutingData[[#This Row],[teamNumber]])</f>
        <v>3278</v>
      </c>
      <c r="B105" t="str">
        <f>IF(ISBLANK([1]!ScoutingData[[#This Row],[matchLevel]]),"",[1]!ScoutingData[[#This Row],[matchLevel]])</f>
        <v>p</v>
      </c>
      <c r="C105">
        <f>IF(ISBLANK([1]!ScoutingData[[#This Row],[matchNumber]]),"",[1]!ScoutingData[[#This Row],[matchNumber]])</f>
        <v>11</v>
      </c>
      <c r="D105" t="str">
        <f>IF(ISBLANK([1]!ScoutingData[[#This Row],[event]]),"",[1]!ScoutingData[[#This Row],[event]])</f>
        <v>2024ndgf</v>
      </c>
      <c r="E105" t="str">
        <f>IF(ISBLANK([1]!ScoutingData[[#This Row],[position]]),"",[1]!ScoutingData[[#This Row],[position]])</f>
        <v>[4]</v>
      </c>
      <c r="F105">
        <f>IF(ISBLANK([1]!ScoutingData[[#This Row],[leaveStartingZone]]),"",[1]!ScoutingData[[#This Row],[leaveStartingZone]])</f>
        <v>0</v>
      </c>
      <c r="G105">
        <f>IF(ISBLANK([1]!ScoutingData[[#This Row],[autoAmpScore]]),"",[1]!ScoutingData[[#This Row],[autoAmpScore]])</f>
        <v>0</v>
      </c>
      <c r="H105">
        <f>IF(ISBLANK([1]!ScoutingData[[#This Row],[autoSpeakerScore]]),"",[1]!ScoutingData[[#This Row],[autoSpeakerScore]])</f>
        <v>0</v>
      </c>
    </row>
    <row r="106" spans="1:8" x14ac:dyDescent="0.45">
      <c r="A106">
        <f>IF(ISBLANK([1]!ScoutingData[[#This Row],[teamNumber]]),"",[1]!ScoutingData[[#This Row],[teamNumber]])</f>
        <v>3278</v>
      </c>
      <c r="B106" t="str">
        <f>IF(ISBLANK([1]!ScoutingData[[#This Row],[matchLevel]]),"",[1]!ScoutingData[[#This Row],[matchLevel]])</f>
        <v>p</v>
      </c>
      <c r="C106">
        <f>IF(ISBLANK([1]!ScoutingData[[#This Row],[matchNumber]]),"",[1]!ScoutingData[[#This Row],[matchNumber]])</f>
        <v>5</v>
      </c>
      <c r="D106" t="str">
        <f>IF(ISBLANK([1]!ScoutingData[[#This Row],[event]]),"",[1]!ScoutingData[[#This Row],[event]])</f>
        <v>2024ndgf</v>
      </c>
      <c r="E106" t="str">
        <f>IF(ISBLANK([1]!ScoutingData[[#This Row],[position]]),"",[1]!ScoutingData[[#This Row],[position]])</f>
        <v>[11]</v>
      </c>
      <c r="F106">
        <f>IF(ISBLANK([1]!ScoutingData[[#This Row],[leaveStartingZone]]),"",[1]!ScoutingData[[#This Row],[leaveStartingZone]])</f>
        <v>1</v>
      </c>
      <c r="G106">
        <f>IF(ISBLANK([1]!ScoutingData[[#This Row],[autoAmpScore]]),"",[1]!ScoutingData[[#This Row],[autoAmpScore]])</f>
        <v>0</v>
      </c>
      <c r="H106">
        <f>IF(ISBLANK([1]!ScoutingData[[#This Row],[autoSpeakerScore]]),"",[1]!ScoutingData[[#This Row],[autoSpeakerScore]])</f>
        <v>0</v>
      </c>
    </row>
    <row r="107" spans="1:8" x14ac:dyDescent="0.45">
      <c r="A107">
        <f>IF(ISBLANK([1]!ScoutingData[[#This Row],[teamNumber]]),"",[1]!ScoutingData[[#This Row],[teamNumber]])</f>
        <v>3278</v>
      </c>
      <c r="B107" t="str">
        <f>IF(ISBLANK([1]!ScoutingData[[#This Row],[matchLevel]]),"",[1]!ScoutingData[[#This Row],[matchLevel]])</f>
        <v>p</v>
      </c>
      <c r="C107">
        <f>IF(ISBLANK([1]!ScoutingData[[#This Row],[matchNumber]]),"",[1]!ScoutingData[[#This Row],[matchNumber]])</f>
        <v>21</v>
      </c>
      <c r="D107" t="str">
        <f>IF(ISBLANK([1]!ScoutingData[[#This Row],[event]]),"",[1]!ScoutingData[[#This Row],[event]])</f>
        <v>2024ndgf</v>
      </c>
      <c r="E107" t="str">
        <f>IF(ISBLANK([1]!ScoutingData[[#This Row],[position]]),"",[1]!ScoutingData[[#This Row],[position]])</f>
        <v>[11]</v>
      </c>
      <c r="F107">
        <f>IF(ISBLANK([1]!ScoutingData[[#This Row],[leaveStartingZone]]),"",[1]!ScoutingData[[#This Row],[leaveStartingZone]])</f>
        <v>0</v>
      </c>
      <c r="G107">
        <f>IF(ISBLANK([1]!ScoutingData[[#This Row],[autoAmpScore]]),"",[1]!ScoutingData[[#This Row],[autoAmpScore]])</f>
        <v>0</v>
      </c>
      <c r="H107">
        <f>IF(ISBLANK([1]!ScoutingData[[#This Row],[autoSpeakerScore]]),"",[1]!ScoutingData[[#This Row],[autoSpeakerScore]])</f>
        <v>0</v>
      </c>
    </row>
    <row r="108" spans="1:8" x14ac:dyDescent="0.45">
      <c r="A108">
        <f>IF(ISBLANK([1]!ScoutingData[[#This Row],[teamNumber]]),"",[1]!ScoutingData[[#This Row],[teamNumber]])</f>
        <v>3278</v>
      </c>
      <c r="B108" t="str">
        <f>IF(ISBLANK([1]!ScoutingData[[#This Row],[matchLevel]]),"",[1]!ScoutingData[[#This Row],[matchLevel]])</f>
        <v>p</v>
      </c>
      <c r="C108">
        <f>IF(ISBLANK([1]!ScoutingData[[#This Row],[matchNumber]]),"",[1]!ScoutingData[[#This Row],[matchNumber]])</f>
        <v>20</v>
      </c>
      <c r="D108" t="str">
        <f>IF(ISBLANK([1]!ScoutingData[[#This Row],[event]]),"",[1]!ScoutingData[[#This Row],[event]])</f>
        <v>2024ndgf</v>
      </c>
      <c r="E108" t="str">
        <f>IF(ISBLANK([1]!ScoutingData[[#This Row],[position]]),"",[1]!ScoutingData[[#This Row],[position]])</f>
        <v>[10]</v>
      </c>
      <c r="F108">
        <f>IF(ISBLANK([1]!ScoutingData[[#This Row],[leaveStartingZone]]),"",[1]!ScoutingData[[#This Row],[leaveStartingZone]])</f>
        <v>0</v>
      </c>
      <c r="G108">
        <f>IF(ISBLANK([1]!ScoutingData[[#This Row],[autoAmpScore]]),"",[1]!ScoutingData[[#This Row],[autoAmpScore]])</f>
        <v>0</v>
      </c>
      <c r="H108">
        <f>IF(ISBLANK([1]!ScoutingData[[#This Row],[autoSpeakerScore]]),"",[1]!ScoutingData[[#This Row],[autoSpeakerScore]])</f>
        <v>0</v>
      </c>
    </row>
    <row r="109" spans="1:8" x14ac:dyDescent="0.45">
      <c r="A109">
        <f>IF(ISBLANK([1]!ScoutingData[[#This Row],[teamNumber]]),"",[1]!ScoutingData[[#This Row],[teamNumber]])</f>
        <v>3278</v>
      </c>
      <c r="B109" t="str">
        <f>IF(ISBLANK([1]!ScoutingData[[#This Row],[matchLevel]]),"",[1]!ScoutingData[[#This Row],[matchLevel]])</f>
        <v>qm</v>
      </c>
      <c r="C109">
        <f>IF(ISBLANK([1]!ScoutingData[[#This Row],[matchNumber]]),"",[1]!ScoutingData[[#This Row],[matchNumber]])</f>
        <v>2</v>
      </c>
      <c r="D109" t="str">
        <f>IF(ISBLANK([1]!ScoutingData[[#This Row],[event]]),"",[1]!ScoutingData[[#This Row],[event]])</f>
        <v>2024ndgf</v>
      </c>
      <c r="E109" t="str">
        <f>IF(ISBLANK([1]!ScoutingData[[#This Row],[position]]),"",[1]!ScoutingData[[#This Row],[position]])</f>
        <v>[9]</v>
      </c>
      <c r="F109">
        <f>IF(ISBLANK([1]!ScoutingData[[#This Row],[leaveStartingZone]]),"",[1]!ScoutingData[[#This Row],[leaveStartingZone]])</f>
        <v>1</v>
      </c>
      <c r="G109">
        <f>IF(ISBLANK([1]!ScoutingData[[#This Row],[autoAmpScore]]),"",[1]!ScoutingData[[#This Row],[autoAmpScore]])</f>
        <v>0</v>
      </c>
      <c r="H109">
        <f>IF(ISBLANK([1]!ScoutingData[[#This Row],[autoSpeakerScore]]),"",[1]!ScoutingData[[#This Row],[autoSpeakerScore]])</f>
        <v>0</v>
      </c>
    </row>
    <row r="110" spans="1:8" x14ac:dyDescent="0.45">
      <c r="A110">
        <f>IF(ISBLANK([1]!ScoutingData[[#This Row],[teamNumber]]),"",[1]!ScoutingData[[#This Row],[teamNumber]])</f>
        <v>3278</v>
      </c>
      <c r="B110" t="str">
        <f>IF(ISBLANK([1]!ScoutingData[[#This Row],[matchLevel]]),"",[1]!ScoutingData[[#This Row],[matchLevel]])</f>
        <v>qm</v>
      </c>
      <c r="C110">
        <f>IF(ISBLANK([1]!ScoutingData[[#This Row],[matchNumber]]),"",[1]!ScoutingData[[#This Row],[matchNumber]])</f>
        <v>33</v>
      </c>
      <c r="D110" t="str">
        <f>IF(ISBLANK([1]!ScoutingData[[#This Row],[event]]),"",[1]!ScoutingData[[#This Row],[event]])</f>
        <v>2024ndgf</v>
      </c>
      <c r="E110" t="str">
        <f>IF(ISBLANK([1]!ScoutingData[[#This Row],[position]]),"",[1]!ScoutingData[[#This Row],[position]])</f>
        <v>[14]</v>
      </c>
      <c r="F110">
        <f>IF(ISBLANK([1]!ScoutingData[[#This Row],[leaveStartingZone]]),"",[1]!ScoutingData[[#This Row],[leaveStartingZone]])</f>
        <v>0</v>
      </c>
      <c r="G110">
        <f>IF(ISBLANK([1]!ScoutingData[[#This Row],[autoAmpScore]]),"",[1]!ScoutingData[[#This Row],[autoAmpScore]])</f>
        <v>0</v>
      </c>
      <c r="H110">
        <f>IF(ISBLANK([1]!ScoutingData[[#This Row],[autoSpeakerScore]]),"",[1]!ScoutingData[[#This Row],[autoSpeakerScore]])</f>
        <v>0</v>
      </c>
    </row>
    <row r="111" spans="1:8" x14ac:dyDescent="0.45">
      <c r="A111">
        <f>IF(ISBLANK([1]!ScoutingData[[#This Row],[teamNumber]]),"",[1]!ScoutingData[[#This Row],[teamNumber]])</f>
        <v>3278</v>
      </c>
      <c r="B111" t="str">
        <f>IF(ISBLANK([1]!ScoutingData[[#This Row],[matchLevel]]),"",[1]!ScoutingData[[#This Row],[matchLevel]])</f>
        <v>qm</v>
      </c>
      <c r="C111">
        <f>IF(ISBLANK([1]!ScoutingData[[#This Row],[matchNumber]]),"",[1]!ScoutingData[[#This Row],[matchNumber]])</f>
        <v>20</v>
      </c>
      <c r="D111" t="str">
        <f>IF(ISBLANK([1]!ScoutingData[[#This Row],[event]]),"",[1]!ScoutingData[[#This Row],[event]])</f>
        <v>2024ndgf</v>
      </c>
      <c r="E111" t="str">
        <f>IF(ISBLANK([1]!ScoutingData[[#This Row],[position]]),"",[1]!ScoutingData[[#This Row],[position]])</f>
        <v>[10]</v>
      </c>
      <c r="F111">
        <f>IF(ISBLANK([1]!ScoutingData[[#This Row],[leaveStartingZone]]),"",[1]!ScoutingData[[#This Row],[leaveStartingZone]])</f>
        <v>0</v>
      </c>
      <c r="G111">
        <f>IF(ISBLANK([1]!ScoutingData[[#This Row],[autoAmpScore]]),"",[1]!ScoutingData[[#This Row],[autoAmpScore]])</f>
        <v>0</v>
      </c>
      <c r="H111">
        <f>IF(ISBLANK([1]!ScoutingData[[#This Row],[autoSpeakerScore]]),"",[1]!ScoutingData[[#This Row],[autoSpeakerScore]])</f>
        <v>0</v>
      </c>
    </row>
    <row r="112" spans="1:8" x14ac:dyDescent="0.45">
      <c r="A112">
        <f>IF(ISBLANK([1]!ScoutingData[[#This Row],[teamNumber]]),"",[1]!ScoutingData[[#This Row],[teamNumber]])</f>
        <v>3278</v>
      </c>
      <c r="B112" t="str">
        <f>IF(ISBLANK([1]!ScoutingData[[#This Row],[matchLevel]]),"",[1]!ScoutingData[[#This Row],[matchLevel]])</f>
        <v>qm</v>
      </c>
      <c r="C112">
        <f>IF(ISBLANK([1]!ScoutingData[[#This Row],[matchNumber]]),"",[1]!ScoutingData[[#This Row],[matchNumber]])</f>
        <v>11</v>
      </c>
      <c r="D112" t="str">
        <f>IF(ISBLANK([1]!ScoutingData[[#This Row],[event]]),"",[1]!ScoutingData[[#This Row],[event]])</f>
        <v>2024ndgf</v>
      </c>
      <c r="E112" t="str">
        <f>IF(ISBLANK([1]!ScoutingData[[#This Row],[position]]),"",[1]!ScoutingData[[#This Row],[position]])</f>
        <v>[9]</v>
      </c>
      <c r="F112">
        <f>IF(ISBLANK([1]!ScoutingData[[#This Row],[leaveStartingZone]]),"",[1]!ScoutingData[[#This Row],[leaveStartingZone]])</f>
        <v>0</v>
      </c>
      <c r="G112">
        <f>IF(ISBLANK([1]!ScoutingData[[#This Row],[autoAmpScore]]),"",[1]!ScoutingData[[#This Row],[autoAmpScore]])</f>
        <v>0</v>
      </c>
      <c r="H112">
        <f>IF(ISBLANK([1]!ScoutingData[[#This Row],[autoSpeakerScore]]),"",[1]!ScoutingData[[#This Row],[autoSpeakerScore]])</f>
        <v>3</v>
      </c>
    </row>
    <row r="113" spans="1:8" x14ac:dyDescent="0.45">
      <c r="A113">
        <f>IF(ISBLANK([1]!ScoutingData[[#This Row],[teamNumber]]),"",[1]!ScoutingData[[#This Row],[teamNumber]])</f>
        <v>3278</v>
      </c>
      <c r="B113" t="str">
        <f>IF(ISBLANK([1]!ScoutingData[[#This Row],[matchLevel]]),"",[1]!ScoutingData[[#This Row],[matchLevel]])</f>
        <v>qm</v>
      </c>
      <c r="C113">
        <f>IF(ISBLANK([1]!ScoutingData[[#This Row],[matchNumber]]),"",[1]!ScoutingData[[#This Row],[matchNumber]])</f>
        <v>44</v>
      </c>
      <c r="D113" t="str">
        <f>IF(ISBLANK([1]!ScoutingData[[#This Row],[event]]),"",[1]!ScoutingData[[#This Row],[event]])</f>
        <v>2024ndgf</v>
      </c>
      <c r="E113" t="str">
        <f>IF(ISBLANK([1]!ScoutingData[[#This Row],[position]]),"",[1]!ScoutingData[[#This Row],[position]])</f>
        <v>[4]</v>
      </c>
      <c r="F113">
        <f>IF(ISBLANK([1]!ScoutingData[[#This Row],[leaveStartingZone]]),"",[1]!ScoutingData[[#This Row],[leaveStartingZone]])</f>
        <v>1</v>
      </c>
      <c r="G113">
        <f>IF(ISBLANK([1]!ScoutingData[[#This Row],[autoAmpScore]]),"",[1]!ScoutingData[[#This Row],[autoAmpScore]])</f>
        <v>0</v>
      </c>
      <c r="H113">
        <f>IF(ISBLANK([1]!ScoutingData[[#This Row],[autoSpeakerScore]]),"",[1]!ScoutingData[[#This Row],[autoSpeakerScore]])</f>
        <v>0</v>
      </c>
    </row>
    <row r="114" spans="1:8" x14ac:dyDescent="0.45">
      <c r="A114">
        <f>IF(ISBLANK([1]!ScoutingData[[#This Row],[teamNumber]]),"",[1]!ScoutingData[[#This Row],[teamNumber]])</f>
        <v>3293</v>
      </c>
      <c r="B114" t="str">
        <f>IF(ISBLANK([1]!ScoutingData[[#This Row],[matchLevel]]),"",[1]!ScoutingData[[#This Row],[matchLevel]])</f>
        <v>p</v>
      </c>
      <c r="C114">
        <f>IF(ISBLANK([1]!ScoutingData[[#This Row],[matchNumber]]),"",[1]!ScoutingData[[#This Row],[matchNumber]])</f>
        <v>7</v>
      </c>
      <c r="D114" t="str">
        <f>IF(ISBLANK([1]!ScoutingData[[#This Row],[event]]),"",[1]!ScoutingData[[#This Row],[event]])</f>
        <v>2024ndgf</v>
      </c>
      <c r="E114" t="str">
        <f>IF(ISBLANK([1]!ScoutingData[[#This Row],[position]]),"",[1]!ScoutingData[[#This Row],[position]])</f>
        <v>[10]</v>
      </c>
      <c r="F114">
        <f>IF(ISBLANK([1]!ScoutingData[[#This Row],[leaveStartingZone]]),"",[1]!ScoutingData[[#This Row],[leaveStartingZone]])</f>
        <v>0</v>
      </c>
      <c r="G114">
        <f>IF(ISBLANK([1]!ScoutingData[[#This Row],[autoAmpScore]]),"",[1]!ScoutingData[[#This Row],[autoAmpScore]])</f>
        <v>0</v>
      </c>
      <c r="H114">
        <f>IF(ISBLANK([1]!ScoutingData[[#This Row],[autoSpeakerScore]]),"",[1]!ScoutingData[[#This Row],[autoSpeakerScore]])</f>
        <v>0</v>
      </c>
    </row>
    <row r="115" spans="1:8" x14ac:dyDescent="0.45">
      <c r="A115">
        <f>IF(ISBLANK([1]!ScoutingData[[#This Row],[teamNumber]]),"",[1]!ScoutingData[[#This Row],[teamNumber]])</f>
        <v>3293</v>
      </c>
      <c r="B115" t="str">
        <f>IF(ISBLANK([1]!ScoutingData[[#This Row],[matchLevel]]),"",[1]!ScoutingData[[#This Row],[matchLevel]])</f>
        <v>p</v>
      </c>
      <c r="C115">
        <f>IF(ISBLANK([1]!ScoutingData[[#This Row],[matchNumber]]),"",[1]!ScoutingData[[#This Row],[matchNumber]])</f>
        <v>15</v>
      </c>
      <c r="D115" t="str">
        <f>IF(ISBLANK([1]!ScoutingData[[#This Row],[event]]),"",[1]!ScoutingData[[#This Row],[event]])</f>
        <v>2024ndgf</v>
      </c>
      <c r="E115" t="str">
        <f>IF(ISBLANK([1]!ScoutingData[[#This Row],[position]]),"",[1]!ScoutingData[[#This Row],[position]])</f>
        <v>[24]</v>
      </c>
      <c r="F115">
        <f>IF(ISBLANK([1]!ScoutingData[[#This Row],[leaveStartingZone]]),"",[1]!ScoutingData[[#This Row],[leaveStartingZone]])</f>
        <v>0</v>
      </c>
      <c r="G115">
        <f>IF(ISBLANK([1]!ScoutingData[[#This Row],[autoAmpScore]]),"",[1]!ScoutingData[[#This Row],[autoAmpScore]])</f>
        <v>1</v>
      </c>
      <c r="H115">
        <f>IF(ISBLANK([1]!ScoutingData[[#This Row],[autoSpeakerScore]]),"",[1]!ScoutingData[[#This Row],[autoSpeakerScore]])</f>
        <v>0</v>
      </c>
    </row>
    <row r="116" spans="1:8" x14ac:dyDescent="0.45">
      <c r="A116">
        <f>IF(ISBLANK([1]!ScoutingData[[#This Row],[teamNumber]]),"",[1]!ScoutingData[[#This Row],[teamNumber]])</f>
        <v>3293</v>
      </c>
      <c r="B116" t="str">
        <f>IF(ISBLANK([1]!ScoutingData[[#This Row],[matchLevel]]),"",[1]!ScoutingData[[#This Row],[matchLevel]])</f>
        <v>p</v>
      </c>
      <c r="C116">
        <f>IF(ISBLANK([1]!ScoutingData[[#This Row],[matchNumber]]),"",[1]!ScoutingData[[#This Row],[matchNumber]])</f>
        <v>20</v>
      </c>
      <c r="D116" t="str">
        <f>IF(ISBLANK([1]!ScoutingData[[#This Row],[event]]),"",[1]!ScoutingData[[#This Row],[event]])</f>
        <v>2024ndgf</v>
      </c>
      <c r="E116" t="str">
        <f>IF(ISBLANK([1]!ScoutingData[[#This Row],[position]]),"",[1]!ScoutingData[[#This Row],[position]])</f>
        <v>[11]</v>
      </c>
      <c r="F116">
        <f>IF(ISBLANK([1]!ScoutingData[[#This Row],[leaveStartingZone]]),"",[1]!ScoutingData[[#This Row],[leaveStartingZone]])</f>
        <v>1</v>
      </c>
      <c r="G116">
        <f>IF(ISBLANK([1]!ScoutingData[[#This Row],[autoAmpScore]]),"",[1]!ScoutingData[[#This Row],[autoAmpScore]])</f>
        <v>2</v>
      </c>
      <c r="H116">
        <f>IF(ISBLANK([1]!ScoutingData[[#This Row],[autoSpeakerScore]]),"",[1]!ScoutingData[[#This Row],[autoSpeakerScore]])</f>
        <v>0</v>
      </c>
    </row>
    <row r="117" spans="1:8" x14ac:dyDescent="0.45">
      <c r="A117">
        <f>IF(ISBLANK([1]!ScoutingData[[#This Row],[teamNumber]]),"",[1]!ScoutingData[[#This Row],[teamNumber]])</f>
        <v>3293</v>
      </c>
      <c r="B117" t="str">
        <f>IF(ISBLANK([1]!ScoutingData[[#This Row],[matchLevel]]),"",[1]!ScoutingData[[#This Row],[matchLevel]])</f>
        <v>qm</v>
      </c>
      <c r="C117">
        <f>IF(ISBLANK([1]!ScoutingData[[#This Row],[matchNumber]]),"",[1]!ScoutingData[[#This Row],[matchNumber]])</f>
        <v>25</v>
      </c>
      <c r="D117" t="str">
        <f>IF(ISBLANK([1]!ScoutingData[[#This Row],[event]]),"",[1]!ScoutingData[[#This Row],[event]])</f>
        <v>2024ndgf</v>
      </c>
      <c r="E117" t="str">
        <f>IF(ISBLANK([1]!ScoutingData[[#This Row],[position]]),"",[1]!ScoutingData[[#This Row],[position]])</f>
        <v>[21]</v>
      </c>
      <c r="F117">
        <f>IF(ISBLANK([1]!ScoutingData[[#This Row],[leaveStartingZone]]),"",[1]!ScoutingData[[#This Row],[leaveStartingZone]])</f>
        <v>1</v>
      </c>
      <c r="G117">
        <f>IF(ISBLANK([1]!ScoutingData[[#This Row],[autoAmpScore]]),"",[1]!ScoutingData[[#This Row],[autoAmpScore]])</f>
        <v>0</v>
      </c>
      <c r="H117">
        <f>IF(ISBLANK([1]!ScoutingData[[#This Row],[autoSpeakerScore]]),"",[1]!ScoutingData[[#This Row],[autoSpeakerScore]])</f>
        <v>2</v>
      </c>
    </row>
    <row r="118" spans="1:8" x14ac:dyDescent="0.45">
      <c r="A118">
        <f>IF(ISBLANK([1]!ScoutingData[[#This Row],[teamNumber]]),"",[1]!ScoutingData[[#This Row],[teamNumber]])</f>
        <v>3293</v>
      </c>
      <c r="B118" t="str">
        <f>IF(ISBLANK([1]!ScoutingData[[#This Row],[matchLevel]]),"",[1]!ScoutingData[[#This Row],[matchLevel]])</f>
        <v>qm</v>
      </c>
      <c r="C118">
        <f>IF(ISBLANK([1]!ScoutingData[[#This Row],[matchNumber]]),"",[1]!ScoutingData[[#This Row],[matchNumber]])</f>
        <v>19</v>
      </c>
      <c r="D118" t="str">
        <f>IF(ISBLANK([1]!ScoutingData[[#This Row],[event]]),"",[1]!ScoutingData[[#This Row],[event]])</f>
        <v>2024ndgf</v>
      </c>
      <c r="E118" t="str">
        <f>IF(ISBLANK([1]!ScoutingData[[#This Row],[position]]),"",[1]!ScoutingData[[#This Row],[position]])</f>
        <v>[10]</v>
      </c>
      <c r="F118">
        <f>IF(ISBLANK([1]!ScoutingData[[#This Row],[leaveStartingZone]]),"",[1]!ScoutingData[[#This Row],[leaveStartingZone]])</f>
        <v>0</v>
      </c>
      <c r="G118">
        <f>IF(ISBLANK([1]!ScoutingData[[#This Row],[autoAmpScore]]),"",[1]!ScoutingData[[#This Row],[autoAmpScore]])</f>
        <v>0</v>
      </c>
      <c r="H118">
        <f>IF(ISBLANK([1]!ScoutingData[[#This Row],[autoSpeakerScore]]),"",[1]!ScoutingData[[#This Row],[autoSpeakerScore]])</f>
        <v>0</v>
      </c>
    </row>
    <row r="119" spans="1:8" x14ac:dyDescent="0.45">
      <c r="A119">
        <f>IF(ISBLANK([1]!ScoutingData[[#This Row],[teamNumber]]),"",[1]!ScoutingData[[#This Row],[teamNumber]])</f>
        <v>3293</v>
      </c>
      <c r="B119" t="str">
        <f>IF(ISBLANK([1]!ScoutingData[[#This Row],[matchLevel]]),"",[1]!ScoutingData[[#This Row],[matchLevel]])</f>
        <v>qm</v>
      </c>
      <c r="C119">
        <f>IF(ISBLANK([1]!ScoutingData[[#This Row],[matchNumber]]),"",[1]!ScoutingData[[#This Row],[matchNumber]])</f>
        <v>35</v>
      </c>
      <c r="D119" t="str">
        <f>IF(ISBLANK([1]!ScoutingData[[#This Row],[event]]),"",[1]!ScoutingData[[#This Row],[event]])</f>
        <v>2024ndgf</v>
      </c>
      <c r="E119" t="str">
        <f>IF(ISBLANK([1]!ScoutingData[[#This Row],[position]]),"",[1]!ScoutingData[[#This Row],[position]])</f>
        <v>[11]</v>
      </c>
      <c r="F119">
        <f>IF(ISBLANK([1]!ScoutingData[[#This Row],[leaveStartingZone]]),"",[1]!ScoutingData[[#This Row],[leaveStartingZone]])</f>
        <v>1</v>
      </c>
      <c r="G119">
        <f>IF(ISBLANK([1]!ScoutingData[[#This Row],[autoAmpScore]]),"",[1]!ScoutingData[[#This Row],[autoAmpScore]])</f>
        <v>2</v>
      </c>
      <c r="H119">
        <f>IF(ISBLANK([1]!ScoutingData[[#This Row],[autoSpeakerScore]]),"",[1]!ScoutingData[[#This Row],[autoSpeakerScore]])</f>
        <v>0</v>
      </c>
    </row>
    <row r="120" spans="1:8" x14ac:dyDescent="0.45">
      <c r="A120">
        <f>IF(ISBLANK([1]!ScoutingData[[#This Row],[teamNumber]]),"",[1]!ScoutingData[[#This Row],[teamNumber]])</f>
        <v>3293</v>
      </c>
      <c r="B120" t="str">
        <f>IF(ISBLANK([1]!ScoutingData[[#This Row],[matchLevel]]),"",[1]!ScoutingData[[#This Row],[matchLevel]])</f>
        <v>qm</v>
      </c>
      <c r="C120">
        <f>IF(ISBLANK([1]!ScoutingData[[#This Row],[matchNumber]]),"",[1]!ScoutingData[[#This Row],[matchNumber]])</f>
        <v>52</v>
      </c>
      <c r="D120" t="str">
        <f>IF(ISBLANK([1]!ScoutingData[[#This Row],[event]]),"",[1]!ScoutingData[[#This Row],[event]])</f>
        <v>2024ndgf</v>
      </c>
      <c r="E120" t="str">
        <f>IF(ISBLANK([1]!ScoutingData[[#This Row],[position]]),"",[1]!ScoutingData[[#This Row],[position]])</f>
        <v>[12]</v>
      </c>
      <c r="F120">
        <f>IF(ISBLANK([1]!ScoutingData[[#This Row],[leaveStartingZone]]),"",[1]!ScoutingData[[#This Row],[leaveStartingZone]])</f>
        <v>1</v>
      </c>
      <c r="G120">
        <f>IF(ISBLANK([1]!ScoutingData[[#This Row],[autoAmpScore]]),"",[1]!ScoutingData[[#This Row],[autoAmpScore]])</f>
        <v>2</v>
      </c>
      <c r="H120">
        <f>IF(ISBLANK([1]!ScoutingData[[#This Row],[autoSpeakerScore]]),"",[1]!ScoutingData[[#This Row],[autoSpeakerScore]])</f>
        <v>0</v>
      </c>
    </row>
    <row r="121" spans="1:8" x14ac:dyDescent="0.45">
      <c r="A121">
        <f>IF(ISBLANK([1]!ScoutingData[[#This Row],[teamNumber]]),"",[1]!ScoutingData[[#This Row],[teamNumber]])</f>
        <v>3293</v>
      </c>
      <c r="B121" t="str">
        <f>IF(ISBLANK([1]!ScoutingData[[#This Row],[matchLevel]]),"",[1]!ScoutingData[[#This Row],[matchLevel]])</f>
        <v>qm</v>
      </c>
      <c r="C121">
        <f>IF(ISBLANK([1]!ScoutingData[[#This Row],[matchNumber]]),"",[1]!ScoutingData[[#This Row],[matchNumber]])</f>
        <v>41</v>
      </c>
      <c r="D121" t="str">
        <f>IF(ISBLANK([1]!ScoutingData[[#This Row],[event]]),"",[1]!ScoutingData[[#This Row],[event]])</f>
        <v>2024ndgf</v>
      </c>
      <c r="E121" t="str">
        <f>IF(ISBLANK([1]!ScoutingData[[#This Row],[position]]),"",[1]!ScoutingData[[#This Row],[position]])</f>
        <v>[21]</v>
      </c>
      <c r="F121">
        <f>IF(ISBLANK([1]!ScoutingData[[#This Row],[leaveStartingZone]]),"",[1]!ScoutingData[[#This Row],[leaveStartingZone]])</f>
        <v>1</v>
      </c>
      <c r="G121">
        <f>IF(ISBLANK([1]!ScoutingData[[#This Row],[autoAmpScore]]),"",[1]!ScoutingData[[#This Row],[autoAmpScore]])</f>
        <v>0</v>
      </c>
      <c r="H121">
        <f>IF(ISBLANK([1]!ScoutingData[[#This Row],[autoSpeakerScore]]),"",[1]!ScoutingData[[#This Row],[autoSpeakerScore]])</f>
        <v>1</v>
      </c>
    </row>
    <row r="122" spans="1:8" x14ac:dyDescent="0.45">
      <c r="A122">
        <f>IF(ISBLANK([1]!ScoutingData[[#This Row],[teamNumber]]),"",[1]!ScoutingData[[#This Row],[teamNumber]])</f>
        <v>3298</v>
      </c>
      <c r="B122" t="str">
        <f>IF(ISBLANK([1]!ScoutingData[[#This Row],[matchLevel]]),"",[1]!ScoutingData[[#This Row],[matchLevel]])</f>
        <v>p</v>
      </c>
      <c r="C122">
        <f>IF(ISBLANK([1]!ScoutingData[[#This Row],[matchNumber]]),"",[1]!ScoutingData[[#This Row],[matchNumber]])</f>
        <v>17</v>
      </c>
      <c r="D122" t="str">
        <f>IF(ISBLANK([1]!ScoutingData[[#This Row],[event]]),"",[1]!ScoutingData[[#This Row],[event]])</f>
        <v>2024ndgf</v>
      </c>
      <c r="E122" t="str">
        <f>IF(ISBLANK([1]!ScoutingData[[#This Row],[position]]),"",[1]!ScoutingData[[#This Row],[position]])</f>
        <v>[3]</v>
      </c>
      <c r="F122">
        <f>IF(ISBLANK([1]!ScoutingData[[#This Row],[leaveStartingZone]]),"",[1]!ScoutingData[[#This Row],[leaveStartingZone]])</f>
        <v>1</v>
      </c>
      <c r="G122">
        <f>IF(ISBLANK([1]!ScoutingData[[#This Row],[autoAmpScore]]),"",[1]!ScoutingData[[#This Row],[autoAmpScore]])</f>
        <v>0</v>
      </c>
      <c r="H122">
        <f>IF(ISBLANK([1]!ScoutingData[[#This Row],[autoSpeakerScore]]),"",[1]!ScoutingData[[#This Row],[autoSpeakerScore]])</f>
        <v>0</v>
      </c>
    </row>
    <row r="123" spans="1:8" x14ac:dyDescent="0.45">
      <c r="A123">
        <f>IF(ISBLANK([1]!ScoutingData[[#This Row],[teamNumber]]),"",[1]!ScoutingData[[#This Row],[teamNumber]])</f>
        <v>3298</v>
      </c>
      <c r="B123" t="str">
        <f>IF(ISBLANK([1]!ScoutingData[[#This Row],[matchLevel]]),"",[1]!ScoutingData[[#This Row],[matchLevel]])</f>
        <v>p</v>
      </c>
      <c r="C123">
        <f>IF(ISBLANK([1]!ScoutingData[[#This Row],[matchNumber]]),"",[1]!ScoutingData[[#This Row],[matchNumber]])</f>
        <v>8</v>
      </c>
      <c r="D123" t="str">
        <f>IF(ISBLANK([1]!ScoutingData[[#This Row],[event]]),"",[1]!ScoutingData[[#This Row],[event]])</f>
        <v>2024ndgf</v>
      </c>
      <c r="E123" t="str">
        <f>IF(ISBLANK([1]!ScoutingData[[#This Row],[position]]),"",[1]!ScoutingData[[#This Row],[position]])</f>
        <v>[11]</v>
      </c>
      <c r="F123">
        <f>IF(ISBLANK([1]!ScoutingData[[#This Row],[leaveStartingZone]]),"",[1]!ScoutingData[[#This Row],[leaveStartingZone]])</f>
        <v>1</v>
      </c>
      <c r="G123">
        <f>IF(ISBLANK([1]!ScoutingData[[#This Row],[autoAmpScore]]),"",[1]!ScoutingData[[#This Row],[autoAmpScore]])</f>
        <v>0</v>
      </c>
      <c r="H123">
        <f>IF(ISBLANK([1]!ScoutingData[[#This Row],[autoSpeakerScore]]),"",[1]!ScoutingData[[#This Row],[autoSpeakerScore]])</f>
        <v>0</v>
      </c>
    </row>
    <row r="124" spans="1:8" x14ac:dyDescent="0.45">
      <c r="A124">
        <f>IF(ISBLANK([1]!ScoutingData[[#This Row],[teamNumber]]),"",[1]!ScoutingData[[#This Row],[teamNumber]])</f>
        <v>3298</v>
      </c>
      <c r="B124" t="str">
        <f>IF(ISBLANK([1]!ScoutingData[[#This Row],[matchLevel]]),"",[1]!ScoutingData[[#This Row],[matchLevel]])</f>
        <v>qm</v>
      </c>
      <c r="C124">
        <f>IF(ISBLANK([1]!ScoutingData[[#This Row],[matchNumber]]),"",[1]!ScoutingData[[#This Row],[matchNumber]])</f>
        <v>17</v>
      </c>
      <c r="D124" t="str">
        <f>IF(ISBLANK([1]!ScoutingData[[#This Row],[event]]),"",[1]!ScoutingData[[#This Row],[event]])</f>
        <v>2024ndgf</v>
      </c>
      <c r="E124" t="str">
        <f>IF(ISBLANK([1]!ScoutingData[[#This Row],[position]]),"",[1]!ScoutingData[[#This Row],[position]])</f>
        <v>[6]</v>
      </c>
      <c r="F124">
        <f>IF(ISBLANK([1]!ScoutingData[[#This Row],[leaveStartingZone]]),"",[1]!ScoutingData[[#This Row],[leaveStartingZone]])</f>
        <v>1</v>
      </c>
      <c r="G124">
        <f>IF(ISBLANK([1]!ScoutingData[[#This Row],[autoAmpScore]]),"",[1]!ScoutingData[[#This Row],[autoAmpScore]])</f>
        <v>0</v>
      </c>
      <c r="H124">
        <f>IF(ISBLANK([1]!ScoutingData[[#This Row],[autoSpeakerScore]]),"",[1]!ScoutingData[[#This Row],[autoSpeakerScore]])</f>
        <v>0</v>
      </c>
    </row>
    <row r="125" spans="1:8" x14ac:dyDescent="0.45">
      <c r="A125">
        <f>IF(ISBLANK([1]!ScoutingData[[#This Row],[teamNumber]]),"",[1]!ScoutingData[[#This Row],[teamNumber]])</f>
        <v>3298</v>
      </c>
      <c r="B125" t="str">
        <f>IF(ISBLANK([1]!ScoutingData[[#This Row],[matchLevel]]),"",[1]!ScoutingData[[#This Row],[matchLevel]])</f>
        <v>qm</v>
      </c>
      <c r="C125">
        <f>IF(ISBLANK([1]!ScoutingData[[#This Row],[matchNumber]]),"",[1]!ScoutingData[[#This Row],[matchNumber]])</f>
        <v>9</v>
      </c>
      <c r="D125" t="str">
        <f>IF(ISBLANK([1]!ScoutingData[[#This Row],[event]]),"",[1]!ScoutingData[[#This Row],[event]])</f>
        <v>2024ndgf</v>
      </c>
      <c r="E125" t="str">
        <f>IF(ISBLANK([1]!ScoutingData[[#This Row],[position]]),"",[1]!ScoutingData[[#This Row],[position]])</f>
        <v>[10]</v>
      </c>
      <c r="F125">
        <f>IF(ISBLANK([1]!ScoutingData[[#This Row],[leaveStartingZone]]),"",[1]!ScoutingData[[#This Row],[leaveStartingZone]])</f>
        <v>1</v>
      </c>
      <c r="G125">
        <f>IF(ISBLANK([1]!ScoutingData[[#This Row],[autoAmpScore]]),"",[1]!ScoutingData[[#This Row],[autoAmpScore]])</f>
        <v>0</v>
      </c>
      <c r="H125">
        <f>IF(ISBLANK([1]!ScoutingData[[#This Row],[autoSpeakerScore]]),"",[1]!ScoutingData[[#This Row],[autoSpeakerScore]])</f>
        <v>0</v>
      </c>
    </row>
    <row r="126" spans="1:8" x14ac:dyDescent="0.45">
      <c r="A126">
        <f>IF(ISBLANK([1]!ScoutingData[[#This Row],[teamNumber]]),"",[1]!ScoutingData[[#This Row],[teamNumber]])</f>
        <v>3298</v>
      </c>
      <c r="B126" t="str">
        <f>IF(ISBLANK([1]!ScoutingData[[#This Row],[matchLevel]]),"",[1]!ScoutingData[[#This Row],[matchLevel]])</f>
        <v>qm</v>
      </c>
      <c r="C126">
        <f>IF(ISBLANK([1]!ScoutingData[[#This Row],[matchNumber]]),"",[1]!ScoutingData[[#This Row],[matchNumber]])</f>
        <v>55</v>
      </c>
      <c r="D126" t="str">
        <f>IF(ISBLANK([1]!ScoutingData[[#This Row],[event]]),"",[1]!ScoutingData[[#This Row],[event]])</f>
        <v>2024ndgf</v>
      </c>
      <c r="E126" t="str">
        <f>IF(ISBLANK([1]!ScoutingData[[#This Row],[position]]),"",[1]!ScoutingData[[#This Row],[position]])</f>
        <v>[11]</v>
      </c>
      <c r="F126">
        <f>IF(ISBLANK([1]!ScoutingData[[#This Row],[leaveStartingZone]]),"",[1]!ScoutingData[[#This Row],[leaveStartingZone]])</f>
        <v>1</v>
      </c>
      <c r="G126">
        <f>IF(ISBLANK([1]!ScoutingData[[#This Row],[autoAmpScore]]),"",[1]!ScoutingData[[#This Row],[autoAmpScore]])</f>
        <v>0</v>
      </c>
      <c r="H126">
        <f>IF(ISBLANK([1]!ScoutingData[[#This Row],[autoSpeakerScore]]),"",[1]!ScoutingData[[#This Row],[autoSpeakerScore]])</f>
        <v>0</v>
      </c>
    </row>
    <row r="127" spans="1:8" x14ac:dyDescent="0.45">
      <c r="A127">
        <f>IF(ISBLANK([1]!ScoutingData[[#This Row],[teamNumber]]),"",[1]!ScoutingData[[#This Row],[teamNumber]])</f>
        <v>3298</v>
      </c>
      <c r="B127" t="str">
        <f>IF(ISBLANK([1]!ScoutingData[[#This Row],[matchLevel]]),"",[1]!ScoutingData[[#This Row],[matchLevel]])</f>
        <v>qm</v>
      </c>
      <c r="C127">
        <f>IF(ISBLANK([1]!ScoutingData[[#This Row],[matchNumber]]),"",[1]!ScoutingData[[#This Row],[matchNumber]])</f>
        <v>38</v>
      </c>
      <c r="D127" t="str">
        <f>IF(ISBLANK([1]!ScoutingData[[#This Row],[event]]),"",[1]!ScoutingData[[#This Row],[event]])</f>
        <v>2024ndgf</v>
      </c>
      <c r="E127" t="str">
        <f>IF(ISBLANK([1]!ScoutingData[[#This Row],[position]]),"",[1]!ScoutingData[[#This Row],[position]])</f>
        <v>[11]</v>
      </c>
      <c r="F127">
        <f>IF(ISBLANK([1]!ScoutingData[[#This Row],[leaveStartingZone]]),"",[1]!ScoutingData[[#This Row],[leaveStartingZone]])</f>
        <v>1</v>
      </c>
      <c r="G127">
        <f>IF(ISBLANK([1]!ScoutingData[[#This Row],[autoAmpScore]]),"",[1]!ScoutingData[[#This Row],[autoAmpScore]])</f>
        <v>0</v>
      </c>
      <c r="H127">
        <f>IF(ISBLANK([1]!ScoutingData[[#This Row],[autoSpeakerScore]]),"",[1]!ScoutingData[[#This Row],[autoSpeakerScore]])</f>
        <v>0</v>
      </c>
    </row>
    <row r="128" spans="1:8" x14ac:dyDescent="0.45">
      <c r="A128">
        <f>IF(ISBLANK([1]!ScoutingData[[#This Row],[teamNumber]]),"",[1]!ScoutingData[[#This Row],[teamNumber]])</f>
        <v>3313</v>
      </c>
      <c r="B128" t="str">
        <f>IF(ISBLANK([1]!ScoutingData[[#This Row],[matchLevel]]),"",[1]!ScoutingData[[#This Row],[matchLevel]])</f>
        <v>p</v>
      </c>
      <c r="C128">
        <f>IF(ISBLANK([1]!ScoutingData[[#This Row],[matchNumber]]),"",[1]!ScoutingData[[#This Row],[matchNumber]])</f>
        <v>10</v>
      </c>
      <c r="D128" t="str">
        <f>IF(ISBLANK([1]!ScoutingData[[#This Row],[event]]),"",[1]!ScoutingData[[#This Row],[event]])</f>
        <v>2024ndgf</v>
      </c>
      <c r="E128" t="str">
        <f>IF(ISBLANK([1]!ScoutingData[[#This Row],[position]]),"",[1]!ScoutingData[[#This Row],[position]])</f>
        <v>[9]</v>
      </c>
      <c r="F128">
        <f>IF(ISBLANK([1]!ScoutingData[[#This Row],[leaveStartingZone]]),"",[1]!ScoutingData[[#This Row],[leaveStartingZone]])</f>
        <v>0</v>
      </c>
      <c r="G128">
        <f>IF(ISBLANK([1]!ScoutingData[[#This Row],[autoAmpScore]]),"",[1]!ScoutingData[[#This Row],[autoAmpScore]])</f>
        <v>0</v>
      </c>
      <c r="H128">
        <f>IF(ISBLANK([1]!ScoutingData[[#This Row],[autoSpeakerScore]]),"",[1]!ScoutingData[[#This Row],[autoSpeakerScore]])</f>
        <v>0</v>
      </c>
    </row>
    <row r="129" spans="1:8" x14ac:dyDescent="0.45">
      <c r="A129">
        <f>IF(ISBLANK([1]!ScoutingData[[#This Row],[teamNumber]]),"",[1]!ScoutingData[[#This Row],[teamNumber]])</f>
        <v>3313</v>
      </c>
      <c r="B129" t="str">
        <f>IF(ISBLANK([1]!ScoutingData[[#This Row],[matchLevel]]),"",[1]!ScoutingData[[#This Row],[matchLevel]])</f>
        <v>p</v>
      </c>
      <c r="C129">
        <f>IF(ISBLANK([1]!ScoutingData[[#This Row],[matchNumber]]),"",[1]!ScoutingData[[#This Row],[matchNumber]])</f>
        <v>19</v>
      </c>
      <c r="D129" t="str">
        <f>IF(ISBLANK([1]!ScoutingData[[#This Row],[event]]),"",[1]!ScoutingData[[#This Row],[event]])</f>
        <v>2024ndgf</v>
      </c>
      <c r="E129" t="str">
        <f>IF(ISBLANK([1]!ScoutingData[[#This Row],[position]]),"",[1]!ScoutingData[[#This Row],[position]])</f>
        <v>[7]</v>
      </c>
      <c r="F129">
        <f>IF(ISBLANK([1]!ScoutingData[[#This Row],[leaveStartingZone]]),"",[1]!ScoutingData[[#This Row],[leaveStartingZone]])</f>
        <v>1</v>
      </c>
      <c r="G129">
        <f>IF(ISBLANK([1]!ScoutingData[[#This Row],[autoAmpScore]]),"",[1]!ScoutingData[[#This Row],[autoAmpScore]])</f>
        <v>0</v>
      </c>
      <c r="H129">
        <f>IF(ISBLANK([1]!ScoutingData[[#This Row],[autoSpeakerScore]]),"",[1]!ScoutingData[[#This Row],[autoSpeakerScore]])</f>
        <v>2</v>
      </c>
    </row>
    <row r="130" spans="1:8" x14ac:dyDescent="0.45">
      <c r="A130">
        <f>IF(ISBLANK([1]!ScoutingData[[#This Row],[teamNumber]]),"",[1]!ScoutingData[[#This Row],[teamNumber]])</f>
        <v>3313</v>
      </c>
      <c r="B130" t="str">
        <f>IF(ISBLANK([1]!ScoutingData[[#This Row],[matchLevel]]),"",[1]!ScoutingData[[#This Row],[matchLevel]])</f>
        <v>qm</v>
      </c>
      <c r="C130">
        <f>IF(ISBLANK([1]!ScoutingData[[#This Row],[matchNumber]]),"",[1]!ScoutingData[[#This Row],[matchNumber]])</f>
        <v>2</v>
      </c>
      <c r="D130" t="str">
        <f>IF(ISBLANK([1]!ScoutingData[[#This Row],[event]]),"",[1]!ScoutingData[[#This Row],[event]])</f>
        <v>2024ndgf</v>
      </c>
      <c r="E130" t="str">
        <f>IF(ISBLANK([1]!ScoutingData[[#This Row],[position]]),"",[1]!ScoutingData[[#This Row],[position]])</f>
        <v>[7]</v>
      </c>
      <c r="F130">
        <f>IF(ISBLANK([1]!ScoutingData[[#This Row],[leaveStartingZone]]),"",[1]!ScoutingData[[#This Row],[leaveStartingZone]])</f>
        <v>0</v>
      </c>
      <c r="G130">
        <f>IF(ISBLANK([1]!ScoutingData[[#This Row],[autoAmpScore]]),"",[1]!ScoutingData[[#This Row],[autoAmpScore]])</f>
        <v>0</v>
      </c>
      <c r="H130">
        <f>IF(ISBLANK([1]!ScoutingData[[#This Row],[autoSpeakerScore]]),"",[1]!ScoutingData[[#This Row],[autoSpeakerScore]])</f>
        <v>1</v>
      </c>
    </row>
    <row r="131" spans="1:8" x14ac:dyDescent="0.45">
      <c r="A131">
        <f>IF(ISBLANK([1]!ScoutingData[[#This Row],[teamNumber]]),"",[1]!ScoutingData[[#This Row],[teamNumber]])</f>
        <v>3313</v>
      </c>
      <c r="B131" t="str">
        <f>IF(ISBLANK([1]!ScoutingData[[#This Row],[matchLevel]]),"",[1]!ScoutingData[[#This Row],[matchLevel]])</f>
        <v>qm</v>
      </c>
      <c r="C131">
        <f>IF(ISBLANK([1]!ScoutingData[[#This Row],[matchNumber]]),"",[1]!ScoutingData[[#This Row],[matchNumber]])</f>
        <v>10</v>
      </c>
      <c r="D131" t="str">
        <f>IF(ISBLANK([1]!ScoutingData[[#This Row],[event]]),"",[1]!ScoutingData[[#This Row],[event]])</f>
        <v>2024ndgf</v>
      </c>
      <c r="E131" t="str">
        <f>IF(ISBLANK([1]!ScoutingData[[#This Row],[position]]),"",[1]!ScoutingData[[#This Row],[position]])</f>
        <v>[11]</v>
      </c>
      <c r="F131">
        <f>IF(ISBLANK([1]!ScoutingData[[#This Row],[leaveStartingZone]]),"",[1]!ScoutingData[[#This Row],[leaveStartingZone]])</f>
        <v>0</v>
      </c>
      <c r="G131">
        <f>IF(ISBLANK([1]!ScoutingData[[#This Row],[autoAmpScore]]),"",[1]!ScoutingData[[#This Row],[autoAmpScore]])</f>
        <v>0</v>
      </c>
      <c r="H131">
        <f>IF(ISBLANK([1]!ScoutingData[[#This Row],[autoSpeakerScore]]),"",[1]!ScoutingData[[#This Row],[autoSpeakerScore]])</f>
        <v>0</v>
      </c>
    </row>
    <row r="132" spans="1:8" x14ac:dyDescent="0.45">
      <c r="A132">
        <f>IF(ISBLANK([1]!ScoutingData[[#This Row],[teamNumber]]),"",[1]!ScoutingData[[#This Row],[teamNumber]])</f>
        <v>3313</v>
      </c>
      <c r="B132" t="str">
        <f>IF(ISBLANK([1]!ScoutingData[[#This Row],[matchLevel]]),"",[1]!ScoutingData[[#This Row],[matchLevel]])</f>
        <v>qm</v>
      </c>
      <c r="C132">
        <f>IF(ISBLANK([1]!ScoutingData[[#This Row],[matchNumber]]),"",[1]!ScoutingData[[#This Row],[matchNumber]])</f>
        <v>31</v>
      </c>
      <c r="D132" t="str">
        <f>IF(ISBLANK([1]!ScoutingData[[#This Row],[event]]),"",[1]!ScoutingData[[#This Row],[event]])</f>
        <v>2024ndgf</v>
      </c>
      <c r="E132" t="str">
        <f>IF(ISBLANK([1]!ScoutingData[[#This Row],[position]]),"",[1]!ScoutingData[[#This Row],[position]])</f>
        <v>[11]</v>
      </c>
      <c r="F132">
        <f>IF(ISBLANK([1]!ScoutingData[[#This Row],[leaveStartingZone]]),"",[1]!ScoutingData[[#This Row],[leaveStartingZone]])</f>
        <v>0</v>
      </c>
      <c r="G132">
        <f>IF(ISBLANK([1]!ScoutingData[[#This Row],[autoAmpScore]]),"",[1]!ScoutingData[[#This Row],[autoAmpScore]])</f>
        <v>0</v>
      </c>
      <c r="H132">
        <f>IF(ISBLANK([1]!ScoutingData[[#This Row],[autoSpeakerScore]]),"",[1]!ScoutingData[[#This Row],[autoSpeakerScore]])</f>
        <v>0</v>
      </c>
    </row>
    <row r="133" spans="1:8" x14ac:dyDescent="0.45">
      <c r="A133">
        <f>IF(ISBLANK([1]!ScoutingData[[#This Row],[teamNumber]]),"",[1]!ScoutingData[[#This Row],[teamNumber]])</f>
        <v>3313</v>
      </c>
      <c r="B133" t="str">
        <f>IF(ISBLANK([1]!ScoutingData[[#This Row],[matchLevel]]),"",[1]!ScoutingData[[#This Row],[matchLevel]])</f>
        <v>qm</v>
      </c>
      <c r="C133">
        <f>IF(ISBLANK([1]!ScoutingData[[#This Row],[matchNumber]]),"",[1]!ScoutingData[[#This Row],[matchNumber]])</f>
        <v>47</v>
      </c>
      <c r="D133" t="str">
        <f>IF(ISBLANK([1]!ScoutingData[[#This Row],[event]]),"",[1]!ScoutingData[[#This Row],[event]])</f>
        <v>2024ndgf</v>
      </c>
      <c r="E133" t="str">
        <f>IF(ISBLANK([1]!ScoutingData[[#This Row],[position]]),"",[1]!ScoutingData[[#This Row],[position]])</f>
        <v>[9]</v>
      </c>
      <c r="F133">
        <f>IF(ISBLANK([1]!ScoutingData[[#This Row],[leaveStartingZone]]),"",[1]!ScoutingData[[#This Row],[leaveStartingZone]])</f>
        <v>1</v>
      </c>
      <c r="G133">
        <f>IF(ISBLANK([1]!ScoutingData[[#This Row],[autoAmpScore]]),"",[1]!ScoutingData[[#This Row],[autoAmpScore]])</f>
        <v>0</v>
      </c>
      <c r="H133">
        <f>IF(ISBLANK([1]!ScoutingData[[#This Row],[autoSpeakerScore]]),"",[1]!ScoutingData[[#This Row],[autoSpeakerScore]])</f>
        <v>1</v>
      </c>
    </row>
    <row r="134" spans="1:8" x14ac:dyDescent="0.45">
      <c r="A134">
        <f>IF(ISBLANK([1]!ScoutingData[[#This Row],[teamNumber]]),"",[1]!ScoutingData[[#This Row],[teamNumber]])</f>
        <v>3313</v>
      </c>
      <c r="B134" t="str">
        <f>IF(ISBLANK([1]!ScoutingData[[#This Row],[matchLevel]]),"",[1]!ScoutingData[[#This Row],[matchLevel]])</f>
        <v>qm</v>
      </c>
      <c r="C134">
        <f>IF(ISBLANK([1]!ScoutingData[[#This Row],[matchNumber]]),"",[1]!ScoutingData[[#This Row],[matchNumber]])</f>
        <v>57</v>
      </c>
      <c r="D134" t="str">
        <f>IF(ISBLANK([1]!ScoutingData[[#This Row],[event]]),"",[1]!ScoutingData[[#This Row],[event]])</f>
        <v>2024ndgf</v>
      </c>
      <c r="E134" t="str">
        <f>IF(ISBLANK([1]!ScoutingData[[#This Row],[position]]),"",[1]!ScoutingData[[#This Row],[position]])</f>
        <v>[10]</v>
      </c>
      <c r="F134">
        <f>IF(ISBLANK([1]!ScoutingData[[#This Row],[leaveStartingZone]]),"",[1]!ScoutingData[[#This Row],[leaveStartingZone]])</f>
        <v>0</v>
      </c>
      <c r="G134">
        <f>IF(ISBLANK([1]!ScoutingData[[#This Row],[autoAmpScore]]),"",[1]!ScoutingData[[#This Row],[autoAmpScore]])</f>
        <v>0</v>
      </c>
      <c r="H134">
        <f>IF(ISBLANK([1]!ScoutingData[[#This Row],[autoSpeakerScore]]),"",[1]!ScoutingData[[#This Row],[autoSpeakerScore]])</f>
        <v>0</v>
      </c>
    </row>
    <row r="135" spans="1:8" x14ac:dyDescent="0.45">
      <c r="A135">
        <f>IF(ISBLANK([1]!ScoutingData[[#This Row],[teamNumber]]),"",[1]!ScoutingData[[#This Row],[teamNumber]])</f>
        <v>3755</v>
      </c>
      <c r="B135" t="str">
        <f>IF(ISBLANK([1]!ScoutingData[[#This Row],[matchLevel]]),"",[1]!ScoutingData[[#This Row],[matchLevel]])</f>
        <v>p</v>
      </c>
      <c r="C135">
        <f>IF(ISBLANK([1]!ScoutingData[[#This Row],[matchNumber]]),"",[1]!ScoutingData[[#This Row],[matchNumber]])</f>
        <v>21</v>
      </c>
      <c r="D135" t="str">
        <f>IF(ISBLANK([1]!ScoutingData[[#This Row],[event]]),"",[1]!ScoutingData[[#This Row],[event]])</f>
        <v>2024ndgf</v>
      </c>
      <c r="E135" t="str">
        <f>IF(ISBLANK([1]!ScoutingData[[#This Row],[position]]),"",[1]!ScoutingData[[#This Row],[position]])</f>
        <v>[9]</v>
      </c>
      <c r="F135">
        <f>IF(ISBLANK([1]!ScoutingData[[#This Row],[leaveStartingZone]]),"",[1]!ScoutingData[[#This Row],[leaveStartingZone]])</f>
        <v>1</v>
      </c>
      <c r="G135">
        <f>IF(ISBLANK([1]!ScoutingData[[#This Row],[autoAmpScore]]),"",[1]!ScoutingData[[#This Row],[autoAmpScore]])</f>
        <v>0</v>
      </c>
      <c r="H135">
        <f>IF(ISBLANK([1]!ScoutingData[[#This Row],[autoSpeakerScore]]),"",[1]!ScoutingData[[#This Row],[autoSpeakerScore]])</f>
        <v>0</v>
      </c>
    </row>
    <row r="136" spans="1:8" x14ac:dyDescent="0.45">
      <c r="A136">
        <f>IF(ISBLANK([1]!ScoutingData[[#This Row],[teamNumber]]),"",[1]!ScoutingData[[#This Row],[teamNumber]])</f>
        <v>3755</v>
      </c>
      <c r="B136" t="str">
        <f>IF(ISBLANK([1]!ScoutingData[[#This Row],[matchLevel]]),"",[1]!ScoutingData[[#This Row],[matchLevel]])</f>
        <v>qm</v>
      </c>
      <c r="C136">
        <f>IF(ISBLANK([1]!ScoutingData[[#This Row],[matchNumber]]),"",[1]!ScoutingData[[#This Row],[matchNumber]])</f>
        <v>8</v>
      </c>
      <c r="D136" t="str">
        <f>IF(ISBLANK([1]!ScoutingData[[#This Row],[event]]),"",[1]!ScoutingData[[#This Row],[event]])</f>
        <v>2024ndgf</v>
      </c>
      <c r="E136" t="str">
        <f>IF(ISBLANK([1]!ScoutingData[[#This Row],[position]]),"",[1]!ScoutingData[[#This Row],[position]])</f>
        <v>[3]</v>
      </c>
      <c r="F136">
        <f>IF(ISBLANK([1]!ScoutingData[[#This Row],[leaveStartingZone]]),"",[1]!ScoutingData[[#This Row],[leaveStartingZone]])</f>
        <v>1</v>
      </c>
      <c r="G136">
        <f>IF(ISBLANK([1]!ScoutingData[[#This Row],[autoAmpScore]]),"",[1]!ScoutingData[[#This Row],[autoAmpScore]])</f>
        <v>0</v>
      </c>
      <c r="H136">
        <f>IF(ISBLANK([1]!ScoutingData[[#This Row],[autoSpeakerScore]]),"",[1]!ScoutingData[[#This Row],[autoSpeakerScore]])</f>
        <v>0</v>
      </c>
    </row>
    <row r="137" spans="1:8" x14ac:dyDescent="0.45">
      <c r="A137">
        <f>IF(ISBLANK([1]!ScoutingData[[#This Row],[teamNumber]]),"",[1]!ScoutingData[[#This Row],[teamNumber]])</f>
        <v>3755</v>
      </c>
      <c r="B137" t="str">
        <f>IF(ISBLANK([1]!ScoutingData[[#This Row],[matchLevel]]),"",[1]!ScoutingData[[#This Row],[matchLevel]])</f>
        <v>qm</v>
      </c>
      <c r="C137">
        <f>IF(ISBLANK([1]!ScoutingData[[#This Row],[matchNumber]]),"",[1]!ScoutingData[[#This Row],[matchNumber]])</f>
        <v>26</v>
      </c>
      <c r="D137" t="str">
        <f>IF(ISBLANK([1]!ScoutingData[[#This Row],[event]]),"",[1]!ScoutingData[[#This Row],[event]])</f>
        <v>2024ndgf</v>
      </c>
      <c r="E137" t="str">
        <f>IF(ISBLANK([1]!ScoutingData[[#This Row],[position]]),"",[1]!ScoutingData[[#This Row],[position]])</f>
        <v>[4]</v>
      </c>
      <c r="F137">
        <f>IF(ISBLANK([1]!ScoutingData[[#This Row],[leaveStartingZone]]),"",[1]!ScoutingData[[#This Row],[leaveStartingZone]])</f>
        <v>0</v>
      </c>
      <c r="G137">
        <f>IF(ISBLANK([1]!ScoutingData[[#This Row],[autoAmpScore]]),"",[1]!ScoutingData[[#This Row],[autoAmpScore]])</f>
        <v>0</v>
      </c>
      <c r="H137">
        <f>IF(ISBLANK([1]!ScoutingData[[#This Row],[autoSpeakerScore]]),"",[1]!ScoutingData[[#This Row],[autoSpeakerScore]])</f>
        <v>0</v>
      </c>
    </row>
    <row r="138" spans="1:8" x14ac:dyDescent="0.45">
      <c r="A138">
        <f>IF(ISBLANK([1]!ScoutingData[[#This Row],[teamNumber]]),"",[1]!ScoutingData[[#This Row],[teamNumber]])</f>
        <v>3755</v>
      </c>
      <c r="B138" t="str">
        <f>IF(ISBLANK([1]!ScoutingData[[#This Row],[matchLevel]]),"",[1]!ScoutingData[[#This Row],[matchLevel]])</f>
        <v>qm</v>
      </c>
      <c r="C138">
        <f>IF(ISBLANK([1]!ScoutingData[[#This Row],[matchNumber]]),"",[1]!ScoutingData[[#This Row],[matchNumber]])</f>
        <v>54</v>
      </c>
      <c r="D138" t="str">
        <f>IF(ISBLANK([1]!ScoutingData[[#This Row],[event]]),"",[1]!ScoutingData[[#This Row],[event]])</f>
        <v>2024ndgf</v>
      </c>
      <c r="E138" t="str">
        <f>IF(ISBLANK([1]!ScoutingData[[#This Row],[position]]),"",[1]!ScoutingData[[#This Row],[position]])</f>
        <v>[9]</v>
      </c>
      <c r="F138">
        <f>IF(ISBLANK([1]!ScoutingData[[#This Row],[leaveStartingZone]]),"",[1]!ScoutingData[[#This Row],[leaveStartingZone]])</f>
        <v>1</v>
      </c>
      <c r="G138">
        <f>IF(ISBLANK([1]!ScoutingData[[#This Row],[autoAmpScore]]),"",[1]!ScoutingData[[#This Row],[autoAmpScore]])</f>
        <v>0</v>
      </c>
      <c r="H138">
        <f>IF(ISBLANK([1]!ScoutingData[[#This Row],[autoSpeakerScore]]),"",[1]!ScoutingData[[#This Row],[autoSpeakerScore]])</f>
        <v>1</v>
      </c>
    </row>
    <row r="139" spans="1:8" x14ac:dyDescent="0.45">
      <c r="A139">
        <f>IF(ISBLANK([1]!ScoutingData[[#This Row],[teamNumber]]),"",[1]!ScoutingData[[#This Row],[teamNumber]])</f>
        <v>3755</v>
      </c>
      <c r="B139" t="str">
        <f>IF(ISBLANK([1]!ScoutingData[[#This Row],[matchLevel]]),"",[1]!ScoutingData[[#This Row],[matchLevel]])</f>
        <v>qm</v>
      </c>
      <c r="C139">
        <f>IF(ISBLANK([1]!ScoutingData[[#This Row],[matchNumber]]),"",[1]!ScoutingData[[#This Row],[matchNumber]])</f>
        <v>46</v>
      </c>
      <c r="D139" t="str">
        <f>IF(ISBLANK([1]!ScoutingData[[#This Row],[event]]),"",[1]!ScoutingData[[#This Row],[event]])</f>
        <v>2024ndgf</v>
      </c>
      <c r="E139" t="str">
        <f>IF(ISBLANK([1]!ScoutingData[[#This Row],[position]]),"",[1]!ScoutingData[[#This Row],[position]])</f>
        <v>[3]</v>
      </c>
      <c r="F139">
        <f>IF(ISBLANK([1]!ScoutingData[[#This Row],[leaveStartingZone]]),"",[1]!ScoutingData[[#This Row],[leaveStartingZone]])</f>
        <v>0</v>
      </c>
      <c r="G139">
        <f>IF(ISBLANK([1]!ScoutingData[[#This Row],[autoAmpScore]]),"",[1]!ScoutingData[[#This Row],[autoAmpScore]])</f>
        <v>0</v>
      </c>
      <c r="H139">
        <f>IF(ISBLANK([1]!ScoutingData[[#This Row],[autoSpeakerScore]]),"",[1]!ScoutingData[[#This Row],[autoSpeakerScore]])</f>
        <v>0</v>
      </c>
    </row>
    <row r="140" spans="1:8" x14ac:dyDescent="0.45">
      <c r="A140">
        <f>IF(ISBLANK([1]!ScoutingData[[#This Row],[teamNumber]]),"",[1]!ScoutingData[[#This Row],[teamNumber]])</f>
        <v>3755</v>
      </c>
      <c r="B140" t="str">
        <f>IF(ISBLANK([1]!ScoutingData[[#This Row],[matchLevel]]),"",[1]!ScoutingData[[#This Row],[matchLevel]])</f>
        <v>qm</v>
      </c>
      <c r="C140">
        <f>IF(ISBLANK([1]!ScoutingData[[#This Row],[matchNumber]]),"",[1]!ScoutingData[[#This Row],[matchNumber]])</f>
        <v>61</v>
      </c>
      <c r="D140" t="str">
        <f>IF(ISBLANK([1]!ScoutingData[[#This Row],[event]]),"",[1]!ScoutingData[[#This Row],[event]])</f>
        <v>2024ndgf</v>
      </c>
      <c r="E140" t="str">
        <f>IF(ISBLANK([1]!ScoutingData[[#This Row],[position]]),"",[1]!ScoutingData[[#This Row],[position]])</f>
        <v>[21]</v>
      </c>
      <c r="F140">
        <f>IF(ISBLANK([1]!ScoutingData[[#This Row],[leaveStartingZone]]),"",[1]!ScoutingData[[#This Row],[leaveStartingZone]])</f>
        <v>1</v>
      </c>
      <c r="G140">
        <f>IF(ISBLANK([1]!ScoutingData[[#This Row],[autoAmpScore]]),"",[1]!ScoutingData[[#This Row],[autoAmpScore]])</f>
        <v>0</v>
      </c>
      <c r="H140">
        <f>IF(ISBLANK([1]!ScoutingData[[#This Row],[autoSpeakerScore]]),"",[1]!ScoutingData[[#This Row],[autoSpeakerScore]])</f>
        <v>0</v>
      </c>
    </row>
    <row r="141" spans="1:8" x14ac:dyDescent="0.45">
      <c r="A141">
        <f>IF(ISBLANK([1]!ScoutingData[[#This Row],[teamNumber]]),"",[1]!ScoutingData[[#This Row],[teamNumber]])</f>
        <v>3871</v>
      </c>
      <c r="B141" t="str">
        <f>IF(ISBLANK([1]!ScoutingData[[#This Row],[matchLevel]]),"",[1]!ScoutingData[[#This Row],[matchLevel]])</f>
        <v>p</v>
      </c>
      <c r="C141">
        <f>IF(ISBLANK([1]!ScoutingData[[#This Row],[matchNumber]]),"",[1]!ScoutingData[[#This Row],[matchNumber]])</f>
        <v>10</v>
      </c>
      <c r="D141" t="str">
        <f>IF(ISBLANK([1]!ScoutingData[[#This Row],[event]]),"",[1]!ScoutingData[[#This Row],[event]])</f>
        <v>2024ndgf</v>
      </c>
      <c r="E141" t="str">
        <f>IF(ISBLANK([1]!ScoutingData[[#This Row],[position]]),"",[1]!ScoutingData[[#This Row],[position]])</f>
        <v>[10]</v>
      </c>
      <c r="F141">
        <f>IF(ISBLANK([1]!ScoutingData[[#This Row],[leaveStartingZone]]),"",[1]!ScoutingData[[#This Row],[leaveStartingZone]])</f>
        <v>0</v>
      </c>
      <c r="G141">
        <f>IF(ISBLANK([1]!ScoutingData[[#This Row],[autoAmpScore]]),"",[1]!ScoutingData[[#This Row],[autoAmpScore]])</f>
        <v>0</v>
      </c>
      <c r="H141">
        <f>IF(ISBLANK([1]!ScoutingData[[#This Row],[autoSpeakerScore]]),"",[1]!ScoutingData[[#This Row],[autoSpeakerScore]])</f>
        <v>0</v>
      </c>
    </row>
    <row r="142" spans="1:8" x14ac:dyDescent="0.45">
      <c r="A142">
        <f>IF(ISBLANK([1]!ScoutingData[[#This Row],[teamNumber]]),"",[1]!ScoutingData[[#This Row],[teamNumber]])</f>
        <v>3871</v>
      </c>
      <c r="B142" t="str">
        <f>IF(ISBLANK([1]!ScoutingData[[#This Row],[matchLevel]]),"",[1]!ScoutingData[[#This Row],[matchLevel]])</f>
        <v>p</v>
      </c>
      <c r="C142">
        <f>IF(ISBLANK([1]!ScoutingData[[#This Row],[matchNumber]]),"",[1]!ScoutingData[[#This Row],[matchNumber]])</f>
        <v>20</v>
      </c>
      <c r="D142" t="str">
        <f>IF(ISBLANK([1]!ScoutingData[[#This Row],[event]]),"",[1]!ScoutingData[[#This Row],[event]])</f>
        <v>2024ndgf</v>
      </c>
      <c r="E142" t="str">
        <f>IF(ISBLANK([1]!ScoutingData[[#This Row],[position]]),"",[1]!ScoutingData[[#This Row],[position]])</f>
        <v>[9]</v>
      </c>
      <c r="F142">
        <f>IF(ISBLANK([1]!ScoutingData[[#This Row],[leaveStartingZone]]),"",[1]!ScoutingData[[#This Row],[leaveStartingZone]])</f>
        <v>1</v>
      </c>
      <c r="G142">
        <f>IF(ISBLANK([1]!ScoutingData[[#This Row],[autoAmpScore]]),"",[1]!ScoutingData[[#This Row],[autoAmpScore]])</f>
        <v>0</v>
      </c>
      <c r="H142">
        <f>IF(ISBLANK([1]!ScoutingData[[#This Row],[autoSpeakerScore]]),"",[1]!ScoutingData[[#This Row],[autoSpeakerScore]])</f>
        <v>0</v>
      </c>
    </row>
    <row r="143" spans="1:8" x14ac:dyDescent="0.45">
      <c r="A143">
        <f>IF(ISBLANK([1]!ScoutingData[[#This Row],[teamNumber]]),"",[1]!ScoutingData[[#This Row],[teamNumber]])</f>
        <v>3871</v>
      </c>
      <c r="B143" t="str">
        <f>IF(ISBLANK([1]!ScoutingData[[#This Row],[matchLevel]]),"",[1]!ScoutingData[[#This Row],[matchLevel]])</f>
        <v>qm</v>
      </c>
      <c r="C143">
        <f>IF(ISBLANK([1]!ScoutingData[[#This Row],[matchNumber]]),"",[1]!ScoutingData[[#This Row],[matchNumber]])</f>
        <v>12</v>
      </c>
      <c r="D143" t="str">
        <f>IF(ISBLANK([1]!ScoutingData[[#This Row],[event]]),"",[1]!ScoutingData[[#This Row],[event]])</f>
        <v>2024ndgf</v>
      </c>
      <c r="E143" t="str">
        <f>IF(ISBLANK([1]!ScoutingData[[#This Row],[position]]),"",[1]!ScoutingData[[#This Row],[position]])</f>
        <v>[19]</v>
      </c>
      <c r="F143">
        <f>IF(ISBLANK([1]!ScoutingData[[#This Row],[leaveStartingZone]]),"",[1]!ScoutingData[[#This Row],[leaveStartingZone]])</f>
        <v>1</v>
      </c>
      <c r="G143">
        <f>IF(ISBLANK([1]!ScoutingData[[#This Row],[autoAmpScore]]),"",[1]!ScoutingData[[#This Row],[autoAmpScore]])</f>
        <v>0</v>
      </c>
      <c r="H143">
        <f>IF(ISBLANK([1]!ScoutingData[[#This Row],[autoSpeakerScore]]),"",[1]!ScoutingData[[#This Row],[autoSpeakerScore]])</f>
        <v>0</v>
      </c>
    </row>
    <row r="144" spans="1:8" x14ac:dyDescent="0.45">
      <c r="A144">
        <f>IF(ISBLANK([1]!ScoutingData[[#This Row],[teamNumber]]),"",[1]!ScoutingData[[#This Row],[teamNumber]])</f>
        <v>3871</v>
      </c>
      <c r="B144" t="str">
        <f>IF(ISBLANK([1]!ScoutingData[[#This Row],[matchLevel]]),"",[1]!ScoutingData[[#This Row],[matchLevel]])</f>
        <v>qm</v>
      </c>
      <c r="C144">
        <f>IF(ISBLANK([1]!ScoutingData[[#This Row],[matchNumber]]),"",[1]!ScoutingData[[#This Row],[matchNumber]])</f>
        <v>3</v>
      </c>
      <c r="D144" t="str">
        <f>IF(ISBLANK([1]!ScoutingData[[#This Row],[event]]),"",[1]!ScoutingData[[#This Row],[event]])</f>
        <v>2024ndgf</v>
      </c>
      <c r="E144" t="str">
        <f>IF(ISBLANK([1]!ScoutingData[[#This Row],[position]]),"",[1]!ScoutingData[[#This Row],[position]])</f>
        <v>[7]</v>
      </c>
      <c r="F144">
        <f>IF(ISBLANK([1]!ScoutingData[[#This Row],[leaveStartingZone]]),"",[1]!ScoutingData[[#This Row],[leaveStartingZone]])</f>
        <v>1</v>
      </c>
      <c r="G144">
        <f>IF(ISBLANK([1]!ScoutingData[[#This Row],[autoAmpScore]]),"",[1]!ScoutingData[[#This Row],[autoAmpScore]])</f>
        <v>0</v>
      </c>
      <c r="H144">
        <f>IF(ISBLANK([1]!ScoutingData[[#This Row],[autoSpeakerScore]]),"",[1]!ScoutingData[[#This Row],[autoSpeakerScore]])</f>
        <v>0</v>
      </c>
    </row>
    <row r="145" spans="1:8" x14ac:dyDescent="0.45">
      <c r="A145">
        <f>IF(ISBLANK([1]!ScoutingData[[#This Row],[teamNumber]]),"",[1]!ScoutingData[[#This Row],[teamNumber]])</f>
        <v>3871</v>
      </c>
      <c r="B145" t="str">
        <f>IF(ISBLANK([1]!ScoutingData[[#This Row],[matchLevel]]),"",[1]!ScoutingData[[#This Row],[matchLevel]])</f>
        <v>qm</v>
      </c>
      <c r="C145">
        <f>IF(ISBLANK([1]!ScoutingData[[#This Row],[matchNumber]]),"",[1]!ScoutingData[[#This Row],[matchNumber]])</f>
        <v>40</v>
      </c>
      <c r="D145" t="str">
        <f>IF(ISBLANK([1]!ScoutingData[[#This Row],[event]]),"",[1]!ScoutingData[[#This Row],[event]])</f>
        <v>2024ndgf</v>
      </c>
      <c r="E145" t="str">
        <f>IF(ISBLANK([1]!ScoutingData[[#This Row],[position]]),"",[1]!ScoutingData[[#This Row],[position]])</f>
        <v>[11]</v>
      </c>
      <c r="F145">
        <f>IF(ISBLANK([1]!ScoutingData[[#This Row],[leaveStartingZone]]),"",[1]!ScoutingData[[#This Row],[leaveStartingZone]])</f>
        <v>0</v>
      </c>
      <c r="G145">
        <f>IF(ISBLANK([1]!ScoutingData[[#This Row],[autoAmpScore]]),"",[1]!ScoutingData[[#This Row],[autoAmpScore]])</f>
        <v>0</v>
      </c>
      <c r="H145">
        <f>IF(ISBLANK([1]!ScoutingData[[#This Row],[autoSpeakerScore]]),"",[1]!ScoutingData[[#This Row],[autoSpeakerScore]])</f>
        <v>1</v>
      </c>
    </row>
    <row r="146" spans="1:8" x14ac:dyDescent="0.45">
      <c r="A146">
        <f>IF(ISBLANK([1]!ScoutingData[[#This Row],[teamNumber]]),"",[1]!ScoutingData[[#This Row],[teamNumber]])</f>
        <v>3926</v>
      </c>
      <c r="B146" t="str">
        <f>IF(ISBLANK([1]!ScoutingData[[#This Row],[matchLevel]]),"",[1]!ScoutingData[[#This Row],[matchLevel]])</f>
        <v>qm</v>
      </c>
      <c r="C146">
        <f>IF(ISBLANK([1]!ScoutingData[[#This Row],[matchNumber]]),"",[1]!ScoutingData[[#This Row],[matchNumber]])</f>
        <v>21</v>
      </c>
      <c r="D146" t="str">
        <f>IF(ISBLANK([1]!ScoutingData[[#This Row],[event]]),"",[1]!ScoutingData[[#This Row],[event]])</f>
        <v>2024ndgf</v>
      </c>
      <c r="E146" t="str">
        <f>IF(ISBLANK([1]!ScoutingData[[#This Row],[position]]),"",[1]!ScoutingData[[#This Row],[position]])</f>
        <v>[7]</v>
      </c>
      <c r="F146">
        <f>IF(ISBLANK([1]!ScoutingData[[#This Row],[leaveStartingZone]]),"",[1]!ScoutingData[[#This Row],[leaveStartingZone]])</f>
        <v>0</v>
      </c>
      <c r="G146">
        <f>IF(ISBLANK([1]!ScoutingData[[#This Row],[autoAmpScore]]),"",[1]!ScoutingData[[#This Row],[autoAmpScore]])</f>
        <v>0</v>
      </c>
      <c r="H146">
        <f>IF(ISBLANK([1]!ScoutingData[[#This Row],[autoSpeakerScore]]),"",[1]!ScoutingData[[#This Row],[autoSpeakerScore]])</f>
        <v>0</v>
      </c>
    </row>
    <row r="147" spans="1:8" x14ac:dyDescent="0.45">
      <c r="A147">
        <f>IF(ISBLANK([1]!ScoutingData[[#This Row],[teamNumber]]),"",[1]!ScoutingData[[#This Row],[teamNumber]])</f>
        <v>3926</v>
      </c>
      <c r="B147" t="str">
        <f>IF(ISBLANK([1]!ScoutingData[[#This Row],[matchLevel]]),"",[1]!ScoutingData[[#This Row],[matchLevel]])</f>
        <v>qm</v>
      </c>
      <c r="C147">
        <f>IF(ISBLANK([1]!ScoutingData[[#This Row],[matchNumber]]),"",[1]!ScoutingData[[#This Row],[matchNumber]])</f>
        <v>6</v>
      </c>
      <c r="D147" t="str">
        <f>IF(ISBLANK([1]!ScoutingData[[#This Row],[event]]),"",[1]!ScoutingData[[#This Row],[event]])</f>
        <v>2024ndgf</v>
      </c>
      <c r="E147" t="str">
        <f>IF(ISBLANK([1]!ScoutingData[[#This Row],[position]]),"",[1]!ScoutingData[[#This Row],[position]])</f>
        <v>[9]</v>
      </c>
      <c r="F147">
        <f>IF(ISBLANK([1]!ScoutingData[[#This Row],[leaveStartingZone]]),"",[1]!ScoutingData[[#This Row],[leaveStartingZone]])</f>
        <v>1</v>
      </c>
      <c r="G147">
        <f>IF(ISBLANK([1]!ScoutingData[[#This Row],[autoAmpScore]]),"",[1]!ScoutingData[[#This Row],[autoAmpScore]])</f>
        <v>0</v>
      </c>
      <c r="H147">
        <f>IF(ISBLANK([1]!ScoutingData[[#This Row],[autoSpeakerScore]]),"",[1]!ScoutingData[[#This Row],[autoSpeakerScore]])</f>
        <v>2</v>
      </c>
    </row>
    <row r="148" spans="1:8" x14ac:dyDescent="0.45">
      <c r="A148">
        <f>IF(ISBLANK([1]!ScoutingData[[#This Row],[teamNumber]]),"",[1]!ScoutingData[[#This Row],[teamNumber]])</f>
        <v>3926</v>
      </c>
      <c r="B148" t="str">
        <f>IF(ISBLANK([1]!ScoutingData[[#This Row],[matchLevel]]),"",[1]!ScoutingData[[#This Row],[matchLevel]])</f>
        <v>qm</v>
      </c>
      <c r="C148">
        <f>IF(ISBLANK([1]!ScoutingData[[#This Row],[matchNumber]]),"",[1]!ScoutingData[[#This Row],[matchNumber]])</f>
        <v>12</v>
      </c>
      <c r="D148" t="str">
        <f>IF(ISBLANK([1]!ScoutingData[[#This Row],[event]]),"",[1]!ScoutingData[[#This Row],[event]])</f>
        <v>2024ndgf</v>
      </c>
      <c r="E148" t="str">
        <f>IF(ISBLANK([1]!ScoutingData[[#This Row],[position]]),"",[1]!ScoutingData[[#This Row],[position]])</f>
        <v>[7]</v>
      </c>
      <c r="F148">
        <f>IF(ISBLANK([1]!ScoutingData[[#This Row],[leaveStartingZone]]),"",[1]!ScoutingData[[#This Row],[leaveStartingZone]])</f>
        <v>1</v>
      </c>
      <c r="G148">
        <f>IF(ISBLANK([1]!ScoutingData[[#This Row],[autoAmpScore]]),"",[1]!ScoutingData[[#This Row],[autoAmpScore]])</f>
        <v>0</v>
      </c>
      <c r="H148">
        <f>IF(ISBLANK([1]!ScoutingData[[#This Row],[autoSpeakerScore]]),"",[1]!ScoutingData[[#This Row],[autoSpeakerScore]])</f>
        <v>0</v>
      </c>
    </row>
    <row r="149" spans="1:8" x14ac:dyDescent="0.45">
      <c r="A149">
        <f>IF(ISBLANK([1]!ScoutingData[[#This Row],[teamNumber]]),"",[1]!ScoutingData[[#This Row],[teamNumber]])</f>
        <v>3926</v>
      </c>
      <c r="B149" t="str">
        <f>IF(ISBLANK([1]!ScoutingData[[#This Row],[matchLevel]]),"",[1]!ScoutingData[[#This Row],[matchLevel]])</f>
        <v>p</v>
      </c>
      <c r="C149">
        <f>IF(ISBLANK([1]!ScoutingData[[#This Row],[matchNumber]]),"",[1]!ScoutingData[[#This Row],[matchNumber]])</f>
        <v>21</v>
      </c>
      <c r="D149" t="str">
        <f>IF(ISBLANK([1]!ScoutingData[[#This Row],[event]]),"",[1]!ScoutingData[[#This Row],[event]])</f>
        <v>2024ndgf</v>
      </c>
      <c r="E149" t="str">
        <f>IF(ISBLANK([1]!ScoutingData[[#This Row],[position]]),"",[1]!ScoutingData[[#This Row],[position]])</f>
        <v>[7]</v>
      </c>
      <c r="F149">
        <f>IF(ISBLANK([1]!ScoutingData[[#This Row],[leaveStartingZone]]),"",[1]!ScoutingData[[#This Row],[leaveStartingZone]])</f>
        <v>0</v>
      </c>
      <c r="G149">
        <f>IF(ISBLANK([1]!ScoutingData[[#This Row],[autoAmpScore]]),"",[1]!ScoutingData[[#This Row],[autoAmpScore]])</f>
        <v>0</v>
      </c>
      <c r="H149">
        <f>IF(ISBLANK([1]!ScoutingData[[#This Row],[autoSpeakerScore]]),"",[1]!ScoutingData[[#This Row],[autoSpeakerScore]])</f>
        <v>0</v>
      </c>
    </row>
    <row r="150" spans="1:8" x14ac:dyDescent="0.45">
      <c r="A150">
        <f>IF(ISBLANK([1]!ScoutingData[[#This Row],[teamNumber]]),"",[1]!ScoutingData[[#This Row],[teamNumber]])</f>
        <v>3926</v>
      </c>
      <c r="B150" t="str">
        <f>IF(ISBLANK([1]!ScoutingData[[#This Row],[matchLevel]]),"",[1]!ScoutingData[[#This Row],[matchLevel]])</f>
        <v>qm</v>
      </c>
      <c r="C150">
        <f>IF(ISBLANK([1]!ScoutingData[[#This Row],[matchNumber]]),"",[1]!ScoutingData[[#This Row],[matchNumber]])</f>
        <v>31</v>
      </c>
      <c r="D150" t="str">
        <f>IF(ISBLANK([1]!ScoutingData[[#This Row],[event]]),"",[1]!ScoutingData[[#This Row],[event]])</f>
        <v>2024ndgf</v>
      </c>
      <c r="E150" t="str">
        <f>IF(ISBLANK([1]!ScoutingData[[#This Row],[position]]),"",[1]!ScoutingData[[#This Row],[position]])</f>
        <v>[8]</v>
      </c>
      <c r="F150">
        <f>IF(ISBLANK([1]!ScoutingData[[#This Row],[leaveStartingZone]]),"",[1]!ScoutingData[[#This Row],[leaveStartingZone]])</f>
        <v>0</v>
      </c>
      <c r="G150">
        <f>IF(ISBLANK([1]!ScoutingData[[#This Row],[autoAmpScore]]),"",[1]!ScoutingData[[#This Row],[autoAmpScore]])</f>
        <v>0</v>
      </c>
      <c r="H150">
        <f>IF(ISBLANK([1]!ScoutingData[[#This Row],[autoSpeakerScore]]),"",[1]!ScoutingData[[#This Row],[autoSpeakerScore]])</f>
        <v>1</v>
      </c>
    </row>
    <row r="151" spans="1:8" x14ac:dyDescent="0.45">
      <c r="A151">
        <f>IF(ISBLANK([1]!ScoutingData[[#This Row],[teamNumber]]),"",[1]!ScoutingData[[#This Row],[teamNumber]])</f>
        <v>3926</v>
      </c>
      <c r="B151" t="str">
        <f>IF(ISBLANK([1]!ScoutingData[[#This Row],[matchLevel]]),"",[1]!ScoutingData[[#This Row],[matchLevel]])</f>
        <v>qm</v>
      </c>
      <c r="C151">
        <f>IF(ISBLANK([1]!ScoutingData[[#This Row],[matchNumber]]),"",[1]!ScoutingData[[#This Row],[matchNumber]])</f>
        <v>61</v>
      </c>
      <c r="D151" t="str">
        <f>IF(ISBLANK([1]!ScoutingData[[#This Row],[event]]),"",[1]!ScoutingData[[#This Row],[event]])</f>
        <v>2024ndgf</v>
      </c>
      <c r="E151" t="str">
        <f>IF(ISBLANK([1]!ScoutingData[[#This Row],[position]]),"",[1]!ScoutingData[[#This Row],[position]])</f>
        <v>[11]</v>
      </c>
      <c r="F151">
        <f>IF(ISBLANK([1]!ScoutingData[[#This Row],[leaveStartingZone]]),"",[1]!ScoutingData[[#This Row],[leaveStartingZone]])</f>
        <v>0</v>
      </c>
      <c r="G151">
        <f>IF(ISBLANK([1]!ScoutingData[[#This Row],[autoAmpScore]]),"",[1]!ScoutingData[[#This Row],[autoAmpScore]])</f>
        <v>0</v>
      </c>
      <c r="H151">
        <f>IF(ISBLANK([1]!ScoutingData[[#This Row],[autoSpeakerScore]]),"",[1]!ScoutingData[[#This Row],[autoSpeakerScore]])</f>
        <v>0</v>
      </c>
    </row>
    <row r="152" spans="1:8" x14ac:dyDescent="0.45">
      <c r="A152">
        <f>IF(ISBLANK([1]!ScoutingData[[#This Row],[teamNumber]]),"",[1]!ScoutingData[[#This Row],[teamNumber]])</f>
        <v>3926</v>
      </c>
      <c r="B152" t="str">
        <f>IF(ISBLANK([1]!ScoutingData[[#This Row],[matchLevel]]),"",[1]!ScoutingData[[#This Row],[matchLevel]])</f>
        <v>qm</v>
      </c>
      <c r="C152">
        <f>IF(ISBLANK([1]!ScoutingData[[#This Row],[matchNumber]]),"",[1]!ScoutingData[[#This Row],[matchNumber]])</f>
        <v>41</v>
      </c>
      <c r="D152" t="str">
        <f>IF(ISBLANK([1]!ScoutingData[[#This Row],[event]]),"",[1]!ScoutingData[[#This Row],[event]])</f>
        <v>2024ndgf</v>
      </c>
      <c r="E152" t="str">
        <f>IF(ISBLANK([1]!ScoutingData[[#This Row],[position]]),"",[1]!ScoutingData[[#This Row],[position]])</f>
        <v>[9]</v>
      </c>
      <c r="F152">
        <f>IF(ISBLANK([1]!ScoutingData[[#This Row],[leaveStartingZone]]),"",[1]!ScoutingData[[#This Row],[leaveStartingZone]])</f>
        <v>0</v>
      </c>
      <c r="G152">
        <f>IF(ISBLANK([1]!ScoutingData[[#This Row],[autoAmpScore]]),"",[1]!ScoutingData[[#This Row],[autoAmpScore]])</f>
        <v>0</v>
      </c>
      <c r="H152">
        <f>IF(ISBLANK([1]!ScoutingData[[#This Row],[autoSpeakerScore]]),"",[1]!ScoutingData[[#This Row],[autoSpeakerScore]])</f>
        <v>1</v>
      </c>
    </row>
    <row r="153" spans="1:8" x14ac:dyDescent="0.45">
      <c r="A153">
        <f>IF(ISBLANK([1]!ScoutingData[[#This Row],[teamNumber]]),"",[1]!ScoutingData[[#This Row],[teamNumber]])</f>
        <v>4181</v>
      </c>
      <c r="B153" t="str">
        <f>IF(ISBLANK([1]!ScoutingData[[#This Row],[matchLevel]]),"",[1]!ScoutingData[[#This Row],[matchLevel]])</f>
        <v>p</v>
      </c>
      <c r="C153">
        <f>IF(ISBLANK([1]!ScoutingData[[#This Row],[matchNumber]]),"",[1]!ScoutingData[[#This Row],[matchNumber]])</f>
        <v>11</v>
      </c>
      <c r="D153" t="str">
        <f>IF(ISBLANK([1]!ScoutingData[[#This Row],[event]]),"",[1]!ScoutingData[[#This Row],[event]])</f>
        <v>2024ndgf</v>
      </c>
      <c r="E153" t="str">
        <f>IF(ISBLANK([1]!ScoutingData[[#This Row],[position]]),"",[1]!ScoutingData[[#This Row],[position]])</f>
        <v>[9]</v>
      </c>
      <c r="F153">
        <f>IF(ISBLANK([1]!ScoutingData[[#This Row],[leaveStartingZone]]),"",[1]!ScoutingData[[#This Row],[leaveStartingZone]])</f>
        <v>1</v>
      </c>
      <c r="G153">
        <f>IF(ISBLANK([1]!ScoutingData[[#This Row],[autoAmpScore]]),"",[1]!ScoutingData[[#This Row],[autoAmpScore]])</f>
        <v>0</v>
      </c>
      <c r="H153">
        <f>IF(ISBLANK([1]!ScoutingData[[#This Row],[autoSpeakerScore]]),"",[1]!ScoutingData[[#This Row],[autoSpeakerScore]])</f>
        <v>1</v>
      </c>
    </row>
    <row r="154" spans="1:8" x14ac:dyDescent="0.45">
      <c r="A154">
        <f>IF(ISBLANK([1]!ScoutingData[[#This Row],[teamNumber]]),"",[1]!ScoutingData[[#This Row],[teamNumber]])</f>
        <v>4181</v>
      </c>
      <c r="B154" t="str">
        <f>IF(ISBLANK([1]!ScoutingData[[#This Row],[matchLevel]]),"",[1]!ScoutingData[[#This Row],[matchLevel]])</f>
        <v>p</v>
      </c>
      <c r="C154">
        <f>IF(ISBLANK([1]!ScoutingData[[#This Row],[matchNumber]]),"",[1]!ScoutingData[[#This Row],[matchNumber]])</f>
        <v>19</v>
      </c>
      <c r="D154" t="str">
        <f>IF(ISBLANK([1]!ScoutingData[[#This Row],[event]]),"",[1]!ScoutingData[[#This Row],[event]])</f>
        <v>2024ndgf</v>
      </c>
      <c r="E154" t="str">
        <f>IF(ISBLANK([1]!ScoutingData[[#This Row],[position]]),"",[1]!ScoutingData[[#This Row],[position]])</f>
        <v>[10]</v>
      </c>
      <c r="F154">
        <f>IF(ISBLANK([1]!ScoutingData[[#This Row],[leaveStartingZone]]),"",[1]!ScoutingData[[#This Row],[leaveStartingZone]])</f>
        <v>1</v>
      </c>
      <c r="G154">
        <f>IF(ISBLANK([1]!ScoutingData[[#This Row],[autoAmpScore]]),"",[1]!ScoutingData[[#This Row],[autoAmpScore]])</f>
        <v>0</v>
      </c>
      <c r="H154">
        <f>IF(ISBLANK([1]!ScoutingData[[#This Row],[autoSpeakerScore]]),"",[1]!ScoutingData[[#This Row],[autoSpeakerScore]])</f>
        <v>1</v>
      </c>
    </row>
    <row r="155" spans="1:8" x14ac:dyDescent="0.45">
      <c r="A155">
        <f>IF(ISBLANK([1]!ScoutingData[[#This Row],[teamNumber]]),"",[1]!ScoutingData[[#This Row],[teamNumber]])</f>
        <v>4181</v>
      </c>
      <c r="B155" t="str">
        <f>IF(ISBLANK([1]!ScoutingData[[#This Row],[matchLevel]]),"",[1]!ScoutingData[[#This Row],[matchLevel]])</f>
        <v>p</v>
      </c>
      <c r="C155">
        <f>IF(ISBLANK([1]!ScoutingData[[#This Row],[matchNumber]]),"",[1]!ScoutingData[[#This Row],[matchNumber]])</f>
        <v>5</v>
      </c>
      <c r="D155" t="str">
        <f>IF(ISBLANK([1]!ScoutingData[[#This Row],[event]]),"",[1]!ScoutingData[[#This Row],[event]])</f>
        <v>2024ndgf</v>
      </c>
      <c r="E155" t="str">
        <f>IF(ISBLANK([1]!ScoutingData[[#This Row],[position]]),"",[1]!ScoutingData[[#This Row],[position]])</f>
        <v>[11]</v>
      </c>
      <c r="F155">
        <f>IF(ISBLANK([1]!ScoutingData[[#This Row],[leaveStartingZone]]),"",[1]!ScoutingData[[#This Row],[leaveStartingZone]])</f>
        <v>0</v>
      </c>
      <c r="G155">
        <f>IF(ISBLANK([1]!ScoutingData[[#This Row],[autoAmpScore]]),"",[1]!ScoutingData[[#This Row],[autoAmpScore]])</f>
        <v>0</v>
      </c>
      <c r="H155">
        <f>IF(ISBLANK([1]!ScoutingData[[#This Row],[autoSpeakerScore]]),"",[1]!ScoutingData[[#This Row],[autoSpeakerScore]])</f>
        <v>2</v>
      </c>
    </row>
    <row r="156" spans="1:8" x14ac:dyDescent="0.45">
      <c r="A156">
        <f>IF(ISBLANK([1]!ScoutingData[[#This Row],[teamNumber]]),"",[1]!ScoutingData[[#This Row],[teamNumber]])</f>
        <v>4181</v>
      </c>
      <c r="B156" t="str">
        <f>IF(ISBLANK([1]!ScoutingData[[#This Row],[matchLevel]]),"",[1]!ScoutingData[[#This Row],[matchLevel]])</f>
        <v>qm</v>
      </c>
      <c r="C156">
        <f>IF(ISBLANK([1]!ScoutingData[[#This Row],[matchNumber]]),"",[1]!ScoutingData[[#This Row],[matchNumber]])</f>
        <v>13</v>
      </c>
      <c r="D156" t="str">
        <f>IF(ISBLANK([1]!ScoutingData[[#This Row],[event]]),"",[1]!ScoutingData[[#This Row],[event]])</f>
        <v>2024ndgf</v>
      </c>
      <c r="E156" t="str">
        <f>IF(ISBLANK([1]!ScoutingData[[#This Row],[position]]),"",[1]!ScoutingData[[#This Row],[position]])</f>
        <v>[11]</v>
      </c>
      <c r="F156">
        <f>IF(ISBLANK([1]!ScoutingData[[#This Row],[leaveStartingZone]]),"",[1]!ScoutingData[[#This Row],[leaveStartingZone]])</f>
        <v>0</v>
      </c>
      <c r="G156">
        <f>IF(ISBLANK([1]!ScoutingData[[#This Row],[autoAmpScore]]),"",[1]!ScoutingData[[#This Row],[autoAmpScore]])</f>
        <v>0</v>
      </c>
      <c r="H156">
        <f>IF(ISBLANK([1]!ScoutingData[[#This Row],[autoSpeakerScore]]),"",[1]!ScoutingData[[#This Row],[autoSpeakerScore]])</f>
        <v>1</v>
      </c>
    </row>
    <row r="157" spans="1:8" x14ac:dyDescent="0.45">
      <c r="A157">
        <f>IF(ISBLANK([1]!ScoutingData[[#This Row],[teamNumber]]),"",[1]!ScoutingData[[#This Row],[teamNumber]])</f>
        <v>4181</v>
      </c>
      <c r="B157" t="str">
        <f>IF(ISBLANK([1]!ScoutingData[[#This Row],[matchLevel]]),"",[1]!ScoutingData[[#This Row],[matchLevel]])</f>
        <v>qm</v>
      </c>
      <c r="C157">
        <f>IF(ISBLANK([1]!ScoutingData[[#This Row],[matchNumber]]),"",[1]!ScoutingData[[#This Row],[matchNumber]])</f>
        <v>7</v>
      </c>
      <c r="D157" t="str">
        <f>IF(ISBLANK([1]!ScoutingData[[#This Row],[event]]),"",[1]!ScoutingData[[#This Row],[event]])</f>
        <v>2024ndgf</v>
      </c>
      <c r="E157" t="str">
        <f>IF(ISBLANK([1]!ScoutingData[[#This Row],[position]]),"",[1]!ScoutingData[[#This Row],[position]])</f>
        <v>[7]</v>
      </c>
      <c r="F157">
        <f>IF(ISBLANK([1]!ScoutingData[[#This Row],[leaveStartingZone]]),"",[1]!ScoutingData[[#This Row],[leaveStartingZone]])</f>
        <v>1</v>
      </c>
      <c r="G157">
        <f>IF(ISBLANK([1]!ScoutingData[[#This Row],[autoAmpScore]]),"",[1]!ScoutingData[[#This Row],[autoAmpScore]])</f>
        <v>0</v>
      </c>
      <c r="H157">
        <f>IF(ISBLANK([1]!ScoutingData[[#This Row],[autoSpeakerScore]]),"",[1]!ScoutingData[[#This Row],[autoSpeakerScore]])</f>
        <v>1</v>
      </c>
    </row>
    <row r="158" spans="1:8" x14ac:dyDescent="0.45">
      <c r="A158">
        <f>IF(ISBLANK([1]!ScoutingData[[#This Row],[teamNumber]]),"",[1]!ScoutingData[[#This Row],[teamNumber]])</f>
        <v>4181</v>
      </c>
      <c r="B158" t="str">
        <f>IF(ISBLANK([1]!ScoutingData[[#This Row],[matchLevel]]),"",[1]!ScoutingData[[#This Row],[matchLevel]])</f>
        <v>qm</v>
      </c>
      <c r="C158">
        <f>IF(ISBLANK([1]!ScoutingData[[#This Row],[matchNumber]]),"",[1]!ScoutingData[[#This Row],[matchNumber]])</f>
        <v>62</v>
      </c>
      <c r="D158" t="str">
        <f>IF(ISBLANK([1]!ScoutingData[[#This Row],[event]]),"",[1]!ScoutingData[[#This Row],[event]])</f>
        <v>2024ndgf</v>
      </c>
      <c r="E158" t="str">
        <f>IF(ISBLANK([1]!ScoutingData[[#This Row],[position]]),"",[1]!ScoutingData[[#This Row],[position]])</f>
        <v>[9]</v>
      </c>
      <c r="F158">
        <f>IF(ISBLANK([1]!ScoutingData[[#This Row],[leaveStartingZone]]),"",[1]!ScoutingData[[#This Row],[leaveStartingZone]])</f>
        <v>1</v>
      </c>
      <c r="G158">
        <f>IF(ISBLANK([1]!ScoutingData[[#This Row],[autoAmpScore]]),"",[1]!ScoutingData[[#This Row],[autoAmpScore]])</f>
        <v>0</v>
      </c>
      <c r="H158">
        <f>IF(ISBLANK([1]!ScoutingData[[#This Row],[autoSpeakerScore]]),"",[1]!ScoutingData[[#This Row],[autoSpeakerScore]])</f>
        <v>2</v>
      </c>
    </row>
    <row r="159" spans="1:8" x14ac:dyDescent="0.45">
      <c r="A159">
        <f>IF(ISBLANK([1]!ScoutingData[[#This Row],[teamNumber]]),"",[1]!ScoutingData[[#This Row],[teamNumber]])</f>
        <v>4181</v>
      </c>
      <c r="B159" t="str">
        <f>IF(ISBLANK([1]!ScoutingData[[#This Row],[matchLevel]]),"",[1]!ScoutingData[[#This Row],[matchLevel]])</f>
        <v>qm</v>
      </c>
      <c r="C159">
        <f>IF(ISBLANK([1]!ScoutingData[[#This Row],[matchNumber]]),"",[1]!ScoutingData[[#This Row],[matchNumber]])</f>
        <v>38</v>
      </c>
      <c r="D159" t="str">
        <f>IF(ISBLANK([1]!ScoutingData[[#This Row],[event]]),"",[1]!ScoutingData[[#This Row],[event]])</f>
        <v>2024ndgf</v>
      </c>
      <c r="E159" t="str">
        <f>IF(ISBLANK([1]!ScoutingData[[#This Row],[position]]),"",[1]!ScoutingData[[#This Row],[position]])</f>
        <v>[7]</v>
      </c>
      <c r="F159">
        <f>IF(ISBLANK([1]!ScoutingData[[#This Row],[leaveStartingZone]]),"",[1]!ScoutingData[[#This Row],[leaveStartingZone]])</f>
        <v>1</v>
      </c>
      <c r="G159">
        <f>IF(ISBLANK([1]!ScoutingData[[#This Row],[autoAmpScore]]),"",[1]!ScoutingData[[#This Row],[autoAmpScore]])</f>
        <v>0</v>
      </c>
      <c r="H159">
        <f>IF(ISBLANK([1]!ScoutingData[[#This Row],[autoSpeakerScore]]),"",[1]!ScoutingData[[#This Row],[autoSpeakerScore]])</f>
        <v>1</v>
      </c>
    </row>
    <row r="160" spans="1:8" x14ac:dyDescent="0.45">
      <c r="A160">
        <f>IF(ISBLANK([1]!ScoutingData[[#This Row],[teamNumber]]),"",[1]!ScoutingData[[#This Row],[teamNumber]])</f>
        <v>4198</v>
      </c>
      <c r="B160" t="str">
        <f>IF(ISBLANK([1]!ScoutingData[[#This Row],[matchLevel]]),"",[1]!ScoutingData[[#This Row],[matchLevel]])</f>
        <v>p</v>
      </c>
      <c r="C160">
        <f>IF(ISBLANK([1]!ScoutingData[[#This Row],[matchNumber]]),"",[1]!ScoutingData[[#This Row],[matchNumber]])</f>
        <v>26</v>
      </c>
      <c r="D160" t="str">
        <f>IF(ISBLANK([1]!ScoutingData[[#This Row],[event]]),"",[1]!ScoutingData[[#This Row],[event]])</f>
        <v>2024ndgf</v>
      </c>
      <c r="E160" t="str">
        <f>IF(ISBLANK([1]!ScoutingData[[#This Row],[position]]),"",[1]!ScoutingData[[#This Row],[position]])</f>
        <v>[8]</v>
      </c>
      <c r="F160">
        <f>IF(ISBLANK([1]!ScoutingData[[#This Row],[leaveStartingZone]]),"",[1]!ScoutingData[[#This Row],[leaveStartingZone]])</f>
        <v>1</v>
      </c>
      <c r="G160">
        <f>IF(ISBLANK([1]!ScoutingData[[#This Row],[autoAmpScore]]),"",[1]!ScoutingData[[#This Row],[autoAmpScore]])</f>
        <v>0</v>
      </c>
      <c r="H160">
        <f>IF(ISBLANK([1]!ScoutingData[[#This Row],[autoSpeakerScore]]),"",[1]!ScoutingData[[#This Row],[autoSpeakerScore]])</f>
        <v>1</v>
      </c>
    </row>
    <row r="161" spans="1:8" x14ac:dyDescent="0.45">
      <c r="A161">
        <f>IF(ISBLANK([1]!ScoutingData[[#This Row],[teamNumber]]),"",[1]!ScoutingData[[#This Row],[teamNumber]])</f>
        <v>4198</v>
      </c>
      <c r="B161" t="str">
        <f>IF(ISBLANK([1]!ScoutingData[[#This Row],[matchLevel]]),"",[1]!ScoutingData[[#This Row],[matchLevel]])</f>
        <v>p</v>
      </c>
      <c r="C161">
        <f>IF(ISBLANK([1]!ScoutingData[[#This Row],[matchNumber]]),"",[1]!ScoutingData[[#This Row],[matchNumber]])</f>
        <v>17</v>
      </c>
      <c r="D161" t="str">
        <f>IF(ISBLANK([1]!ScoutingData[[#This Row],[event]]),"",[1]!ScoutingData[[#This Row],[event]])</f>
        <v>2024ndgf</v>
      </c>
      <c r="E161" t="str">
        <f>IF(ISBLANK([1]!ScoutingData[[#This Row],[position]]),"",[1]!ScoutingData[[#This Row],[position]])</f>
        <v>[10]</v>
      </c>
      <c r="F161">
        <f>IF(ISBLANK([1]!ScoutingData[[#This Row],[leaveStartingZone]]),"",[1]!ScoutingData[[#This Row],[leaveStartingZone]])</f>
        <v>0</v>
      </c>
      <c r="G161">
        <f>IF(ISBLANK([1]!ScoutingData[[#This Row],[autoAmpScore]]),"",[1]!ScoutingData[[#This Row],[autoAmpScore]])</f>
        <v>0</v>
      </c>
      <c r="H161">
        <f>IF(ISBLANK([1]!ScoutingData[[#This Row],[autoSpeakerScore]]),"",[1]!ScoutingData[[#This Row],[autoSpeakerScore]])</f>
        <v>1</v>
      </c>
    </row>
    <row r="162" spans="1:8" x14ac:dyDescent="0.45">
      <c r="A162">
        <f>IF(ISBLANK([1]!ScoutingData[[#This Row],[teamNumber]]),"",[1]!ScoutingData[[#This Row],[teamNumber]])</f>
        <v>4198</v>
      </c>
      <c r="B162" t="str">
        <f>IF(ISBLANK([1]!ScoutingData[[#This Row],[matchLevel]]),"",[1]!ScoutingData[[#This Row],[matchLevel]])</f>
        <v>p</v>
      </c>
      <c r="C162">
        <f>IF(ISBLANK([1]!ScoutingData[[#This Row],[matchNumber]]),"",[1]!ScoutingData[[#This Row],[matchNumber]])</f>
        <v>17</v>
      </c>
      <c r="D162" t="str">
        <f>IF(ISBLANK([1]!ScoutingData[[#This Row],[event]]),"",[1]!ScoutingData[[#This Row],[event]])</f>
        <v>2024ndgf</v>
      </c>
      <c r="E162" t="str">
        <f>IF(ISBLANK([1]!ScoutingData[[#This Row],[position]]),"",[1]!ScoutingData[[#This Row],[position]])</f>
        <v>[11]</v>
      </c>
      <c r="F162">
        <f>IF(ISBLANK([1]!ScoutingData[[#This Row],[leaveStartingZone]]),"",[1]!ScoutingData[[#This Row],[leaveStartingZone]])</f>
        <v>0</v>
      </c>
      <c r="G162">
        <f>IF(ISBLANK([1]!ScoutingData[[#This Row],[autoAmpScore]]),"",[1]!ScoutingData[[#This Row],[autoAmpScore]])</f>
        <v>0</v>
      </c>
      <c r="H162">
        <f>IF(ISBLANK([1]!ScoutingData[[#This Row],[autoSpeakerScore]]),"",[1]!ScoutingData[[#This Row],[autoSpeakerScore]])</f>
        <v>0</v>
      </c>
    </row>
    <row r="163" spans="1:8" x14ac:dyDescent="0.45">
      <c r="A163">
        <f>IF(ISBLANK([1]!ScoutingData[[#This Row],[teamNumber]]),"",[1]!ScoutingData[[#This Row],[teamNumber]])</f>
        <v>4198</v>
      </c>
      <c r="B163" t="str">
        <f>IF(ISBLANK([1]!ScoutingData[[#This Row],[matchLevel]]),"",[1]!ScoutingData[[#This Row],[matchLevel]])</f>
        <v>qm</v>
      </c>
      <c r="C163">
        <f>IF(ISBLANK([1]!ScoutingData[[#This Row],[matchNumber]]),"",[1]!ScoutingData[[#This Row],[matchNumber]])</f>
        <v>32</v>
      </c>
      <c r="D163" t="str">
        <f>IF(ISBLANK([1]!ScoutingData[[#This Row],[event]]),"",[1]!ScoutingData[[#This Row],[event]])</f>
        <v>2024ndgf</v>
      </c>
      <c r="E163" t="str">
        <f>IF(ISBLANK([1]!ScoutingData[[#This Row],[position]]),"",[1]!ScoutingData[[#This Row],[position]])</f>
        <v>[4]</v>
      </c>
      <c r="F163">
        <f>IF(ISBLANK([1]!ScoutingData[[#This Row],[leaveStartingZone]]),"",[1]!ScoutingData[[#This Row],[leaveStartingZone]])</f>
        <v>0</v>
      </c>
      <c r="G163">
        <f>IF(ISBLANK([1]!ScoutingData[[#This Row],[autoAmpScore]]),"",[1]!ScoutingData[[#This Row],[autoAmpScore]])</f>
        <v>0</v>
      </c>
      <c r="H163">
        <f>IF(ISBLANK([1]!ScoutingData[[#This Row],[autoSpeakerScore]]),"",[1]!ScoutingData[[#This Row],[autoSpeakerScore]])</f>
        <v>0</v>
      </c>
    </row>
    <row r="164" spans="1:8" x14ac:dyDescent="0.45">
      <c r="A164">
        <f>IF(ISBLANK([1]!ScoutingData[[#This Row],[teamNumber]]),"",[1]!ScoutingData[[#This Row],[teamNumber]])</f>
        <v>4198</v>
      </c>
      <c r="B164" t="str">
        <f>IF(ISBLANK([1]!ScoutingData[[#This Row],[matchLevel]]),"",[1]!ScoutingData[[#This Row],[matchLevel]])</f>
        <v>qm</v>
      </c>
      <c r="C164">
        <f>IF(ISBLANK([1]!ScoutingData[[#This Row],[matchNumber]]),"",[1]!ScoutingData[[#This Row],[matchNumber]])</f>
        <v>59</v>
      </c>
      <c r="D164" t="str">
        <f>IF(ISBLANK([1]!ScoutingData[[#This Row],[event]]),"",[1]!ScoutingData[[#This Row],[event]])</f>
        <v>2024ndgf</v>
      </c>
      <c r="E164" t="str">
        <f>IF(ISBLANK([1]!ScoutingData[[#This Row],[position]]),"",[1]!ScoutingData[[#This Row],[position]])</f>
        <v>[7]</v>
      </c>
      <c r="F164">
        <f>IF(ISBLANK([1]!ScoutingData[[#This Row],[leaveStartingZone]]),"",[1]!ScoutingData[[#This Row],[leaveStartingZone]])</f>
        <v>0</v>
      </c>
      <c r="G164">
        <f>IF(ISBLANK([1]!ScoutingData[[#This Row],[autoAmpScore]]),"",[1]!ScoutingData[[#This Row],[autoAmpScore]])</f>
        <v>0</v>
      </c>
      <c r="H164">
        <f>IF(ISBLANK([1]!ScoutingData[[#This Row],[autoSpeakerScore]]),"",[1]!ScoutingData[[#This Row],[autoSpeakerScore]])</f>
        <v>0</v>
      </c>
    </row>
    <row r="165" spans="1:8" x14ac:dyDescent="0.45">
      <c r="A165">
        <f>IF(ISBLANK([1]!ScoutingData[[#This Row],[teamNumber]]),"",[1]!ScoutingData[[#This Row],[teamNumber]])</f>
        <v>4198</v>
      </c>
      <c r="B165" t="str">
        <f>IF(ISBLANK([1]!ScoutingData[[#This Row],[matchLevel]]),"",[1]!ScoutingData[[#This Row],[matchLevel]])</f>
        <v>qm</v>
      </c>
      <c r="C165">
        <f>IF(ISBLANK([1]!ScoutingData[[#This Row],[matchNumber]]),"",[1]!ScoutingData[[#This Row],[matchNumber]])</f>
        <v>42</v>
      </c>
      <c r="D165" t="str">
        <f>IF(ISBLANK([1]!ScoutingData[[#This Row],[event]]),"",[1]!ScoutingData[[#This Row],[event]])</f>
        <v>2024ndgf</v>
      </c>
      <c r="E165" t="str">
        <f>IF(ISBLANK([1]!ScoutingData[[#This Row],[position]]),"",[1]!ScoutingData[[#This Row],[position]])</f>
        <v>[7]</v>
      </c>
      <c r="F165">
        <f>IF(ISBLANK([1]!ScoutingData[[#This Row],[leaveStartingZone]]),"",[1]!ScoutingData[[#This Row],[leaveStartingZone]])</f>
        <v>1</v>
      </c>
      <c r="G165">
        <f>IF(ISBLANK([1]!ScoutingData[[#This Row],[autoAmpScore]]),"",[1]!ScoutingData[[#This Row],[autoAmpScore]])</f>
        <v>0</v>
      </c>
      <c r="H165">
        <f>IF(ISBLANK([1]!ScoutingData[[#This Row],[autoSpeakerScore]]),"",[1]!ScoutingData[[#This Row],[autoSpeakerScore]])</f>
        <v>0</v>
      </c>
    </row>
    <row r="166" spans="1:8" x14ac:dyDescent="0.45">
      <c r="A166">
        <f>IF(ISBLANK([1]!ScoutingData[[#This Row],[teamNumber]]),"",[1]!ScoutingData[[#This Row],[teamNumber]])</f>
        <v>4226</v>
      </c>
      <c r="B166" t="str">
        <f>IF(ISBLANK([1]!ScoutingData[[#This Row],[matchLevel]]),"",[1]!ScoutingData[[#This Row],[matchLevel]])</f>
        <v>p</v>
      </c>
      <c r="C166">
        <f>IF(ISBLANK([1]!ScoutingData[[#This Row],[matchNumber]]),"",[1]!ScoutingData[[#This Row],[matchNumber]])</f>
        <v>7</v>
      </c>
      <c r="D166" t="str">
        <f>IF(ISBLANK([1]!ScoutingData[[#This Row],[event]]),"",[1]!ScoutingData[[#This Row],[event]])</f>
        <v>2024ndgf</v>
      </c>
      <c r="E166" t="str">
        <f>IF(ISBLANK([1]!ScoutingData[[#This Row],[position]]),"",[1]!ScoutingData[[#This Row],[position]])</f>
        <v>[20]</v>
      </c>
      <c r="F166">
        <f>IF(ISBLANK([1]!ScoutingData[[#This Row],[leaveStartingZone]]),"",[1]!ScoutingData[[#This Row],[leaveStartingZone]])</f>
        <v>1</v>
      </c>
      <c r="G166">
        <f>IF(ISBLANK([1]!ScoutingData[[#This Row],[autoAmpScore]]),"",[1]!ScoutingData[[#This Row],[autoAmpScore]])</f>
        <v>0</v>
      </c>
      <c r="H166">
        <f>IF(ISBLANK([1]!ScoutingData[[#This Row],[autoSpeakerScore]]),"",[1]!ScoutingData[[#This Row],[autoSpeakerScore]])</f>
        <v>1</v>
      </c>
    </row>
    <row r="167" spans="1:8" x14ac:dyDescent="0.45">
      <c r="A167">
        <f>IF(ISBLANK([1]!ScoutingData[[#This Row],[teamNumber]]),"",[1]!ScoutingData[[#This Row],[teamNumber]])</f>
        <v>4226</v>
      </c>
      <c r="B167" t="str">
        <f>IF(ISBLANK([1]!ScoutingData[[#This Row],[matchLevel]]),"",[1]!ScoutingData[[#This Row],[matchLevel]])</f>
        <v>p</v>
      </c>
      <c r="C167">
        <f>IF(ISBLANK([1]!ScoutingData[[#This Row],[matchNumber]]),"",[1]!ScoutingData[[#This Row],[matchNumber]])</f>
        <v>19</v>
      </c>
      <c r="D167" t="str">
        <f>IF(ISBLANK([1]!ScoutingData[[#This Row],[event]]),"",[1]!ScoutingData[[#This Row],[event]])</f>
        <v>2024ndgf</v>
      </c>
      <c r="E167" t="str">
        <f>IF(ISBLANK([1]!ScoutingData[[#This Row],[position]]),"",[1]!ScoutingData[[#This Row],[position]])</f>
        <v>[9]</v>
      </c>
      <c r="F167">
        <f>IF(ISBLANK([1]!ScoutingData[[#This Row],[leaveStartingZone]]),"",[1]!ScoutingData[[#This Row],[leaveStartingZone]])</f>
        <v>0</v>
      </c>
      <c r="G167">
        <f>IF(ISBLANK([1]!ScoutingData[[#This Row],[autoAmpScore]]),"",[1]!ScoutingData[[#This Row],[autoAmpScore]])</f>
        <v>0</v>
      </c>
      <c r="H167">
        <f>IF(ISBLANK([1]!ScoutingData[[#This Row],[autoSpeakerScore]]),"",[1]!ScoutingData[[#This Row],[autoSpeakerScore]])</f>
        <v>1</v>
      </c>
    </row>
    <row r="168" spans="1:8" x14ac:dyDescent="0.45">
      <c r="A168">
        <f>IF(ISBLANK([1]!ScoutingData[[#This Row],[teamNumber]]),"",[1]!ScoutingData[[#This Row],[teamNumber]])</f>
        <v>4226</v>
      </c>
      <c r="B168" t="str">
        <f>IF(ISBLANK([1]!ScoutingData[[#This Row],[matchLevel]]),"",[1]!ScoutingData[[#This Row],[matchLevel]])</f>
        <v>qm</v>
      </c>
      <c r="C168">
        <f>IF(ISBLANK([1]!ScoutingData[[#This Row],[matchNumber]]),"",[1]!ScoutingData[[#This Row],[matchNumber]])</f>
        <v>19</v>
      </c>
      <c r="D168" t="str">
        <f>IF(ISBLANK([1]!ScoutingData[[#This Row],[event]]),"",[1]!ScoutingData[[#This Row],[event]])</f>
        <v>2024ndgf</v>
      </c>
      <c r="E168" t="str">
        <f>IF(ISBLANK([1]!ScoutingData[[#This Row],[position]]),"",[1]!ScoutingData[[#This Row],[position]])</f>
        <v>[10]</v>
      </c>
      <c r="F168">
        <f>IF(ISBLANK([1]!ScoutingData[[#This Row],[leaveStartingZone]]),"",[1]!ScoutingData[[#This Row],[leaveStartingZone]])</f>
        <v>0</v>
      </c>
      <c r="G168">
        <f>IF(ISBLANK([1]!ScoutingData[[#This Row],[autoAmpScore]]),"",[1]!ScoutingData[[#This Row],[autoAmpScore]])</f>
        <v>0</v>
      </c>
      <c r="H168">
        <f>IF(ISBLANK([1]!ScoutingData[[#This Row],[autoSpeakerScore]]),"",[1]!ScoutingData[[#This Row],[autoSpeakerScore]])</f>
        <v>1</v>
      </c>
    </row>
    <row r="169" spans="1:8" x14ac:dyDescent="0.45">
      <c r="A169">
        <f>IF(ISBLANK([1]!ScoutingData[[#This Row],[teamNumber]]),"",[1]!ScoutingData[[#This Row],[teamNumber]])</f>
        <v>4226</v>
      </c>
      <c r="B169" t="str">
        <f>IF(ISBLANK([1]!ScoutingData[[#This Row],[matchLevel]]),"",[1]!ScoutingData[[#This Row],[matchLevel]])</f>
        <v>qm</v>
      </c>
      <c r="C169">
        <f>IF(ISBLANK([1]!ScoutingData[[#This Row],[matchNumber]]),"",[1]!ScoutingData[[#This Row],[matchNumber]])</f>
        <v>27</v>
      </c>
      <c r="D169" t="str">
        <f>IF(ISBLANK([1]!ScoutingData[[#This Row],[event]]),"",[1]!ScoutingData[[#This Row],[event]])</f>
        <v>2024ndgf</v>
      </c>
      <c r="E169" t="str">
        <f>IF(ISBLANK([1]!ScoutingData[[#This Row],[position]]),"",[1]!ScoutingData[[#This Row],[position]])</f>
        <v>[11]</v>
      </c>
      <c r="F169">
        <f>IF(ISBLANK([1]!ScoutingData[[#This Row],[leaveStartingZone]]),"",[1]!ScoutingData[[#This Row],[leaveStartingZone]])</f>
        <v>0</v>
      </c>
      <c r="G169">
        <f>IF(ISBLANK([1]!ScoutingData[[#This Row],[autoAmpScore]]),"",[1]!ScoutingData[[#This Row],[autoAmpScore]])</f>
        <v>0</v>
      </c>
      <c r="H169">
        <f>IF(ISBLANK([1]!ScoutingData[[#This Row],[autoSpeakerScore]]),"",[1]!ScoutingData[[#This Row],[autoSpeakerScore]])</f>
        <v>0</v>
      </c>
    </row>
    <row r="170" spans="1:8" x14ac:dyDescent="0.45">
      <c r="A170">
        <f>IF(ISBLANK([1]!ScoutingData[[#This Row],[teamNumber]]),"",[1]!ScoutingData[[#This Row],[teamNumber]])</f>
        <v>4226</v>
      </c>
      <c r="B170" t="str">
        <f>IF(ISBLANK([1]!ScoutingData[[#This Row],[matchLevel]]),"",[1]!ScoutingData[[#This Row],[matchLevel]])</f>
        <v>qm</v>
      </c>
      <c r="C170">
        <f>IF(ISBLANK([1]!ScoutingData[[#This Row],[matchNumber]]),"",[1]!ScoutingData[[#This Row],[matchNumber]])</f>
        <v>42</v>
      </c>
      <c r="D170" t="str">
        <f>IF(ISBLANK([1]!ScoutingData[[#This Row],[event]]),"",[1]!ScoutingData[[#This Row],[event]])</f>
        <v>2024ndgf</v>
      </c>
      <c r="E170" t="str">
        <f>IF(ISBLANK([1]!ScoutingData[[#This Row],[position]]),"",[1]!ScoutingData[[#This Row],[position]])</f>
        <v>[11]</v>
      </c>
      <c r="F170">
        <f>IF(ISBLANK([1]!ScoutingData[[#This Row],[leaveStartingZone]]),"",[1]!ScoutingData[[#This Row],[leaveStartingZone]])</f>
        <v>1</v>
      </c>
      <c r="G170">
        <f>IF(ISBLANK([1]!ScoutingData[[#This Row],[autoAmpScore]]),"",[1]!ScoutingData[[#This Row],[autoAmpScore]])</f>
        <v>0</v>
      </c>
      <c r="H170">
        <f>IF(ISBLANK([1]!ScoutingData[[#This Row],[autoSpeakerScore]]),"",[1]!ScoutingData[[#This Row],[autoSpeakerScore]])</f>
        <v>0</v>
      </c>
    </row>
    <row r="171" spans="1:8" x14ac:dyDescent="0.45">
      <c r="A171">
        <f>IF(ISBLANK([1]!ScoutingData[[#This Row],[teamNumber]]),"",[1]!ScoutingData[[#This Row],[teamNumber]])</f>
        <v>4226</v>
      </c>
      <c r="B171" t="str">
        <f>IF(ISBLANK([1]!ScoutingData[[#This Row],[matchLevel]]),"",[1]!ScoutingData[[#This Row],[matchLevel]])</f>
        <v>qm</v>
      </c>
      <c r="C171">
        <f>IF(ISBLANK([1]!ScoutingData[[#This Row],[matchNumber]]),"",[1]!ScoutingData[[#This Row],[matchNumber]])</f>
        <v>51</v>
      </c>
      <c r="D171" t="str">
        <f>IF(ISBLANK([1]!ScoutingData[[#This Row],[event]]),"",[1]!ScoutingData[[#This Row],[event]])</f>
        <v>2024ndgf</v>
      </c>
      <c r="E171" t="str">
        <f>IF(ISBLANK([1]!ScoutingData[[#This Row],[position]]),"",[1]!ScoutingData[[#This Row],[position]])</f>
        <v>[11]</v>
      </c>
      <c r="F171">
        <f>IF(ISBLANK([1]!ScoutingData[[#This Row],[leaveStartingZone]]),"",[1]!ScoutingData[[#This Row],[leaveStartingZone]])</f>
        <v>0</v>
      </c>
      <c r="G171">
        <f>IF(ISBLANK([1]!ScoutingData[[#This Row],[autoAmpScore]]),"",[1]!ScoutingData[[#This Row],[autoAmpScore]])</f>
        <v>0</v>
      </c>
      <c r="H171">
        <f>IF(ISBLANK([1]!ScoutingData[[#This Row],[autoSpeakerScore]]),"",[1]!ScoutingData[[#This Row],[autoSpeakerScore]])</f>
        <v>1</v>
      </c>
    </row>
    <row r="172" spans="1:8" x14ac:dyDescent="0.45">
      <c r="A172">
        <f>IF(ISBLANK([1]!ScoutingData[[#This Row],[teamNumber]]),"",[1]!ScoutingData[[#This Row],[teamNumber]])</f>
        <v>4226</v>
      </c>
      <c r="B172" t="str">
        <f>IF(ISBLANK([1]!ScoutingData[[#This Row],[matchLevel]]),"",[1]!ScoutingData[[#This Row],[matchLevel]])</f>
        <v>qm</v>
      </c>
      <c r="C172">
        <f>IF(ISBLANK([1]!ScoutingData[[#This Row],[matchNumber]]),"",[1]!ScoutingData[[#This Row],[matchNumber]])</f>
        <v>57</v>
      </c>
      <c r="D172" t="str">
        <f>IF(ISBLANK([1]!ScoutingData[[#This Row],[event]]),"",[1]!ScoutingData[[#This Row],[event]])</f>
        <v>2024ndgf</v>
      </c>
      <c r="E172" t="str">
        <f>IF(ISBLANK([1]!ScoutingData[[#This Row],[position]]),"",[1]!ScoutingData[[#This Row],[position]])</f>
        <v>[11]</v>
      </c>
      <c r="F172">
        <f>IF(ISBLANK([1]!ScoutingData[[#This Row],[leaveStartingZone]]),"",[1]!ScoutingData[[#This Row],[leaveStartingZone]])</f>
        <v>1</v>
      </c>
      <c r="G172">
        <f>IF(ISBLANK([1]!ScoutingData[[#This Row],[autoAmpScore]]),"",[1]!ScoutingData[[#This Row],[autoAmpScore]])</f>
        <v>0</v>
      </c>
      <c r="H172">
        <f>IF(ISBLANK([1]!ScoutingData[[#This Row],[autoSpeakerScore]]),"",[1]!ScoutingData[[#This Row],[autoSpeakerScore]])</f>
        <v>1</v>
      </c>
    </row>
    <row r="173" spans="1:8" x14ac:dyDescent="0.45">
      <c r="A173">
        <f>IF(ISBLANK([1]!ScoutingData[[#This Row],[teamNumber]]),"",[1]!ScoutingData[[#This Row],[teamNumber]])</f>
        <v>4238</v>
      </c>
      <c r="B173" t="str">
        <f>IF(ISBLANK([1]!ScoutingData[[#This Row],[matchLevel]]),"",[1]!ScoutingData[[#This Row],[matchLevel]])</f>
        <v>p</v>
      </c>
      <c r="C173">
        <f>IF(ISBLANK([1]!ScoutingData[[#This Row],[matchNumber]]),"",[1]!ScoutingData[[#This Row],[matchNumber]])</f>
        <v>20</v>
      </c>
      <c r="D173" t="str">
        <f>IF(ISBLANK([1]!ScoutingData[[#This Row],[event]]),"",[1]!ScoutingData[[#This Row],[event]])</f>
        <v>2024ndgf</v>
      </c>
      <c r="E173" t="str">
        <f>IF(ISBLANK([1]!ScoutingData[[#This Row],[position]]),"",[1]!ScoutingData[[#This Row],[position]])</f>
        <v>[7]</v>
      </c>
      <c r="F173">
        <f>IF(ISBLANK([1]!ScoutingData[[#This Row],[leaveStartingZone]]),"",[1]!ScoutingData[[#This Row],[leaveStartingZone]])</f>
        <v>0</v>
      </c>
      <c r="G173">
        <f>IF(ISBLANK([1]!ScoutingData[[#This Row],[autoAmpScore]]),"",[1]!ScoutingData[[#This Row],[autoAmpScore]])</f>
        <v>0</v>
      </c>
      <c r="H173">
        <f>IF(ISBLANK([1]!ScoutingData[[#This Row],[autoSpeakerScore]]),"",[1]!ScoutingData[[#This Row],[autoSpeakerScore]])</f>
        <v>0</v>
      </c>
    </row>
    <row r="174" spans="1:8" x14ac:dyDescent="0.45">
      <c r="A174">
        <f>IF(ISBLANK([1]!ScoutingData[[#This Row],[teamNumber]]),"",[1]!ScoutingData[[#This Row],[teamNumber]])</f>
        <v>4238</v>
      </c>
      <c r="B174" t="str">
        <f>IF(ISBLANK([1]!ScoutingData[[#This Row],[matchLevel]]),"",[1]!ScoutingData[[#This Row],[matchLevel]])</f>
        <v>qm</v>
      </c>
      <c r="C174">
        <f>IF(ISBLANK([1]!ScoutingData[[#This Row],[matchNumber]]),"",[1]!ScoutingData[[#This Row],[matchNumber]])</f>
        <v>2</v>
      </c>
      <c r="D174" t="str">
        <f>IF(ISBLANK([1]!ScoutingData[[#This Row],[event]]),"",[1]!ScoutingData[[#This Row],[event]])</f>
        <v>2024ndgf</v>
      </c>
      <c r="E174" t="str">
        <f>IF(ISBLANK([1]!ScoutingData[[#This Row],[position]]),"",[1]!ScoutingData[[#This Row],[position]])</f>
        <v>[3]</v>
      </c>
      <c r="F174">
        <f>IF(ISBLANK([1]!ScoutingData[[#This Row],[leaveStartingZone]]),"",[1]!ScoutingData[[#This Row],[leaveStartingZone]])</f>
        <v>0</v>
      </c>
      <c r="G174">
        <f>IF(ISBLANK([1]!ScoutingData[[#This Row],[autoAmpScore]]),"",[1]!ScoutingData[[#This Row],[autoAmpScore]])</f>
        <v>0</v>
      </c>
      <c r="H174">
        <f>IF(ISBLANK([1]!ScoutingData[[#This Row],[autoSpeakerScore]]),"",[1]!ScoutingData[[#This Row],[autoSpeakerScore]])</f>
        <v>0</v>
      </c>
    </row>
    <row r="175" spans="1:8" x14ac:dyDescent="0.45">
      <c r="A175">
        <f>IF(ISBLANK([1]!ScoutingData[[#This Row],[teamNumber]]),"",[1]!ScoutingData[[#This Row],[teamNumber]])</f>
        <v>4238</v>
      </c>
      <c r="B175" t="str">
        <f>IF(ISBLANK([1]!ScoutingData[[#This Row],[matchLevel]]),"",[1]!ScoutingData[[#This Row],[matchLevel]])</f>
        <v>qm</v>
      </c>
      <c r="C175">
        <f>IF(ISBLANK([1]!ScoutingData[[#This Row],[matchNumber]]),"",[1]!ScoutingData[[#This Row],[matchNumber]])</f>
        <v>56</v>
      </c>
      <c r="D175" t="str">
        <f>IF(ISBLANK([1]!ScoutingData[[#This Row],[event]]),"",[1]!ScoutingData[[#This Row],[event]])</f>
        <v>2024ndgf</v>
      </c>
      <c r="E175" t="str">
        <f>IF(ISBLANK([1]!ScoutingData[[#This Row],[position]]),"",[1]!ScoutingData[[#This Row],[position]])</f>
        <v>[8]</v>
      </c>
      <c r="F175">
        <f>IF(ISBLANK([1]!ScoutingData[[#This Row],[leaveStartingZone]]),"",[1]!ScoutingData[[#This Row],[leaveStartingZone]])</f>
        <v>1</v>
      </c>
      <c r="G175">
        <f>IF(ISBLANK([1]!ScoutingData[[#This Row],[autoAmpScore]]),"",[1]!ScoutingData[[#This Row],[autoAmpScore]])</f>
        <v>0</v>
      </c>
      <c r="H175">
        <f>IF(ISBLANK([1]!ScoutingData[[#This Row],[autoSpeakerScore]]),"",[1]!ScoutingData[[#This Row],[autoSpeakerScore]])</f>
        <v>1</v>
      </c>
    </row>
    <row r="176" spans="1:8" x14ac:dyDescent="0.45">
      <c r="A176">
        <f>IF(ISBLANK([1]!ScoutingData[[#This Row],[teamNumber]]),"",[1]!ScoutingData[[#This Row],[teamNumber]])</f>
        <v>4238</v>
      </c>
      <c r="B176" t="str">
        <f>IF(ISBLANK([1]!ScoutingData[[#This Row],[matchLevel]]),"",[1]!ScoutingData[[#This Row],[matchLevel]])</f>
        <v>qm</v>
      </c>
      <c r="C176">
        <f>IF(ISBLANK([1]!ScoutingData[[#This Row],[matchNumber]]),"",[1]!ScoutingData[[#This Row],[matchNumber]])</f>
        <v>39</v>
      </c>
      <c r="D176" t="str">
        <f>IF(ISBLANK([1]!ScoutingData[[#This Row],[event]]),"",[1]!ScoutingData[[#This Row],[event]])</f>
        <v>2024ndgf</v>
      </c>
      <c r="E176" t="str">
        <f>IF(ISBLANK([1]!ScoutingData[[#This Row],[position]]),"",[1]!ScoutingData[[#This Row],[position]])</f>
        <v>[7]</v>
      </c>
      <c r="F176">
        <f>IF(ISBLANK([1]!ScoutingData[[#This Row],[leaveStartingZone]]),"",[1]!ScoutingData[[#This Row],[leaveStartingZone]])</f>
        <v>1</v>
      </c>
      <c r="G176">
        <f>IF(ISBLANK([1]!ScoutingData[[#This Row],[autoAmpScore]]),"",[1]!ScoutingData[[#This Row],[autoAmpScore]])</f>
        <v>0</v>
      </c>
      <c r="H176">
        <f>IF(ISBLANK([1]!ScoutingData[[#This Row],[autoSpeakerScore]]),"",[1]!ScoutingData[[#This Row],[autoSpeakerScore]])</f>
        <v>1</v>
      </c>
    </row>
    <row r="177" spans="1:8" x14ac:dyDescent="0.45">
      <c r="A177">
        <f>IF(ISBLANK([1]!ScoutingData[[#This Row],[teamNumber]]),"",[1]!ScoutingData[[#This Row],[teamNumber]])</f>
        <v>4239</v>
      </c>
      <c r="B177" t="str">
        <f>IF(ISBLANK([1]!ScoutingData[[#This Row],[matchLevel]]),"",[1]!ScoutingData[[#This Row],[matchLevel]])</f>
        <v>p</v>
      </c>
      <c r="C177">
        <f>IF(ISBLANK([1]!ScoutingData[[#This Row],[matchNumber]]),"",[1]!ScoutingData[[#This Row],[matchNumber]])</f>
        <v>5</v>
      </c>
      <c r="D177" t="str">
        <f>IF(ISBLANK([1]!ScoutingData[[#This Row],[event]]),"",[1]!ScoutingData[[#This Row],[event]])</f>
        <v>2024ndgf</v>
      </c>
      <c r="E177" t="str">
        <f>IF(ISBLANK([1]!ScoutingData[[#This Row],[position]]),"",[1]!ScoutingData[[#This Row],[position]])</f>
        <v>[4]</v>
      </c>
      <c r="F177">
        <f>IF(ISBLANK([1]!ScoutingData[[#This Row],[leaveStartingZone]]),"",[1]!ScoutingData[[#This Row],[leaveStartingZone]])</f>
        <v>0</v>
      </c>
      <c r="G177">
        <f>IF(ISBLANK([1]!ScoutingData[[#This Row],[autoAmpScore]]),"",[1]!ScoutingData[[#This Row],[autoAmpScore]])</f>
        <v>0</v>
      </c>
      <c r="H177">
        <f>IF(ISBLANK([1]!ScoutingData[[#This Row],[autoSpeakerScore]]),"",[1]!ScoutingData[[#This Row],[autoSpeakerScore]])</f>
        <v>0</v>
      </c>
    </row>
    <row r="178" spans="1:8" x14ac:dyDescent="0.45">
      <c r="A178">
        <f>IF(ISBLANK([1]!ScoutingData[[#This Row],[teamNumber]]),"",[1]!ScoutingData[[#This Row],[teamNumber]])</f>
        <v>4239</v>
      </c>
      <c r="B178" t="str">
        <f>IF(ISBLANK([1]!ScoutingData[[#This Row],[matchLevel]]),"",[1]!ScoutingData[[#This Row],[matchLevel]])</f>
        <v>p</v>
      </c>
      <c r="C178">
        <f>IF(ISBLANK([1]!ScoutingData[[#This Row],[matchNumber]]),"",[1]!ScoutingData[[#This Row],[matchNumber]])</f>
        <v>16</v>
      </c>
      <c r="D178" t="str">
        <f>IF(ISBLANK([1]!ScoutingData[[#This Row],[event]]),"",[1]!ScoutingData[[#This Row],[event]])</f>
        <v>2024ndgf</v>
      </c>
      <c r="E178" t="str">
        <f>IF(ISBLANK([1]!ScoutingData[[#This Row],[position]]),"",[1]!ScoutingData[[#This Row],[position]])</f>
        <v>[7]</v>
      </c>
      <c r="F178">
        <f>IF(ISBLANK([1]!ScoutingData[[#This Row],[leaveStartingZone]]),"",[1]!ScoutingData[[#This Row],[leaveStartingZone]])</f>
        <v>0</v>
      </c>
      <c r="G178">
        <f>IF(ISBLANK([1]!ScoutingData[[#This Row],[autoAmpScore]]),"",[1]!ScoutingData[[#This Row],[autoAmpScore]])</f>
        <v>0</v>
      </c>
      <c r="H178">
        <f>IF(ISBLANK([1]!ScoutingData[[#This Row],[autoSpeakerScore]]),"",[1]!ScoutingData[[#This Row],[autoSpeakerScore]])</f>
        <v>1</v>
      </c>
    </row>
    <row r="179" spans="1:8" x14ac:dyDescent="0.45">
      <c r="A179">
        <f>IF(ISBLANK([1]!ScoutingData[[#This Row],[teamNumber]]),"",[1]!ScoutingData[[#This Row],[teamNumber]])</f>
        <v>4239</v>
      </c>
      <c r="B179" t="str">
        <f>IF(ISBLANK([1]!ScoutingData[[#This Row],[matchLevel]]),"",[1]!ScoutingData[[#This Row],[matchLevel]])</f>
        <v>p</v>
      </c>
      <c r="C179">
        <f>IF(ISBLANK([1]!ScoutingData[[#This Row],[matchNumber]]),"",[1]!ScoutingData[[#This Row],[matchNumber]])</f>
        <v>15</v>
      </c>
      <c r="D179" t="str">
        <f>IF(ISBLANK([1]!ScoutingData[[#This Row],[event]]),"",[1]!ScoutingData[[#This Row],[event]])</f>
        <v>2024ndgf</v>
      </c>
      <c r="E179" t="str">
        <f>IF(ISBLANK([1]!ScoutingData[[#This Row],[position]]),"",[1]!ScoutingData[[#This Row],[position]])</f>
        <v>[5]</v>
      </c>
      <c r="F179">
        <f>IF(ISBLANK([1]!ScoutingData[[#This Row],[leaveStartingZone]]),"",[1]!ScoutingData[[#This Row],[leaveStartingZone]])</f>
        <v>0</v>
      </c>
      <c r="G179">
        <f>IF(ISBLANK([1]!ScoutingData[[#This Row],[autoAmpScore]]),"",[1]!ScoutingData[[#This Row],[autoAmpScore]])</f>
        <v>0</v>
      </c>
      <c r="H179">
        <f>IF(ISBLANK([1]!ScoutingData[[#This Row],[autoSpeakerScore]]),"",[1]!ScoutingData[[#This Row],[autoSpeakerScore]])</f>
        <v>0</v>
      </c>
    </row>
    <row r="180" spans="1:8" x14ac:dyDescent="0.45">
      <c r="A180">
        <f>IF(ISBLANK([1]!ScoutingData[[#This Row],[teamNumber]]),"",[1]!ScoutingData[[#This Row],[teamNumber]])</f>
        <v>4239</v>
      </c>
      <c r="B180" t="str">
        <f>IF(ISBLANK([1]!ScoutingData[[#This Row],[matchLevel]]),"",[1]!ScoutingData[[#This Row],[matchLevel]])</f>
        <v>qm</v>
      </c>
      <c r="C180">
        <f>IF(ISBLANK([1]!ScoutingData[[#This Row],[matchNumber]]),"",[1]!ScoutingData[[#This Row],[matchNumber]])</f>
        <v>7</v>
      </c>
      <c r="D180" t="str">
        <f>IF(ISBLANK([1]!ScoutingData[[#This Row],[event]]),"",[1]!ScoutingData[[#This Row],[event]])</f>
        <v>2024ndgf</v>
      </c>
      <c r="E180" t="str">
        <f>IF(ISBLANK([1]!ScoutingData[[#This Row],[position]]),"",[1]!ScoutingData[[#This Row],[position]])</f>
        <v>[9]</v>
      </c>
      <c r="F180">
        <f>IF(ISBLANK([1]!ScoutingData[[#This Row],[leaveStartingZone]]),"",[1]!ScoutingData[[#This Row],[leaveStartingZone]])</f>
        <v>1</v>
      </c>
      <c r="G180">
        <f>IF(ISBLANK([1]!ScoutingData[[#This Row],[autoAmpScore]]),"",[1]!ScoutingData[[#This Row],[autoAmpScore]])</f>
        <v>0</v>
      </c>
      <c r="H180">
        <f>IF(ISBLANK([1]!ScoutingData[[#This Row],[autoSpeakerScore]]),"",[1]!ScoutingData[[#This Row],[autoSpeakerScore]])</f>
        <v>2</v>
      </c>
    </row>
    <row r="181" spans="1:8" x14ac:dyDescent="0.45">
      <c r="A181">
        <f>IF(ISBLANK([1]!ScoutingData[[#This Row],[teamNumber]]),"",[1]!ScoutingData[[#This Row],[teamNumber]])</f>
        <v>4239</v>
      </c>
      <c r="B181" t="str">
        <f>IF(ISBLANK([1]!ScoutingData[[#This Row],[matchLevel]]),"",[1]!ScoutingData[[#This Row],[matchLevel]])</f>
        <v>qm</v>
      </c>
      <c r="C181">
        <f>IF(ISBLANK([1]!ScoutingData[[#This Row],[matchNumber]]),"",[1]!ScoutingData[[#This Row],[matchNumber]])</f>
        <v>29</v>
      </c>
      <c r="D181" t="str">
        <f>IF(ISBLANK([1]!ScoutingData[[#This Row],[event]]),"",[1]!ScoutingData[[#This Row],[event]])</f>
        <v>2024ndgf</v>
      </c>
      <c r="E181" t="str">
        <f>IF(ISBLANK([1]!ScoutingData[[#This Row],[position]]),"",[1]!ScoutingData[[#This Row],[position]])</f>
        <v>[9]</v>
      </c>
      <c r="F181">
        <f>IF(ISBLANK([1]!ScoutingData[[#This Row],[leaveStartingZone]]),"",[1]!ScoutingData[[#This Row],[leaveStartingZone]])</f>
        <v>1</v>
      </c>
      <c r="G181">
        <f>IF(ISBLANK([1]!ScoutingData[[#This Row],[autoAmpScore]]),"",[1]!ScoutingData[[#This Row],[autoAmpScore]])</f>
        <v>0</v>
      </c>
      <c r="H181">
        <f>IF(ISBLANK([1]!ScoutingData[[#This Row],[autoSpeakerScore]]),"",[1]!ScoutingData[[#This Row],[autoSpeakerScore]])</f>
        <v>3</v>
      </c>
    </row>
    <row r="182" spans="1:8" x14ac:dyDescent="0.45">
      <c r="A182">
        <f>IF(ISBLANK([1]!ScoutingData[[#This Row],[teamNumber]]),"",[1]!ScoutingData[[#This Row],[teamNumber]])</f>
        <v>4239</v>
      </c>
      <c r="B182" t="str">
        <f>IF(ISBLANK([1]!ScoutingData[[#This Row],[matchLevel]]),"",[1]!ScoutingData[[#This Row],[matchLevel]])</f>
        <v>qm</v>
      </c>
      <c r="C182">
        <f>IF(ISBLANK([1]!ScoutingData[[#This Row],[matchNumber]]),"",[1]!ScoutingData[[#This Row],[matchNumber]])</f>
        <v>43</v>
      </c>
      <c r="D182" t="str">
        <f>IF(ISBLANK([1]!ScoutingData[[#This Row],[event]]),"",[1]!ScoutingData[[#This Row],[event]])</f>
        <v>2024ndgf</v>
      </c>
      <c r="E182" t="str">
        <f>IF(ISBLANK([1]!ScoutingData[[#This Row],[position]]),"",[1]!ScoutingData[[#This Row],[position]])</f>
        <v>[9]</v>
      </c>
      <c r="F182">
        <f>IF(ISBLANK([1]!ScoutingData[[#This Row],[leaveStartingZone]]),"",[1]!ScoutingData[[#This Row],[leaveStartingZone]])</f>
        <v>0</v>
      </c>
      <c r="G182">
        <f>IF(ISBLANK([1]!ScoutingData[[#This Row],[autoAmpScore]]),"",[1]!ScoutingData[[#This Row],[autoAmpScore]])</f>
        <v>0</v>
      </c>
      <c r="H182">
        <f>IF(ISBLANK([1]!ScoutingData[[#This Row],[autoSpeakerScore]]),"",[1]!ScoutingData[[#This Row],[autoSpeakerScore]])</f>
        <v>2</v>
      </c>
    </row>
    <row r="183" spans="1:8" x14ac:dyDescent="0.45">
      <c r="A183">
        <f>IF(ISBLANK([1]!ScoutingData[[#This Row],[teamNumber]]),"",[1]!ScoutingData[[#This Row],[teamNumber]])</f>
        <v>4239</v>
      </c>
      <c r="B183" t="str">
        <f>IF(ISBLANK([1]!ScoutingData[[#This Row],[matchLevel]]),"",[1]!ScoutingData[[#This Row],[matchLevel]])</f>
        <v>qm</v>
      </c>
      <c r="C183">
        <f>IF(ISBLANK([1]!ScoutingData[[#This Row],[matchNumber]]),"",[1]!ScoutingData[[#This Row],[matchNumber]])</f>
        <v>49</v>
      </c>
      <c r="D183" t="str">
        <f>IF(ISBLANK([1]!ScoutingData[[#This Row],[event]]),"",[1]!ScoutingData[[#This Row],[event]])</f>
        <v>2024ndgf</v>
      </c>
      <c r="E183" t="str">
        <f>IF(ISBLANK([1]!ScoutingData[[#This Row],[position]]),"",[1]!ScoutingData[[#This Row],[position]])</f>
        <v>[21]</v>
      </c>
      <c r="F183">
        <f>IF(ISBLANK([1]!ScoutingData[[#This Row],[leaveStartingZone]]),"",[1]!ScoutingData[[#This Row],[leaveStartingZone]])</f>
        <v>1</v>
      </c>
      <c r="G183">
        <f>IF(ISBLANK([1]!ScoutingData[[#This Row],[autoAmpScore]]),"",[1]!ScoutingData[[#This Row],[autoAmpScore]])</f>
        <v>0</v>
      </c>
      <c r="H183">
        <f>IF(ISBLANK([1]!ScoutingData[[#This Row],[autoSpeakerScore]]),"",[1]!ScoutingData[[#This Row],[autoSpeakerScore]])</f>
        <v>1</v>
      </c>
    </row>
    <row r="184" spans="1:8" x14ac:dyDescent="0.45">
      <c r="A184">
        <f>IF(ISBLANK([1]!ScoutingData[[#This Row],[teamNumber]]),"",[1]!ScoutingData[[#This Row],[teamNumber]])</f>
        <v>4360</v>
      </c>
      <c r="B184" t="str">
        <f>IF(ISBLANK([1]!ScoutingData[[#This Row],[matchLevel]]),"",[1]!ScoutingData[[#This Row],[matchLevel]])</f>
        <v>p</v>
      </c>
      <c r="C184">
        <f>IF(ISBLANK([1]!ScoutingData[[#This Row],[matchNumber]]),"",[1]!ScoutingData[[#This Row],[matchNumber]])</f>
        <v>26</v>
      </c>
      <c r="D184" t="str">
        <f>IF(ISBLANK([1]!ScoutingData[[#This Row],[event]]),"",[1]!ScoutingData[[#This Row],[event]])</f>
        <v>2024ndgf</v>
      </c>
      <c r="E184" t="str">
        <f>IF(ISBLANK([1]!ScoutingData[[#This Row],[position]]),"",[1]!ScoutingData[[#This Row],[position]])</f>
        <v>[5]</v>
      </c>
      <c r="F184">
        <f>IF(ISBLANK([1]!ScoutingData[[#This Row],[leaveStartingZone]]),"",[1]!ScoutingData[[#This Row],[leaveStartingZone]])</f>
        <v>0</v>
      </c>
      <c r="G184">
        <f>IF(ISBLANK([1]!ScoutingData[[#This Row],[autoAmpScore]]),"",[1]!ScoutingData[[#This Row],[autoAmpScore]])</f>
        <v>0</v>
      </c>
      <c r="H184">
        <f>IF(ISBLANK([1]!ScoutingData[[#This Row],[autoSpeakerScore]]),"",[1]!ScoutingData[[#This Row],[autoSpeakerScore]])</f>
        <v>0</v>
      </c>
    </row>
    <row r="185" spans="1:8" x14ac:dyDescent="0.45">
      <c r="A185">
        <f>IF(ISBLANK([1]!ScoutingData[[#This Row],[teamNumber]]),"",[1]!ScoutingData[[#This Row],[teamNumber]])</f>
        <v>4360</v>
      </c>
      <c r="B185" t="str">
        <f>IF(ISBLANK([1]!ScoutingData[[#This Row],[matchLevel]]),"",[1]!ScoutingData[[#This Row],[matchLevel]])</f>
        <v>p</v>
      </c>
      <c r="C185">
        <f>IF(ISBLANK([1]!ScoutingData[[#This Row],[matchNumber]]),"",[1]!ScoutingData[[#This Row],[matchNumber]])</f>
        <v>18</v>
      </c>
      <c r="D185" t="str">
        <f>IF(ISBLANK([1]!ScoutingData[[#This Row],[event]]),"",[1]!ScoutingData[[#This Row],[event]])</f>
        <v>2024ndgf</v>
      </c>
      <c r="E185" t="str">
        <f>IF(ISBLANK([1]!ScoutingData[[#This Row],[position]]),"",[1]!ScoutingData[[#This Row],[position]])</f>
        <v>[7]</v>
      </c>
      <c r="F185">
        <f>IF(ISBLANK([1]!ScoutingData[[#This Row],[leaveStartingZone]]),"",[1]!ScoutingData[[#This Row],[leaveStartingZone]])</f>
        <v>0</v>
      </c>
      <c r="G185">
        <f>IF(ISBLANK([1]!ScoutingData[[#This Row],[autoAmpScore]]),"",[1]!ScoutingData[[#This Row],[autoAmpScore]])</f>
        <v>0</v>
      </c>
      <c r="H185">
        <f>IF(ISBLANK([1]!ScoutingData[[#This Row],[autoSpeakerScore]]),"",[1]!ScoutingData[[#This Row],[autoSpeakerScore]])</f>
        <v>0</v>
      </c>
    </row>
    <row r="186" spans="1:8" x14ac:dyDescent="0.45">
      <c r="A186">
        <f>IF(ISBLANK([1]!ScoutingData[[#This Row],[teamNumber]]),"",[1]!ScoutingData[[#This Row],[teamNumber]])</f>
        <v>4360</v>
      </c>
      <c r="B186" t="str">
        <f>IF(ISBLANK([1]!ScoutingData[[#This Row],[matchLevel]]),"",[1]!ScoutingData[[#This Row],[matchLevel]])</f>
        <v>qm</v>
      </c>
      <c r="C186">
        <f>IF(ISBLANK([1]!ScoutingData[[#This Row],[matchNumber]]),"",[1]!ScoutingData[[#This Row],[matchNumber]])</f>
        <v>31</v>
      </c>
      <c r="D186" t="str">
        <f>IF(ISBLANK([1]!ScoutingData[[#This Row],[event]]),"",[1]!ScoutingData[[#This Row],[event]])</f>
        <v>2024ndgf</v>
      </c>
      <c r="E186" t="str">
        <f>IF(ISBLANK([1]!ScoutingData[[#This Row],[position]]),"",[1]!ScoutingData[[#This Row],[position]])</f>
        <v>[3]</v>
      </c>
      <c r="F186">
        <f>IF(ISBLANK([1]!ScoutingData[[#This Row],[leaveStartingZone]]),"",[1]!ScoutingData[[#This Row],[leaveStartingZone]])</f>
        <v>0</v>
      </c>
      <c r="G186">
        <f>IF(ISBLANK([1]!ScoutingData[[#This Row],[autoAmpScore]]),"",[1]!ScoutingData[[#This Row],[autoAmpScore]])</f>
        <v>0</v>
      </c>
      <c r="H186">
        <f>IF(ISBLANK([1]!ScoutingData[[#This Row],[autoSpeakerScore]]),"",[1]!ScoutingData[[#This Row],[autoSpeakerScore]])</f>
        <v>0</v>
      </c>
    </row>
    <row r="187" spans="1:8" x14ac:dyDescent="0.45">
      <c r="A187">
        <f>IF(ISBLANK([1]!ScoutingData[[#This Row],[teamNumber]]),"",[1]!ScoutingData[[#This Row],[teamNumber]])</f>
        <v>4360</v>
      </c>
      <c r="B187" t="str">
        <f>IF(ISBLANK([1]!ScoutingData[[#This Row],[matchLevel]]),"",[1]!ScoutingData[[#This Row],[matchLevel]])</f>
        <v>qm</v>
      </c>
      <c r="C187">
        <f>IF(ISBLANK([1]!ScoutingData[[#This Row],[matchNumber]]),"",[1]!ScoutingData[[#This Row],[matchNumber]])</f>
        <v>53</v>
      </c>
      <c r="D187" t="str">
        <f>IF(ISBLANK([1]!ScoutingData[[#This Row],[event]]),"",[1]!ScoutingData[[#This Row],[event]])</f>
        <v>2024ndgf</v>
      </c>
      <c r="E187" t="str">
        <f>IF(ISBLANK([1]!ScoutingData[[#This Row],[position]]),"",[1]!ScoutingData[[#This Row],[position]])</f>
        <v>[21]</v>
      </c>
      <c r="F187">
        <f>IF(ISBLANK([1]!ScoutingData[[#This Row],[leaveStartingZone]]),"",[1]!ScoutingData[[#This Row],[leaveStartingZone]])</f>
        <v>0</v>
      </c>
      <c r="G187">
        <f>IF(ISBLANK([1]!ScoutingData[[#This Row],[autoAmpScore]]),"",[1]!ScoutingData[[#This Row],[autoAmpScore]])</f>
        <v>0</v>
      </c>
      <c r="H187">
        <f>IF(ISBLANK([1]!ScoutingData[[#This Row],[autoSpeakerScore]]),"",[1]!ScoutingData[[#This Row],[autoSpeakerScore]])</f>
        <v>0</v>
      </c>
    </row>
    <row r="188" spans="1:8" x14ac:dyDescent="0.45">
      <c r="A188">
        <f>IF(ISBLANK([1]!ScoutingData[[#This Row],[teamNumber]]),"",[1]!ScoutingData[[#This Row],[teamNumber]])</f>
        <v>4360</v>
      </c>
      <c r="B188" t="str">
        <f>IF(ISBLANK([1]!ScoutingData[[#This Row],[matchLevel]]),"",[1]!ScoutingData[[#This Row],[matchLevel]])</f>
        <v>qm</v>
      </c>
      <c r="C188">
        <f>IF(ISBLANK([1]!ScoutingData[[#This Row],[matchNumber]]),"",[1]!ScoutingData[[#This Row],[matchNumber]])</f>
        <v>39</v>
      </c>
      <c r="D188" t="str">
        <f>IF(ISBLANK([1]!ScoutingData[[#This Row],[event]]),"",[1]!ScoutingData[[#This Row],[event]])</f>
        <v>2024ndgf</v>
      </c>
      <c r="E188" t="str">
        <f>IF(ISBLANK([1]!ScoutingData[[#This Row],[position]]),"",[1]!ScoutingData[[#This Row],[position]])</f>
        <v>[11]</v>
      </c>
      <c r="F188">
        <f>IF(ISBLANK([1]!ScoutingData[[#This Row],[leaveStartingZone]]),"",[1]!ScoutingData[[#This Row],[leaveStartingZone]])</f>
        <v>0</v>
      </c>
      <c r="G188">
        <f>IF(ISBLANK([1]!ScoutingData[[#This Row],[autoAmpScore]]),"",[1]!ScoutingData[[#This Row],[autoAmpScore]])</f>
        <v>0</v>
      </c>
      <c r="H188">
        <f>IF(ISBLANK([1]!ScoutingData[[#This Row],[autoSpeakerScore]]),"",[1]!ScoutingData[[#This Row],[autoSpeakerScore]])</f>
        <v>0</v>
      </c>
    </row>
    <row r="189" spans="1:8" x14ac:dyDescent="0.45">
      <c r="A189">
        <f>IF(ISBLANK([1]!ScoutingData[[#This Row],[teamNumber]]),"",[1]!ScoutingData[[#This Row],[teamNumber]])</f>
        <v>4536</v>
      </c>
      <c r="B189" t="str">
        <f>IF(ISBLANK([1]!ScoutingData[[#This Row],[matchLevel]]),"",[1]!ScoutingData[[#This Row],[matchLevel]])</f>
        <v>p</v>
      </c>
      <c r="C189">
        <f>IF(ISBLANK([1]!ScoutingData[[#This Row],[matchNumber]]),"",[1]!ScoutingData[[#This Row],[matchNumber]])</f>
        <v>17</v>
      </c>
      <c r="D189" t="str">
        <f>IF(ISBLANK([1]!ScoutingData[[#This Row],[event]]),"",[1]!ScoutingData[[#This Row],[event]])</f>
        <v>2024ndgf</v>
      </c>
      <c r="E189" t="str">
        <f>IF(ISBLANK([1]!ScoutingData[[#This Row],[position]]),"",[1]!ScoutingData[[#This Row],[position]])</f>
        <v>[7]</v>
      </c>
      <c r="F189">
        <f>IF(ISBLANK([1]!ScoutingData[[#This Row],[leaveStartingZone]]),"",[1]!ScoutingData[[#This Row],[leaveStartingZone]])</f>
        <v>0</v>
      </c>
      <c r="G189">
        <f>IF(ISBLANK([1]!ScoutingData[[#This Row],[autoAmpScore]]),"",[1]!ScoutingData[[#This Row],[autoAmpScore]])</f>
        <v>0</v>
      </c>
      <c r="H189">
        <f>IF(ISBLANK([1]!ScoutingData[[#This Row],[autoSpeakerScore]]),"",[1]!ScoutingData[[#This Row],[autoSpeakerScore]])</f>
        <v>0</v>
      </c>
    </row>
    <row r="190" spans="1:8" x14ac:dyDescent="0.45">
      <c r="A190">
        <f>IF(ISBLANK([1]!ScoutingData[[#This Row],[teamNumber]]),"",[1]!ScoutingData[[#This Row],[teamNumber]])</f>
        <v>4536</v>
      </c>
      <c r="B190" t="str">
        <f>IF(ISBLANK([1]!ScoutingData[[#This Row],[matchLevel]]),"",[1]!ScoutingData[[#This Row],[matchLevel]])</f>
        <v>qm</v>
      </c>
      <c r="C190">
        <f>IF(ISBLANK([1]!ScoutingData[[#This Row],[matchNumber]]),"",[1]!ScoutingData[[#This Row],[matchNumber]])</f>
        <v>33</v>
      </c>
      <c r="D190" t="str">
        <f>IF(ISBLANK([1]!ScoutingData[[#This Row],[event]]),"",[1]!ScoutingData[[#This Row],[event]])</f>
        <v>2024ndgf</v>
      </c>
      <c r="E190" t="str">
        <f>IF(ISBLANK([1]!ScoutingData[[#This Row],[position]]),"",[1]!ScoutingData[[#This Row],[position]])</f>
        <v>[11]</v>
      </c>
      <c r="F190">
        <f>IF(ISBLANK([1]!ScoutingData[[#This Row],[leaveStartingZone]]),"",[1]!ScoutingData[[#This Row],[leaveStartingZone]])</f>
        <v>0</v>
      </c>
      <c r="G190">
        <f>IF(ISBLANK([1]!ScoutingData[[#This Row],[autoAmpScore]]),"",[1]!ScoutingData[[#This Row],[autoAmpScore]])</f>
        <v>0</v>
      </c>
      <c r="H190">
        <f>IF(ISBLANK([1]!ScoutingData[[#This Row],[autoSpeakerScore]]),"",[1]!ScoutingData[[#This Row],[autoSpeakerScore]])</f>
        <v>0</v>
      </c>
    </row>
    <row r="191" spans="1:8" x14ac:dyDescent="0.45">
      <c r="A191">
        <f>IF(ISBLANK([1]!ScoutingData[[#This Row],[teamNumber]]),"",[1]!ScoutingData[[#This Row],[teamNumber]])</f>
        <v>4536</v>
      </c>
      <c r="B191" t="str">
        <f>IF(ISBLANK([1]!ScoutingData[[#This Row],[matchLevel]]),"",[1]!ScoutingData[[#This Row],[matchLevel]])</f>
        <v>qm</v>
      </c>
      <c r="C191">
        <f>IF(ISBLANK([1]!ScoutingData[[#This Row],[matchNumber]]),"",[1]!ScoutingData[[#This Row],[matchNumber]])</f>
        <v>23</v>
      </c>
      <c r="D191" t="str">
        <f>IF(ISBLANK([1]!ScoutingData[[#This Row],[event]]),"",[1]!ScoutingData[[#This Row],[event]])</f>
        <v>2024ndgf</v>
      </c>
      <c r="E191" t="str">
        <f>IF(ISBLANK([1]!ScoutingData[[#This Row],[position]]),"",[1]!ScoutingData[[#This Row],[position]])</f>
        <v>[6]</v>
      </c>
      <c r="F191">
        <f>IF(ISBLANK([1]!ScoutingData[[#This Row],[leaveStartingZone]]),"",[1]!ScoutingData[[#This Row],[leaveStartingZone]])</f>
        <v>0</v>
      </c>
      <c r="G191">
        <f>IF(ISBLANK([1]!ScoutingData[[#This Row],[autoAmpScore]]),"",[1]!ScoutingData[[#This Row],[autoAmpScore]])</f>
        <v>0</v>
      </c>
      <c r="H191">
        <f>IF(ISBLANK([1]!ScoutingData[[#This Row],[autoSpeakerScore]]),"",[1]!ScoutingData[[#This Row],[autoSpeakerScore]])</f>
        <v>1</v>
      </c>
    </row>
    <row r="192" spans="1:8" x14ac:dyDescent="0.45">
      <c r="A192">
        <f>IF(ISBLANK([1]!ScoutingData[[#This Row],[teamNumber]]),"",[1]!ScoutingData[[#This Row],[teamNumber]])</f>
        <v>4536</v>
      </c>
      <c r="B192" t="str">
        <f>IF(ISBLANK([1]!ScoutingData[[#This Row],[matchLevel]]),"",[1]!ScoutingData[[#This Row],[matchLevel]])</f>
        <v>qm</v>
      </c>
      <c r="C192">
        <f>IF(ISBLANK([1]!ScoutingData[[#This Row],[matchNumber]]),"",[1]!ScoutingData[[#This Row],[matchNumber]])</f>
        <v>2</v>
      </c>
      <c r="D192" t="str">
        <f>IF(ISBLANK([1]!ScoutingData[[#This Row],[event]]),"",[1]!ScoutingData[[#This Row],[event]])</f>
        <v>2024ndgf</v>
      </c>
      <c r="E192" t="str">
        <f>IF(ISBLANK([1]!ScoutingData[[#This Row],[position]]),"",[1]!ScoutingData[[#This Row],[position]])</f>
        <v>[21]</v>
      </c>
      <c r="F192">
        <f>IF(ISBLANK([1]!ScoutingData[[#This Row],[leaveStartingZone]]),"",[1]!ScoutingData[[#This Row],[leaveStartingZone]])</f>
        <v>0</v>
      </c>
      <c r="G192">
        <f>IF(ISBLANK([1]!ScoutingData[[#This Row],[autoAmpScore]]),"",[1]!ScoutingData[[#This Row],[autoAmpScore]])</f>
        <v>0</v>
      </c>
      <c r="H192">
        <f>IF(ISBLANK([1]!ScoutingData[[#This Row],[autoSpeakerScore]]),"",[1]!ScoutingData[[#This Row],[autoSpeakerScore]])</f>
        <v>1</v>
      </c>
    </row>
    <row r="193" spans="1:8" x14ac:dyDescent="0.45">
      <c r="A193">
        <f>IF(ISBLANK([1]!ScoutingData[[#This Row],[teamNumber]]),"",[1]!ScoutingData[[#This Row],[teamNumber]])</f>
        <v>4536</v>
      </c>
      <c r="B193" t="str">
        <f>IF(ISBLANK([1]!ScoutingData[[#This Row],[matchLevel]]),"",[1]!ScoutingData[[#This Row],[matchLevel]])</f>
        <v>qm</v>
      </c>
      <c r="C193">
        <f>IF(ISBLANK([1]!ScoutingData[[#This Row],[matchNumber]]),"",[1]!ScoutingData[[#This Row],[matchNumber]])</f>
        <v>12</v>
      </c>
      <c r="D193" t="str">
        <f>IF(ISBLANK([1]!ScoutingData[[#This Row],[event]]),"",[1]!ScoutingData[[#This Row],[event]])</f>
        <v>2024ndgf</v>
      </c>
      <c r="E193" t="str">
        <f>IF(ISBLANK([1]!ScoutingData[[#This Row],[position]]),"",[1]!ScoutingData[[#This Row],[position]])</f>
        <v>[21]</v>
      </c>
      <c r="F193">
        <f>IF(ISBLANK([1]!ScoutingData[[#This Row],[leaveStartingZone]]),"",[1]!ScoutingData[[#This Row],[leaveStartingZone]])</f>
        <v>0</v>
      </c>
      <c r="G193">
        <f>IF(ISBLANK([1]!ScoutingData[[#This Row],[autoAmpScore]]),"",[1]!ScoutingData[[#This Row],[autoAmpScore]])</f>
        <v>0</v>
      </c>
      <c r="H193">
        <f>IF(ISBLANK([1]!ScoutingData[[#This Row],[autoSpeakerScore]]),"",[1]!ScoutingData[[#This Row],[autoSpeakerScore]])</f>
        <v>0</v>
      </c>
    </row>
    <row r="194" spans="1:8" x14ac:dyDescent="0.45">
      <c r="A194">
        <f>IF(ISBLANK([1]!ScoutingData[[#This Row],[teamNumber]]),"",[1]!ScoutingData[[#This Row],[teamNumber]])</f>
        <v>4536</v>
      </c>
      <c r="B194" t="str">
        <f>IF(ISBLANK([1]!ScoutingData[[#This Row],[matchLevel]]),"",[1]!ScoutingData[[#This Row],[matchLevel]])</f>
        <v>qm</v>
      </c>
      <c r="C194">
        <f>IF(ISBLANK([1]!ScoutingData[[#This Row],[matchNumber]]),"",[1]!ScoutingData[[#This Row],[matchNumber]])</f>
        <v>49</v>
      </c>
      <c r="D194" t="str">
        <f>IF(ISBLANK([1]!ScoutingData[[#This Row],[event]]),"",[1]!ScoutingData[[#This Row],[event]])</f>
        <v>2024ndgf</v>
      </c>
      <c r="E194" t="str">
        <f>IF(ISBLANK([1]!ScoutingData[[#This Row],[position]]),"",[1]!ScoutingData[[#This Row],[position]])</f>
        <v>[7]</v>
      </c>
      <c r="F194">
        <f>IF(ISBLANK([1]!ScoutingData[[#This Row],[leaveStartingZone]]),"",[1]!ScoutingData[[#This Row],[leaveStartingZone]])</f>
        <v>0</v>
      </c>
      <c r="G194">
        <f>IF(ISBLANK([1]!ScoutingData[[#This Row],[autoAmpScore]]),"",[1]!ScoutingData[[#This Row],[autoAmpScore]])</f>
        <v>0</v>
      </c>
      <c r="H194">
        <f>IF(ISBLANK([1]!ScoutingData[[#This Row],[autoSpeakerScore]]),"",[1]!ScoutingData[[#This Row],[autoSpeakerScore]])</f>
        <v>0</v>
      </c>
    </row>
    <row r="195" spans="1:8" x14ac:dyDescent="0.45">
      <c r="A195">
        <f>IF(ISBLANK([1]!ScoutingData[[#This Row],[teamNumber]]),"",[1]!ScoutingData[[#This Row],[teamNumber]])</f>
        <v>4536</v>
      </c>
      <c r="B195" t="str">
        <f>IF(ISBLANK([1]!ScoutingData[[#This Row],[matchLevel]]),"",[1]!ScoutingData[[#This Row],[matchLevel]])</f>
        <v>qm</v>
      </c>
      <c r="C195">
        <f>IF(ISBLANK([1]!ScoutingData[[#This Row],[matchNumber]]),"",[1]!ScoutingData[[#This Row],[matchNumber]])</f>
        <v>42</v>
      </c>
      <c r="D195" t="str">
        <f>IF(ISBLANK([1]!ScoutingData[[#This Row],[event]]),"",[1]!ScoutingData[[#This Row],[event]])</f>
        <v>2024ndgf</v>
      </c>
      <c r="E195" t="str">
        <f>IF(ISBLANK([1]!ScoutingData[[#This Row],[position]]),"",[1]!ScoutingData[[#This Row],[position]])</f>
        <v>[10]</v>
      </c>
      <c r="F195">
        <f>IF(ISBLANK([1]!ScoutingData[[#This Row],[leaveStartingZone]]),"",[1]!ScoutingData[[#This Row],[leaveStartingZone]])</f>
        <v>0</v>
      </c>
      <c r="G195">
        <f>IF(ISBLANK([1]!ScoutingData[[#This Row],[autoAmpScore]]),"",[1]!ScoutingData[[#This Row],[autoAmpScore]])</f>
        <v>0</v>
      </c>
      <c r="H195">
        <f>IF(ISBLANK([1]!ScoutingData[[#This Row],[autoSpeakerScore]]),"",[1]!ScoutingData[[#This Row],[autoSpeakerScore]])</f>
        <v>1</v>
      </c>
    </row>
    <row r="196" spans="1:8" x14ac:dyDescent="0.45">
      <c r="A196">
        <f>IF(ISBLANK([1]!ScoutingData[[#This Row],[teamNumber]]),"",[1]!ScoutingData[[#This Row],[teamNumber]])</f>
        <v>4536</v>
      </c>
      <c r="B196" t="str">
        <f>IF(ISBLANK([1]!ScoutingData[[#This Row],[matchLevel]]),"",[1]!ScoutingData[[#This Row],[matchLevel]])</f>
        <v>qm</v>
      </c>
      <c r="C196">
        <f>IF(ISBLANK([1]!ScoutingData[[#This Row],[matchNumber]]),"",[1]!ScoutingData[[#This Row],[matchNumber]])</f>
        <v>58</v>
      </c>
      <c r="D196" t="str">
        <f>IF(ISBLANK([1]!ScoutingData[[#This Row],[event]]),"",[1]!ScoutingData[[#This Row],[event]])</f>
        <v>2024ndgf</v>
      </c>
      <c r="E196" t="str">
        <f>IF(ISBLANK([1]!ScoutingData[[#This Row],[position]]),"",[1]!ScoutingData[[#This Row],[position]])</f>
        <v>[10]</v>
      </c>
      <c r="F196">
        <f>IF(ISBLANK([1]!ScoutingData[[#This Row],[leaveStartingZone]]),"",[1]!ScoutingData[[#This Row],[leaveStartingZone]])</f>
        <v>1</v>
      </c>
      <c r="G196">
        <f>IF(ISBLANK([1]!ScoutingData[[#This Row],[autoAmpScore]]),"",[1]!ScoutingData[[#This Row],[autoAmpScore]])</f>
        <v>2</v>
      </c>
      <c r="H196">
        <f>IF(ISBLANK([1]!ScoutingData[[#This Row],[autoSpeakerScore]]),"",[1]!ScoutingData[[#This Row],[autoSpeakerScore]])</f>
        <v>0</v>
      </c>
    </row>
    <row r="197" spans="1:8" x14ac:dyDescent="0.45">
      <c r="A197">
        <f>IF(ISBLANK([1]!ScoutingData[[#This Row],[teamNumber]]),"",[1]!ScoutingData[[#This Row],[teamNumber]])</f>
        <v>4539</v>
      </c>
      <c r="B197" t="str">
        <f>IF(ISBLANK([1]!ScoutingData[[#This Row],[matchLevel]]),"",[1]!ScoutingData[[#This Row],[matchLevel]])</f>
        <v>p</v>
      </c>
      <c r="C197">
        <f>IF(ISBLANK([1]!ScoutingData[[#This Row],[matchNumber]]),"",[1]!ScoutingData[[#This Row],[matchNumber]])</f>
        <v>9</v>
      </c>
      <c r="D197" t="str">
        <f>IF(ISBLANK([1]!ScoutingData[[#This Row],[event]]),"",[1]!ScoutingData[[#This Row],[event]])</f>
        <v>2024ndgf</v>
      </c>
      <c r="E197" t="str">
        <f>IF(ISBLANK([1]!ScoutingData[[#This Row],[position]]),"",[1]!ScoutingData[[#This Row],[position]])</f>
        <v>[10]</v>
      </c>
      <c r="F197">
        <f>IF(ISBLANK([1]!ScoutingData[[#This Row],[leaveStartingZone]]),"",[1]!ScoutingData[[#This Row],[leaveStartingZone]])</f>
        <v>1</v>
      </c>
      <c r="G197">
        <f>IF(ISBLANK([1]!ScoutingData[[#This Row],[autoAmpScore]]),"",[1]!ScoutingData[[#This Row],[autoAmpScore]])</f>
        <v>0</v>
      </c>
      <c r="H197">
        <f>IF(ISBLANK([1]!ScoutingData[[#This Row],[autoSpeakerScore]]),"",[1]!ScoutingData[[#This Row],[autoSpeakerScore]])</f>
        <v>0</v>
      </c>
    </row>
    <row r="198" spans="1:8" x14ac:dyDescent="0.45">
      <c r="A198">
        <f>IF(ISBLANK([1]!ScoutingData[[#This Row],[teamNumber]]),"",[1]!ScoutingData[[#This Row],[teamNumber]])</f>
        <v>4539</v>
      </c>
      <c r="B198" t="str">
        <f>IF(ISBLANK([1]!ScoutingData[[#This Row],[matchLevel]]),"",[1]!ScoutingData[[#This Row],[matchLevel]])</f>
        <v>p</v>
      </c>
      <c r="C198">
        <f>IF(ISBLANK([1]!ScoutingData[[#This Row],[matchNumber]]),"",[1]!ScoutingData[[#This Row],[matchNumber]])</f>
        <v>6</v>
      </c>
      <c r="D198" t="str">
        <f>IF(ISBLANK([1]!ScoutingData[[#This Row],[event]]),"",[1]!ScoutingData[[#This Row],[event]])</f>
        <v>2024ndgf</v>
      </c>
      <c r="E198" t="str">
        <f>IF(ISBLANK([1]!ScoutingData[[#This Row],[position]]),"",[1]!ScoutingData[[#This Row],[position]])</f>
        <v>[6]</v>
      </c>
      <c r="F198">
        <f>IF(ISBLANK([1]!ScoutingData[[#This Row],[leaveStartingZone]]),"",[1]!ScoutingData[[#This Row],[leaveStartingZone]])</f>
        <v>1</v>
      </c>
      <c r="G198">
        <f>IF(ISBLANK([1]!ScoutingData[[#This Row],[autoAmpScore]]),"",[1]!ScoutingData[[#This Row],[autoAmpScore]])</f>
        <v>0</v>
      </c>
      <c r="H198">
        <f>IF(ISBLANK([1]!ScoutingData[[#This Row],[autoSpeakerScore]]),"",[1]!ScoutingData[[#This Row],[autoSpeakerScore]])</f>
        <v>1</v>
      </c>
    </row>
    <row r="199" spans="1:8" x14ac:dyDescent="0.45">
      <c r="A199">
        <f>IF(ISBLANK([1]!ScoutingData[[#This Row],[teamNumber]]),"",[1]!ScoutingData[[#This Row],[teamNumber]])</f>
        <v>4539</v>
      </c>
      <c r="B199" t="str">
        <f>IF(ISBLANK([1]!ScoutingData[[#This Row],[matchLevel]]),"",[1]!ScoutingData[[#This Row],[matchLevel]])</f>
        <v>qm</v>
      </c>
      <c r="C199">
        <f>IF(ISBLANK([1]!ScoutingData[[#This Row],[matchNumber]]),"",[1]!ScoutingData[[#This Row],[matchNumber]])</f>
        <v>22</v>
      </c>
      <c r="D199" t="str">
        <f>IF(ISBLANK([1]!ScoutingData[[#This Row],[event]]),"",[1]!ScoutingData[[#This Row],[event]])</f>
        <v>2024ndgf</v>
      </c>
      <c r="E199" t="str">
        <f>IF(ISBLANK([1]!ScoutingData[[#This Row],[position]]),"",[1]!ScoutingData[[#This Row],[position]])</f>
        <v>[21]</v>
      </c>
      <c r="F199">
        <f>IF(ISBLANK([1]!ScoutingData[[#This Row],[leaveStartingZone]]),"",[1]!ScoutingData[[#This Row],[leaveStartingZone]])</f>
        <v>1</v>
      </c>
      <c r="G199">
        <f>IF(ISBLANK([1]!ScoutingData[[#This Row],[autoAmpScore]]),"",[1]!ScoutingData[[#This Row],[autoAmpScore]])</f>
        <v>0</v>
      </c>
      <c r="H199">
        <f>IF(ISBLANK([1]!ScoutingData[[#This Row],[autoSpeakerScore]]),"",[1]!ScoutingData[[#This Row],[autoSpeakerScore]])</f>
        <v>0</v>
      </c>
    </row>
    <row r="200" spans="1:8" x14ac:dyDescent="0.45">
      <c r="A200">
        <f>IF(ISBLANK([1]!ScoutingData[[#This Row],[teamNumber]]),"",[1]!ScoutingData[[#This Row],[teamNumber]])</f>
        <v>4539</v>
      </c>
      <c r="B200" t="str">
        <f>IF(ISBLANK([1]!ScoutingData[[#This Row],[matchLevel]]),"",[1]!ScoutingData[[#This Row],[matchLevel]])</f>
        <v>qm</v>
      </c>
      <c r="C200">
        <f>IF(ISBLANK([1]!ScoutingData[[#This Row],[matchNumber]]),"",[1]!ScoutingData[[#This Row],[matchNumber]])</f>
        <v>33</v>
      </c>
      <c r="D200" t="str">
        <f>IF(ISBLANK([1]!ScoutingData[[#This Row],[event]]),"",[1]!ScoutingData[[#This Row],[event]])</f>
        <v>2024ndgf</v>
      </c>
      <c r="E200" t="str">
        <f>IF(ISBLANK([1]!ScoutingData[[#This Row],[position]]),"",[1]!ScoutingData[[#This Row],[position]])</f>
        <v>[9]</v>
      </c>
      <c r="F200">
        <f>IF(ISBLANK([1]!ScoutingData[[#This Row],[leaveStartingZone]]),"",[1]!ScoutingData[[#This Row],[leaveStartingZone]])</f>
        <v>0</v>
      </c>
      <c r="G200">
        <f>IF(ISBLANK([1]!ScoutingData[[#This Row],[autoAmpScore]]),"",[1]!ScoutingData[[#This Row],[autoAmpScore]])</f>
        <v>0</v>
      </c>
      <c r="H200">
        <f>IF(ISBLANK([1]!ScoutingData[[#This Row],[autoSpeakerScore]]),"",[1]!ScoutingData[[#This Row],[autoSpeakerScore]])</f>
        <v>0</v>
      </c>
    </row>
    <row r="201" spans="1:8" x14ac:dyDescent="0.45">
      <c r="A201">
        <f>IF(ISBLANK([1]!ScoutingData[[#This Row],[teamNumber]]),"",[1]!ScoutingData[[#This Row],[teamNumber]])</f>
        <v>4539</v>
      </c>
      <c r="B201" t="str">
        <f>IF(ISBLANK([1]!ScoutingData[[#This Row],[matchLevel]]),"",[1]!ScoutingData[[#This Row],[matchLevel]])</f>
        <v>qm</v>
      </c>
      <c r="C201">
        <f>IF(ISBLANK([1]!ScoutingData[[#This Row],[matchNumber]]),"",[1]!ScoutingData[[#This Row],[matchNumber]])</f>
        <v>59</v>
      </c>
      <c r="D201" t="str">
        <f>IF(ISBLANK([1]!ScoutingData[[#This Row],[event]]),"",[1]!ScoutingData[[#This Row],[event]])</f>
        <v>2024ndgf</v>
      </c>
      <c r="E201" t="str">
        <f>IF(ISBLANK([1]!ScoutingData[[#This Row],[position]]),"",[1]!ScoutingData[[#This Row],[position]])</f>
        <v>[21]</v>
      </c>
      <c r="F201">
        <f>IF(ISBLANK([1]!ScoutingData[[#This Row],[leaveStartingZone]]),"",[1]!ScoutingData[[#This Row],[leaveStartingZone]])</f>
        <v>1</v>
      </c>
      <c r="G201">
        <f>IF(ISBLANK([1]!ScoutingData[[#This Row],[autoAmpScore]]),"",[1]!ScoutingData[[#This Row],[autoAmpScore]])</f>
        <v>0</v>
      </c>
      <c r="H201">
        <f>IF(ISBLANK([1]!ScoutingData[[#This Row],[autoSpeakerScore]]),"",[1]!ScoutingData[[#This Row],[autoSpeakerScore]])</f>
        <v>3</v>
      </c>
    </row>
    <row r="202" spans="1:8" x14ac:dyDescent="0.45">
      <c r="A202">
        <f>IF(ISBLANK([1]!ScoutingData[[#This Row],[teamNumber]]),"",[1]!ScoutingData[[#This Row],[teamNumber]])</f>
        <v>4539</v>
      </c>
      <c r="B202" t="str">
        <f>IF(ISBLANK([1]!ScoutingData[[#This Row],[matchLevel]]),"",[1]!ScoutingData[[#This Row],[matchLevel]])</f>
        <v>qm</v>
      </c>
      <c r="C202">
        <f>IF(ISBLANK([1]!ScoutingData[[#This Row],[matchNumber]]),"",[1]!ScoutingData[[#This Row],[matchNumber]])</f>
        <v>51</v>
      </c>
      <c r="D202" t="str">
        <f>IF(ISBLANK([1]!ScoutingData[[#This Row],[event]]),"",[1]!ScoutingData[[#This Row],[event]])</f>
        <v>2024ndgf</v>
      </c>
      <c r="E202" t="str">
        <f>IF(ISBLANK([1]!ScoutingData[[#This Row],[position]]),"",[1]!ScoutingData[[#This Row],[position]])</f>
        <v>[9]</v>
      </c>
      <c r="F202">
        <f>IF(ISBLANK([1]!ScoutingData[[#This Row],[leaveStartingZone]]),"",[1]!ScoutingData[[#This Row],[leaveStartingZone]])</f>
        <v>0</v>
      </c>
      <c r="G202">
        <f>IF(ISBLANK([1]!ScoutingData[[#This Row],[autoAmpScore]]),"",[1]!ScoutingData[[#This Row],[autoAmpScore]])</f>
        <v>0</v>
      </c>
      <c r="H202">
        <f>IF(ISBLANK([1]!ScoutingData[[#This Row],[autoSpeakerScore]]),"",[1]!ScoutingData[[#This Row],[autoSpeakerScore]])</f>
        <v>3</v>
      </c>
    </row>
    <row r="203" spans="1:8" x14ac:dyDescent="0.45">
      <c r="A203">
        <f>IF(ISBLANK([1]!ScoutingData[[#This Row],[teamNumber]]),"",[1]!ScoutingData[[#This Row],[teamNumber]])</f>
        <v>4539</v>
      </c>
      <c r="B203" t="str">
        <f>IF(ISBLANK([1]!ScoutingData[[#This Row],[matchLevel]]),"",[1]!ScoutingData[[#This Row],[matchLevel]])</f>
        <v>qm</v>
      </c>
      <c r="C203">
        <f>IF(ISBLANK([1]!ScoutingData[[#This Row],[matchNumber]]),"",[1]!ScoutingData[[#This Row],[matchNumber]])</f>
        <v>44</v>
      </c>
      <c r="D203" t="str">
        <f>IF(ISBLANK([1]!ScoutingData[[#This Row],[event]]),"",[1]!ScoutingData[[#This Row],[event]])</f>
        <v>2024ndgf</v>
      </c>
      <c r="E203" t="str">
        <f>IF(ISBLANK([1]!ScoutingData[[#This Row],[position]]),"",[1]!ScoutingData[[#This Row],[position]])</f>
        <v>[21]</v>
      </c>
      <c r="F203">
        <f>IF(ISBLANK([1]!ScoutingData[[#This Row],[leaveStartingZone]]),"",[1]!ScoutingData[[#This Row],[leaveStartingZone]])</f>
        <v>0</v>
      </c>
      <c r="G203">
        <f>IF(ISBLANK([1]!ScoutingData[[#This Row],[autoAmpScore]]),"",[1]!ScoutingData[[#This Row],[autoAmpScore]])</f>
        <v>0</v>
      </c>
      <c r="H203">
        <f>IF(ISBLANK([1]!ScoutingData[[#This Row],[autoSpeakerScore]]),"",[1]!ScoutingData[[#This Row],[autoSpeakerScore]])</f>
        <v>4</v>
      </c>
    </row>
    <row r="204" spans="1:8" x14ac:dyDescent="0.45">
      <c r="A204">
        <f>IF(ISBLANK([1]!ScoutingData[[#This Row],[teamNumber]]),"",[1]!ScoutingData[[#This Row],[teamNumber]])</f>
        <v>4663</v>
      </c>
      <c r="B204" t="str">
        <f>IF(ISBLANK([1]!ScoutingData[[#This Row],[matchLevel]]),"",[1]!ScoutingData[[#This Row],[matchLevel]])</f>
        <v>p</v>
      </c>
      <c r="C204">
        <f>IF(ISBLANK([1]!ScoutingData[[#This Row],[matchNumber]]),"",[1]!ScoutingData[[#This Row],[matchNumber]])</f>
        <v>16</v>
      </c>
      <c r="D204" t="str">
        <f>IF(ISBLANK([1]!ScoutingData[[#This Row],[event]]),"",[1]!ScoutingData[[#This Row],[event]])</f>
        <v>2024ndgf</v>
      </c>
      <c r="E204" t="str">
        <f>IF(ISBLANK([1]!ScoutingData[[#This Row],[position]]),"",[1]!ScoutingData[[#This Row],[position]])</f>
        <v>[11]</v>
      </c>
      <c r="F204">
        <f>IF(ISBLANK([1]!ScoutingData[[#This Row],[leaveStartingZone]]),"",[1]!ScoutingData[[#This Row],[leaveStartingZone]])</f>
        <v>1</v>
      </c>
      <c r="G204">
        <f>IF(ISBLANK([1]!ScoutingData[[#This Row],[autoAmpScore]]),"",[1]!ScoutingData[[#This Row],[autoAmpScore]])</f>
        <v>0</v>
      </c>
      <c r="H204">
        <f>IF(ISBLANK([1]!ScoutingData[[#This Row],[autoSpeakerScore]]),"",[1]!ScoutingData[[#This Row],[autoSpeakerScore]])</f>
        <v>1</v>
      </c>
    </row>
    <row r="205" spans="1:8" x14ac:dyDescent="0.45">
      <c r="A205">
        <f>IF(ISBLANK([1]!ScoutingData[[#This Row],[teamNumber]]),"",[1]!ScoutingData[[#This Row],[teamNumber]])</f>
        <v>4663</v>
      </c>
      <c r="B205" t="str">
        <f>IF(ISBLANK([1]!ScoutingData[[#This Row],[matchLevel]]),"",[1]!ScoutingData[[#This Row],[matchLevel]])</f>
        <v>qm</v>
      </c>
      <c r="C205">
        <f>IF(ISBLANK([1]!ScoutingData[[#This Row],[matchNumber]]),"",[1]!ScoutingData[[#This Row],[matchNumber]])</f>
        <v>19</v>
      </c>
      <c r="D205" t="str">
        <f>IF(ISBLANK([1]!ScoutingData[[#This Row],[event]]),"",[1]!ScoutingData[[#This Row],[event]])</f>
        <v>2024ndgf</v>
      </c>
      <c r="E205" t="str">
        <f>IF(ISBLANK([1]!ScoutingData[[#This Row],[position]]),"",[1]!ScoutingData[[#This Row],[position]])</f>
        <v>[4]</v>
      </c>
      <c r="F205">
        <f>IF(ISBLANK([1]!ScoutingData[[#This Row],[leaveStartingZone]]),"",[1]!ScoutingData[[#This Row],[leaveStartingZone]])</f>
        <v>1</v>
      </c>
      <c r="G205">
        <f>IF(ISBLANK([1]!ScoutingData[[#This Row],[autoAmpScore]]),"",[1]!ScoutingData[[#This Row],[autoAmpScore]])</f>
        <v>0</v>
      </c>
      <c r="H205">
        <f>IF(ISBLANK([1]!ScoutingData[[#This Row],[autoSpeakerScore]]),"",[1]!ScoutingData[[#This Row],[autoSpeakerScore]])</f>
        <v>0</v>
      </c>
    </row>
    <row r="206" spans="1:8" x14ac:dyDescent="0.45">
      <c r="A206">
        <f>IF(ISBLANK([1]!ScoutingData[[#This Row],[teamNumber]]),"",[1]!ScoutingData[[#This Row],[teamNumber]])</f>
        <v>4663</v>
      </c>
      <c r="B206" t="str">
        <f>IF(ISBLANK([1]!ScoutingData[[#This Row],[matchLevel]]),"",[1]!ScoutingData[[#This Row],[matchLevel]])</f>
        <v>qm</v>
      </c>
      <c r="C206">
        <f>IF(ISBLANK([1]!ScoutingData[[#This Row],[matchNumber]]),"",[1]!ScoutingData[[#This Row],[matchNumber]])</f>
        <v>10</v>
      </c>
      <c r="D206" t="str">
        <f>IF(ISBLANK([1]!ScoutingData[[#This Row],[event]]),"",[1]!ScoutingData[[#This Row],[event]])</f>
        <v>2024ndgf</v>
      </c>
      <c r="E206" t="str">
        <f>IF(ISBLANK([1]!ScoutingData[[#This Row],[position]]),"",[1]!ScoutingData[[#This Row],[position]])</f>
        <v>[4]</v>
      </c>
      <c r="F206">
        <f>IF(ISBLANK([1]!ScoutingData[[#This Row],[leaveStartingZone]]),"",[1]!ScoutingData[[#This Row],[leaveStartingZone]])</f>
        <v>1</v>
      </c>
      <c r="G206">
        <f>IF(ISBLANK([1]!ScoutingData[[#This Row],[autoAmpScore]]),"",[1]!ScoutingData[[#This Row],[autoAmpScore]])</f>
        <v>0</v>
      </c>
      <c r="H206">
        <f>IF(ISBLANK([1]!ScoutingData[[#This Row],[autoSpeakerScore]]),"",[1]!ScoutingData[[#This Row],[autoSpeakerScore]])</f>
        <v>1</v>
      </c>
    </row>
    <row r="207" spans="1:8" x14ac:dyDescent="0.45">
      <c r="A207">
        <f>IF(ISBLANK([1]!ScoutingData[[#This Row],[teamNumber]]),"",[1]!ScoutingData[[#This Row],[teamNumber]])</f>
        <v>4663</v>
      </c>
      <c r="B207" t="str">
        <f>IF(ISBLANK([1]!ScoutingData[[#This Row],[matchLevel]]),"",[1]!ScoutingData[[#This Row],[matchLevel]])</f>
        <v>qm</v>
      </c>
      <c r="C207">
        <f>IF(ISBLANK([1]!ScoutingData[[#This Row],[matchNumber]]),"",[1]!ScoutingData[[#This Row],[matchNumber]])</f>
        <v>25</v>
      </c>
      <c r="D207" t="str">
        <f>IF(ISBLANK([1]!ScoutingData[[#This Row],[event]]),"",[1]!ScoutingData[[#This Row],[event]])</f>
        <v>2024ndgf</v>
      </c>
      <c r="E207" t="str">
        <f>IF(ISBLANK([1]!ScoutingData[[#This Row],[position]]),"",[1]!ScoutingData[[#This Row],[position]])</f>
        <v>[3]</v>
      </c>
      <c r="F207">
        <f>IF(ISBLANK([1]!ScoutingData[[#This Row],[leaveStartingZone]]),"",[1]!ScoutingData[[#This Row],[leaveStartingZone]])</f>
        <v>1</v>
      </c>
      <c r="G207">
        <f>IF(ISBLANK([1]!ScoutingData[[#This Row],[autoAmpScore]]),"",[1]!ScoutingData[[#This Row],[autoAmpScore]])</f>
        <v>0</v>
      </c>
      <c r="H207">
        <f>IF(ISBLANK([1]!ScoutingData[[#This Row],[autoSpeakerScore]]),"",[1]!ScoutingData[[#This Row],[autoSpeakerScore]])</f>
        <v>0</v>
      </c>
    </row>
    <row r="208" spans="1:8" x14ac:dyDescent="0.45">
      <c r="A208">
        <f>IF(ISBLANK([1]!ScoutingData[[#This Row],[teamNumber]]),"",[1]!ScoutingData[[#This Row],[teamNumber]])</f>
        <v>4663</v>
      </c>
      <c r="B208" t="str">
        <f>IF(ISBLANK([1]!ScoutingData[[#This Row],[matchLevel]]),"",[1]!ScoutingData[[#This Row],[matchLevel]])</f>
        <v>qm</v>
      </c>
      <c r="C208">
        <f>IF(ISBLANK([1]!ScoutingData[[#This Row],[matchNumber]]),"",[1]!ScoutingData[[#This Row],[matchNumber]])</f>
        <v>54</v>
      </c>
      <c r="D208" t="str">
        <f>IF(ISBLANK([1]!ScoutingData[[#This Row],[event]]),"",[1]!ScoutingData[[#This Row],[event]])</f>
        <v>2024ndgf</v>
      </c>
      <c r="E208" t="str">
        <f>IF(ISBLANK([1]!ScoutingData[[#This Row],[position]]),"",[1]!ScoutingData[[#This Row],[position]])</f>
        <v>[9]</v>
      </c>
      <c r="F208">
        <f>IF(ISBLANK([1]!ScoutingData[[#This Row],[leaveStartingZone]]),"",[1]!ScoutingData[[#This Row],[leaveStartingZone]])</f>
        <v>0</v>
      </c>
      <c r="G208">
        <f>IF(ISBLANK([1]!ScoutingData[[#This Row],[autoAmpScore]]),"",[1]!ScoutingData[[#This Row],[autoAmpScore]])</f>
        <v>0</v>
      </c>
      <c r="H208">
        <f>IF(ISBLANK([1]!ScoutingData[[#This Row],[autoSpeakerScore]]),"",[1]!ScoutingData[[#This Row],[autoSpeakerScore]])</f>
        <v>0</v>
      </c>
    </row>
    <row r="209" spans="1:8" x14ac:dyDescent="0.45">
      <c r="A209">
        <f>IF(ISBLANK([1]!ScoutingData[[#This Row],[teamNumber]]),"",[1]!ScoutingData[[#This Row],[teamNumber]])</f>
        <v>4663</v>
      </c>
      <c r="B209" t="str">
        <f>IF(ISBLANK([1]!ScoutingData[[#This Row],[matchLevel]]),"",[1]!ScoutingData[[#This Row],[matchLevel]])</f>
        <v>qm</v>
      </c>
      <c r="C209">
        <f>IF(ISBLANK([1]!ScoutingData[[#This Row],[matchNumber]]),"",[1]!ScoutingData[[#This Row],[matchNumber]])</f>
        <v>45</v>
      </c>
      <c r="D209" t="str">
        <f>IF(ISBLANK([1]!ScoutingData[[#This Row],[event]]),"",[1]!ScoutingData[[#This Row],[event]])</f>
        <v>2024ndgf</v>
      </c>
      <c r="E209" t="str">
        <f>IF(ISBLANK([1]!ScoutingData[[#This Row],[position]]),"",[1]!ScoutingData[[#This Row],[position]])</f>
        <v>[4]</v>
      </c>
      <c r="F209">
        <f>IF(ISBLANK([1]!ScoutingData[[#This Row],[leaveStartingZone]]),"",[1]!ScoutingData[[#This Row],[leaveStartingZone]])</f>
        <v>1</v>
      </c>
      <c r="G209">
        <f>IF(ISBLANK([1]!ScoutingData[[#This Row],[autoAmpScore]]),"",[1]!ScoutingData[[#This Row],[autoAmpScore]])</f>
        <v>0</v>
      </c>
      <c r="H209">
        <f>IF(ISBLANK([1]!ScoutingData[[#This Row],[autoSpeakerScore]]),"",[1]!ScoutingData[[#This Row],[autoSpeakerScore]])</f>
        <v>0</v>
      </c>
    </row>
    <row r="210" spans="1:8" x14ac:dyDescent="0.45">
      <c r="A210">
        <f>IF(ISBLANK([1]!ScoutingData[[#This Row],[teamNumber]]),"",[1]!ScoutingData[[#This Row],[teamNumber]])</f>
        <v>4674</v>
      </c>
      <c r="B210" t="str">
        <f>IF(ISBLANK([1]!ScoutingData[[#This Row],[matchLevel]]),"",[1]!ScoutingData[[#This Row],[matchLevel]])</f>
        <v>qm</v>
      </c>
      <c r="C210">
        <f>IF(ISBLANK([1]!ScoutingData[[#This Row],[matchNumber]]),"",[1]!ScoutingData[[#This Row],[matchNumber]])</f>
        <v>4</v>
      </c>
      <c r="D210" t="str">
        <f>IF(ISBLANK([1]!ScoutingData[[#This Row],[event]]),"",[1]!ScoutingData[[#This Row],[event]])</f>
        <v>2024ndgf</v>
      </c>
      <c r="E210" t="str">
        <f>IF(ISBLANK([1]!ScoutingData[[#This Row],[position]]),"",[1]!ScoutingData[[#This Row],[position]])</f>
        <v>[9]</v>
      </c>
      <c r="F210">
        <f>IF(ISBLANK([1]!ScoutingData[[#This Row],[leaveStartingZone]]),"",[1]!ScoutingData[[#This Row],[leaveStartingZone]])</f>
        <v>1</v>
      </c>
      <c r="G210">
        <f>IF(ISBLANK([1]!ScoutingData[[#This Row],[autoAmpScore]]),"",[1]!ScoutingData[[#This Row],[autoAmpScore]])</f>
        <v>0</v>
      </c>
      <c r="H210">
        <f>IF(ISBLANK([1]!ScoutingData[[#This Row],[autoSpeakerScore]]),"",[1]!ScoutingData[[#This Row],[autoSpeakerScore]])</f>
        <v>1</v>
      </c>
    </row>
    <row r="211" spans="1:8" x14ac:dyDescent="0.45">
      <c r="A211">
        <f>IF(ISBLANK([1]!ScoutingData[[#This Row],[teamNumber]]),"",[1]!ScoutingData[[#This Row],[teamNumber]])</f>
        <v>4674</v>
      </c>
      <c r="B211" t="str">
        <f>IF(ISBLANK([1]!ScoutingData[[#This Row],[matchLevel]]),"",[1]!ScoutingData[[#This Row],[matchLevel]])</f>
        <v>qm</v>
      </c>
      <c r="C211">
        <f>IF(ISBLANK([1]!ScoutingData[[#This Row],[matchNumber]]),"",[1]!ScoutingData[[#This Row],[matchNumber]])</f>
        <v>18</v>
      </c>
      <c r="D211" t="str">
        <f>IF(ISBLANK([1]!ScoutingData[[#This Row],[event]]),"",[1]!ScoutingData[[#This Row],[event]])</f>
        <v>2024ndgf</v>
      </c>
      <c r="E211" t="str">
        <f>IF(ISBLANK([1]!ScoutingData[[#This Row],[position]]),"",[1]!ScoutingData[[#This Row],[position]])</f>
        <v>[10]</v>
      </c>
      <c r="F211">
        <f>IF(ISBLANK([1]!ScoutingData[[#This Row],[leaveStartingZone]]),"",[1]!ScoutingData[[#This Row],[leaveStartingZone]])</f>
        <v>0</v>
      </c>
      <c r="G211">
        <f>IF(ISBLANK([1]!ScoutingData[[#This Row],[autoAmpScore]]),"",[1]!ScoutingData[[#This Row],[autoAmpScore]])</f>
        <v>0</v>
      </c>
      <c r="H211">
        <f>IF(ISBLANK([1]!ScoutingData[[#This Row],[autoSpeakerScore]]),"",[1]!ScoutingData[[#This Row],[autoSpeakerScore]])</f>
        <v>1</v>
      </c>
    </row>
    <row r="212" spans="1:8" x14ac:dyDescent="0.45">
      <c r="A212">
        <f>IF(ISBLANK([1]!ScoutingData[[#This Row],[teamNumber]]),"",[1]!ScoutingData[[#This Row],[teamNumber]])</f>
        <v>4674</v>
      </c>
      <c r="B212" t="str">
        <f>IF(ISBLANK([1]!ScoutingData[[#This Row],[matchLevel]]),"",[1]!ScoutingData[[#This Row],[matchLevel]])</f>
        <v>qm</v>
      </c>
      <c r="C212">
        <f>IF(ISBLANK([1]!ScoutingData[[#This Row],[matchNumber]]),"",[1]!ScoutingData[[#This Row],[matchNumber]])</f>
        <v>26</v>
      </c>
      <c r="D212" t="str">
        <f>IF(ISBLANK([1]!ScoutingData[[#This Row],[event]]),"",[1]!ScoutingData[[#This Row],[event]])</f>
        <v>2024ndgf</v>
      </c>
      <c r="E212" t="str">
        <f>IF(ISBLANK([1]!ScoutingData[[#This Row],[position]]),"",[1]!ScoutingData[[#This Row],[position]])</f>
        <v>[9]</v>
      </c>
      <c r="F212">
        <f>IF(ISBLANK([1]!ScoutingData[[#This Row],[leaveStartingZone]]),"",[1]!ScoutingData[[#This Row],[leaveStartingZone]])</f>
        <v>0</v>
      </c>
      <c r="G212">
        <f>IF(ISBLANK([1]!ScoutingData[[#This Row],[autoAmpScore]]),"",[1]!ScoutingData[[#This Row],[autoAmpScore]])</f>
        <v>0</v>
      </c>
      <c r="H212">
        <f>IF(ISBLANK([1]!ScoutingData[[#This Row],[autoSpeakerScore]]),"",[1]!ScoutingData[[#This Row],[autoSpeakerScore]])</f>
        <v>1</v>
      </c>
    </row>
    <row r="213" spans="1:8" x14ac:dyDescent="0.45">
      <c r="A213">
        <f>IF(ISBLANK([1]!ScoutingData[[#This Row],[teamNumber]]),"",[1]!ScoutingData[[#This Row],[teamNumber]])</f>
        <v>4674</v>
      </c>
      <c r="B213" t="str">
        <f>IF(ISBLANK([1]!ScoutingData[[#This Row],[matchLevel]]),"",[1]!ScoutingData[[#This Row],[matchLevel]])</f>
        <v>qm</v>
      </c>
      <c r="C213">
        <f>IF(ISBLANK([1]!ScoutingData[[#This Row],[matchNumber]]),"",[1]!ScoutingData[[#This Row],[matchNumber]])</f>
        <v>36</v>
      </c>
      <c r="D213" t="str">
        <f>IF(ISBLANK([1]!ScoutingData[[#This Row],[event]]),"",[1]!ScoutingData[[#This Row],[event]])</f>
        <v>2024ndgf</v>
      </c>
      <c r="E213" t="str">
        <f>IF(ISBLANK([1]!ScoutingData[[#This Row],[position]]),"",[1]!ScoutingData[[#This Row],[position]])</f>
        <v>[10]</v>
      </c>
      <c r="F213">
        <f>IF(ISBLANK([1]!ScoutingData[[#This Row],[leaveStartingZone]]),"",[1]!ScoutingData[[#This Row],[leaveStartingZone]])</f>
        <v>0</v>
      </c>
      <c r="G213">
        <f>IF(ISBLANK([1]!ScoutingData[[#This Row],[autoAmpScore]]),"",[1]!ScoutingData[[#This Row],[autoAmpScore]])</f>
        <v>0</v>
      </c>
      <c r="H213">
        <f>IF(ISBLANK([1]!ScoutingData[[#This Row],[autoSpeakerScore]]),"",[1]!ScoutingData[[#This Row],[autoSpeakerScore]])</f>
        <v>0</v>
      </c>
    </row>
    <row r="214" spans="1:8" x14ac:dyDescent="0.45">
      <c r="A214">
        <f>IF(ISBLANK([1]!ScoutingData[[#This Row],[teamNumber]]),"",[1]!ScoutingData[[#This Row],[teamNumber]])</f>
        <v>4674</v>
      </c>
      <c r="B214" t="str">
        <f>IF(ISBLANK([1]!ScoutingData[[#This Row],[matchLevel]]),"",[1]!ScoutingData[[#This Row],[matchLevel]])</f>
        <v>qm</v>
      </c>
      <c r="C214">
        <f>IF(ISBLANK([1]!ScoutingData[[#This Row],[matchNumber]]),"",[1]!ScoutingData[[#This Row],[matchNumber]])</f>
        <v>45</v>
      </c>
      <c r="D214" t="str">
        <f>IF(ISBLANK([1]!ScoutingData[[#This Row],[event]]),"",[1]!ScoutingData[[#This Row],[event]])</f>
        <v>2024ndgf</v>
      </c>
      <c r="E214" t="str">
        <f>IF(ISBLANK([1]!ScoutingData[[#This Row],[position]]),"",[1]!ScoutingData[[#This Row],[position]])</f>
        <v>[10]</v>
      </c>
      <c r="F214">
        <f>IF(ISBLANK([1]!ScoutingData[[#This Row],[leaveStartingZone]]),"",[1]!ScoutingData[[#This Row],[leaveStartingZone]])</f>
        <v>0</v>
      </c>
      <c r="G214">
        <f>IF(ISBLANK([1]!ScoutingData[[#This Row],[autoAmpScore]]),"",[1]!ScoutingData[[#This Row],[autoAmpScore]])</f>
        <v>0</v>
      </c>
      <c r="H214">
        <f>IF(ISBLANK([1]!ScoutingData[[#This Row],[autoSpeakerScore]]),"",[1]!ScoutingData[[#This Row],[autoSpeakerScore]])</f>
        <v>1</v>
      </c>
    </row>
    <row r="215" spans="1:8" x14ac:dyDescent="0.45">
      <c r="A215">
        <f>IF(ISBLANK([1]!ScoutingData[[#This Row],[teamNumber]]),"",[1]!ScoutingData[[#This Row],[teamNumber]])</f>
        <v>5172</v>
      </c>
      <c r="B215" t="str">
        <f>IF(ISBLANK([1]!ScoutingData[[#This Row],[matchLevel]]),"",[1]!ScoutingData[[#This Row],[matchLevel]])</f>
        <v>p</v>
      </c>
      <c r="C215">
        <f>IF(ISBLANK([1]!ScoutingData[[#This Row],[matchNumber]]),"",[1]!ScoutingData[[#This Row],[matchNumber]])</f>
        <v>27</v>
      </c>
      <c r="D215" t="str">
        <f>IF(ISBLANK([1]!ScoutingData[[#This Row],[event]]),"",[1]!ScoutingData[[#This Row],[event]])</f>
        <v>2024ndgf</v>
      </c>
      <c r="E215" t="str">
        <f>IF(ISBLANK([1]!ScoutingData[[#This Row],[position]]),"",[1]!ScoutingData[[#This Row],[position]])</f>
        <v>[6]</v>
      </c>
      <c r="F215">
        <f>IF(ISBLANK([1]!ScoutingData[[#This Row],[leaveStartingZone]]),"",[1]!ScoutingData[[#This Row],[leaveStartingZone]])</f>
        <v>1</v>
      </c>
      <c r="G215">
        <f>IF(ISBLANK([1]!ScoutingData[[#This Row],[autoAmpScore]]),"",[1]!ScoutingData[[#This Row],[autoAmpScore]])</f>
        <v>0</v>
      </c>
      <c r="H215">
        <f>IF(ISBLANK([1]!ScoutingData[[#This Row],[autoSpeakerScore]]),"",[1]!ScoutingData[[#This Row],[autoSpeakerScore]])</f>
        <v>0</v>
      </c>
    </row>
    <row r="216" spans="1:8" x14ac:dyDescent="0.45">
      <c r="A216">
        <f>IF(ISBLANK([1]!ScoutingData[[#This Row],[teamNumber]]),"",[1]!ScoutingData[[#This Row],[teamNumber]])</f>
        <v>5172</v>
      </c>
      <c r="B216" t="str">
        <f>IF(ISBLANK([1]!ScoutingData[[#This Row],[matchLevel]]),"",[1]!ScoutingData[[#This Row],[matchLevel]])</f>
        <v>p</v>
      </c>
      <c r="C216">
        <f>IF(ISBLANK([1]!ScoutingData[[#This Row],[matchNumber]]),"",[1]!ScoutingData[[#This Row],[matchNumber]])</f>
        <v>10</v>
      </c>
      <c r="D216" t="str">
        <f>IF(ISBLANK([1]!ScoutingData[[#This Row],[event]]),"",[1]!ScoutingData[[#This Row],[event]])</f>
        <v>2024ndgf</v>
      </c>
      <c r="E216" t="str">
        <f>IF(ISBLANK([1]!ScoutingData[[#This Row],[position]]),"",[1]!ScoutingData[[#This Row],[position]])</f>
        <v>[9]</v>
      </c>
      <c r="F216">
        <f>IF(ISBLANK([1]!ScoutingData[[#This Row],[leaveStartingZone]]),"",[1]!ScoutingData[[#This Row],[leaveStartingZone]])</f>
        <v>0</v>
      </c>
      <c r="G216">
        <f>IF(ISBLANK([1]!ScoutingData[[#This Row],[autoAmpScore]]),"",[1]!ScoutingData[[#This Row],[autoAmpScore]])</f>
        <v>0</v>
      </c>
      <c r="H216">
        <f>IF(ISBLANK([1]!ScoutingData[[#This Row],[autoSpeakerScore]]),"",[1]!ScoutingData[[#This Row],[autoSpeakerScore]])</f>
        <v>1</v>
      </c>
    </row>
    <row r="217" spans="1:8" x14ac:dyDescent="0.45">
      <c r="A217">
        <f>IF(ISBLANK([1]!ScoutingData[[#This Row],[teamNumber]]),"",[1]!ScoutingData[[#This Row],[teamNumber]])</f>
        <v>5172</v>
      </c>
      <c r="B217" t="str">
        <f>IF(ISBLANK([1]!ScoutingData[[#This Row],[matchLevel]]),"",[1]!ScoutingData[[#This Row],[matchLevel]])</f>
        <v>p</v>
      </c>
      <c r="C217">
        <f>IF(ISBLANK([1]!ScoutingData[[#This Row],[matchNumber]]),"",[1]!ScoutingData[[#This Row],[matchNumber]])</f>
        <v>14</v>
      </c>
      <c r="D217" t="str">
        <f>IF(ISBLANK([1]!ScoutingData[[#This Row],[event]]),"",[1]!ScoutingData[[#This Row],[event]])</f>
        <v>2024ndgf</v>
      </c>
      <c r="E217" t="str">
        <f>IF(ISBLANK([1]!ScoutingData[[#This Row],[position]]),"",[1]!ScoutingData[[#This Row],[position]])</f>
        <v>[21]</v>
      </c>
      <c r="F217">
        <f>IF(ISBLANK([1]!ScoutingData[[#This Row],[leaveStartingZone]]),"",[1]!ScoutingData[[#This Row],[leaveStartingZone]])</f>
        <v>0</v>
      </c>
      <c r="G217">
        <f>IF(ISBLANK([1]!ScoutingData[[#This Row],[autoAmpScore]]),"",[1]!ScoutingData[[#This Row],[autoAmpScore]])</f>
        <v>0</v>
      </c>
      <c r="H217">
        <f>IF(ISBLANK([1]!ScoutingData[[#This Row],[autoSpeakerScore]]),"",[1]!ScoutingData[[#This Row],[autoSpeakerScore]])</f>
        <v>2</v>
      </c>
    </row>
    <row r="218" spans="1:8" x14ac:dyDescent="0.45">
      <c r="A218">
        <f>IF(ISBLANK([1]!ScoutingData[[#This Row],[teamNumber]]),"",[1]!ScoutingData[[#This Row],[teamNumber]])</f>
        <v>5172</v>
      </c>
      <c r="B218" t="str">
        <f>IF(ISBLANK([1]!ScoutingData[[#This Row],[matchLevel]]),"",[1]!ScoutingData[[#This Row],[matchLevel]])</f>
        <v>qm</v>
      </c>
      <c r="C218">
        <f>IF(ISBLANK([1]!ScoutingData[[#This Row],[matchNumber]]),"",[1]!ScoutingData[[#This Row],[matchNumber]])</f>
        <v>6</v>
      </c>
      <c r="D218" t="str">
        <f>IF(ISBLANK([1]!ScoutingData[[#This Row],[event]]),"",[1]!ScoutingData[[#This Row],[event]])</f>
        <v>2024ndgf</v>
      </c>
      <c r="E218" t="str">
        <f>IF(ISBLANK([1]!ScoutingData[[#This Row],[position]]),"",[1]!ScoutingData[[#This Row],[position]])</f>
        <v>[9]</v>
      </c>
      <c r="F218">
        <f>IF(ISBLANK([1]!ScoutingData[[#This Row],[leaveStartingZone]]),"",[1]!ScoutingData[[#This Row],[leaveStartingZone]])</f>
        <v>1</v>
      </c>
      <c r="G218">
        <f>IF(ISBLANK([1]!ScoutingData[[#This Row],[autoAmpScore]]),"",[1]!ScoutingData[[#This Row],[autoAmpScore]])</f>
        <v>0</v>
      </c>
      <c r="H218">
        <f>IF(ISBLANK([1]!ScoutingData[[#This Row],[autoSpeakerScore]]),"",[1]!ScoutingData[[#This Row],[autoSpeakerScore]])</f>
        <v>1</v>
      </c>
    </row>
    <row r="219" spans="1:8" x14ac:dyDescent="0.45">
      <c r="A219">
        <f>IF(ISBLANK([1]!ScoutingData[[#This Row],[teamNumber]]),"",[1]!ScoutingData[[#This Row],[teamNumber]])</f>
        <v>5172</v>
      </c>
      <c r="B219" t="str">
        <f>IF(ISBLANK([1]!ScoutingData[[#This Row],[matchLevel]]),"",[1]!ScoutingData[[#This Row],[matchLevel]])</f>
        <v>qm</v>
      </c>
      <c r="C219">
        <f>IF(ISBLANK([1]!ScoutingData[[#This Row],[matchNumber]]),"",[1]!ScoutingData[[#This Row],[matchNumber]])</f>
        <v>20</v>
      </c>
      <c r="D219" t="str">
        <f>IF(ISBLANK([1]!ScoutingData[[#This Row],[event]]),"",[1]!ScoutingData[[#This Row],[event]])</f>
        <v>2024ndgf</v>
      </c>
      <c r="E219" t="str">
        <f>IF(ISBLANK([1]!ScoutingData[[#This Row],[position]]),"",[1]!ScoutingData[[#This Row],[position]])</f>
        <v>[9]</v>
      </c>
      <c r="F219">
        <f>IF(ISBLANK([1]!ScoutingData[[#This Row],[leaveStartingZone]]),"",[1]!ScoutingData[[#This Row],[leaveStartingZone]])</f>
        <v>1</v>
      </c>
      <c r="G219">
        <f>IF(ISBLANK([1]!ScoutingData[[#This Row],[autoAmpScore]]),"",[1]!ScoutingData[[#This Row],[autoAmpScore]])</f>
        <v>0</v>
      </c>
      <c r="H219">
        <f>IF(ISBLANK([1]!ScoutingData[[#This Row],[autoSpeakerScore]]),"",[1]!ScoutingData[[#This Row],[autoSpeakerScore]])</f>
        <v>0</v>
      </c>
    </row>
    <row r="220" spans="1:8" x14ac:dyDescent="0.45">
      <c r="A220">
        <f>IF(ISBLANK([1]!ScoutingData[[#This Row],[teamNumber]]),"",[1]!ScoutingData[[#This Row],[teamNumber]])</f>
        <v>5172</v>
      </c>
      <c r="B220" t="str">
        <f>IF(ISBLANK([1]!ScoutingData[[#This Row],[matchLevel]]),"",[1]!ScoutingData[[#This Row],[matchLevel]])</f>
        <v>qm</v>
      </c>
      <c r="C220">
        <f>IF(ISBLANK([1]!ScoutingData[[#This Row],[matchNumber]]),"",[1]!ScoutingData[[#This Row],[matchNumber]])</f>
        <v>13</v>
      </c>
      <c r="D220" t="str">
        <f>IF(ISBLANK([1]!ScoutingData[[#This Row],[event]]),"",[1]!ScoutingData[[#This Row],[event]])</f>
        <v>2024ndgf</v>
      </c>
      <c r="E220" t="str">
        <f>IF(ISBLANK([1]!ScoutingData[[#This Row],[position]]),"",[1]!ScoutingData[[#This Row],[position]])</f>
        <v>[21]</v>
      </c>
      <c r="F220">
        <f>IF(ISBLANK([1]!ScoutingData[[#This Row],[leaveStartingZone]]),"",[1]!ScoutingData[[#This Row],[leaveStartingZone]])</f>
        <v>1</v>
      </c>
      <c r="G220">
        <f>IF(ISBLANK([1]!ScoutingData[[#This Row],[autoAmpScore]]),"",[1]!ScoutingData[[#This Row],[autoAmpScore]])</f>
        <v>0</v>
      </c>
      <c r="H220">
        <f>IF(ISBLANK([1]!ScoutingData[[#This Row],[autoSpeakerScore]]),"",[1]!ScoutingData[[#This Row],[autoSpeakerScore]])</f>
        <v>0</v>
      </c>
    </row>
    <row r="221" spans="1:8" x14ac:dyDescent="0.45">
      <c r="A221">
        <f>IF(ISBLANK([1]!ScoutingData[[#This Row],[teamNumber]]),"",[1]!ScoutingData[[#This Row],[teamNumber]])</f>
        <v>5172</v>
      </c>
      <c r="B221" t="str">
        <f>IF(ISBLANK([1]!ScoutingData[[#This Row],[matchLevel]]),"",[1]!ScoutingData[[#This Row],[matchLevel]])</f>
        <v>qm</v>
      </c>
      <c r="C221">
        <f>IF(ISBLANK([1]!ScoutingData[[#This Row],[matchNumber]]),"",[1]!ScoutingData[[#This Row],[matchNumber]])</f>
        <v>30</v>
      </c>
      <c r="D221" t="str">
        <f>IF(ISBLANK([1]!ScoutingData[[#This Row],[event]]),"",[1]!ScoutingData[[#This Row],[event]])</f>
        <v>2024ndgf</v>
      </c>
      <c r="E221" t="str">
        <f>IF(ISBLANK([1]!ScoutingData[[#This Row],[position]]),"",[1]!ScoutingData[[#This Row],[position]])</f>
        <v>[9]</v>
      </c>
      <c r="F221">
        <f>IF(ISBLANK([1]!ScoutingData[[#This Row],[leaveStartingZone]]),"",[1]!ScoutingData[[#This Row],[leaveStartingZone]])</f>
        <v>1</v>
      </c>
      <c r="G221">
        <f>IF(ISBLANK([1]!ScoutingData[[#This Row],[autoAmpScore]]),"",[1]!ScoutingData[[#This Row],[autoAmpScore]])</f>
        <v>0</v>
      </c>
      <c r="H221">
        <f>IF(ISBLANK([1]!ScoutingData[[#This Row],[autoSpeakerScore]]),"",[1]!ScoutingData[[#This Row],[autoSpeakerScore]])</f>
        <v>1</v>
      </c>
    </row>
    <row r="222" spans="1:8" x14ac:dyDescent="0.45">
      <c r="A222">
        <f>IF(ISBLANK([1]!ScoutingData[[#This Row],[teamNumber]]),"",[1]!ScoutingData[[#This Row],[teamNumber]])</f>
        <v>5464</v>
      </c>
      <c r="B222" t="str">
        <f>IF(ISBLANK([1]!ScoutingData[[#This Row],[matchLevel]]),"",[1]!ScoutingData[[#This Row],[matchLevel]])</f>
        <v>p</v>
      </c>
      <c r="C222">
        <f>IF(ISBLANK([1]!ScoutingData[[#This Row],[matchNumber]]),"",[1]!ScoutingData[[#This Row],[matchNumber]])</f>
        <v>21</v>
      </c>
      <c r="D222" t="str">
        <f>IF(ISBLANK([1]!ScoutingData[[#This Row],[event]]),"",[1]!ScoutingData[[#This Row],[event]])</f>
        <v>2024ndgf</v>
      </c>
      <c r="E222" t="str">
        <f>IF(ISBLANK([1]!ScoutingData[[#This Row],[position]]),"",[1]!ScoutingData[[#This Row],[position]])</f>
        <v>[7]</v>
      </c>
      <c r="F222">
        <f>IF(ISBLANK([1]!ScoutingData[[#This Row],[leaveStartingZone]]),"",[1]!ScoutingData[[#This Row],[leaveStartingZone]])</f>
        <v>1</v>
      </c>
      <c r="G222">
        <f>IF(ISBLANK([1]!ScoutingData[[#This Row],[autoAmpScore]]),"",[1]!ScoutingData[[#This Row],[autoAmpScore]])</f>
        <v>0</v>
      </c>
      <c r="H222">
        <f>IF(ISBLANK([1]!ScoutingData[[#This Row],[autoSpeakerScore]]),"",[1]!ScoutingData[[#This Row],[autoSpeakerScore]])</f>
        <v>0</v>
      </c>
    </row>
    <row r="223" spans="1:8" x14ac:dyDescent="0.45">
      <c r="A223">
        <f>IF(ISBLANK([1]!ScoutingData[[#This Row],[teamNumber]]),"",[1]!ScoutingData[[#This Row],[teamNumber]])</f>
        <v>5464</v>
      </c>
      <c r="B223" t="str">
        <f>IF(ISBLANK([1]!ScoutingData[[#This Row],[matchLevel]]),"",[1]!ScoutingData[[#This Row],[matchLevel]])</f>
        <v>qm</v>
      </c>
      <c r="C223">
        <f>IF(ISBLANK([1]!ScoutingData[[#This Row],[matchNumber]]),"",[1]!ScoutingData[[#This Row],[matchNumber]])</f>
        <v>4</v>
      </c>
      <c r="D223" t="str">
        <f>IF(ISBLANK([1]!ScoutingData[[#This Row],[event]]),"",[1]!ScoutingData[[#This Row],[event]])</f>
        <v>2024ndgf</v>
      </c>
      <c r="E223" t="str">
        <f>IF(ISBLANK([1]!ScoutingData[[#This Row],[position]]),"",[1]!ScoutingData[[#This Row],[position]])</f>
        <v>[7]</v>
      </c>
      <c r="F223">
        <f>IF(ISBLANK([1]!ScoutingData[[#This Row],[leaveStartingZone]]),"",[1]!ScoutingData[[#This Row],[leaveStartingZone]])</f>
        <v>1</v>
      </c>
      <c r="G223">
        <f>IF(ISBLANK([1]!ScoutingData[[#This Row],[autoAmpScore]]),"",[1]!ScoutingData[[#This Row],[autoAmpScore]])</f>
        <v>0</v>
      </c>
      <c r="H223">
        <f>IF(ISBLANK([1]!ScoutingData[[#This Row],[autoSpeakerScore]]),"",[1]!ScoutingData[[#This Row],[autoSpeakerScore]])</f>
        <v>1</v>
      </c>
    </row>
    <row r="224" spans="1:8" x14ac:dyDescent="0.45">
      <c r="A224">
        <f>IF(ISBLANK([1]!ScoutingData[[#This Row],[teamNumber]]),"",[1]!ScoutingData[[#This Row],[teamNumber]])</f>
        <v>5464</v>
      </c>
      <c r="B224" t="str">
        <f>IF(ISBLANK([1]!ScoutingData[[#This Row],[matchLevel]]),"",[1]!ScoutingData[[#This Row],[matchLevel]])</f>
        <v>qm</v>
      </c>
      <c r="C224">
        <f>IF(ISBLANK([1]!ScoutingData[[#This Row],[matchNumber]]),"",[1]!ScoutingData[[#This Row],[matchNumber]])</f>
        <v>19</v>
      </c>
      <c r="D224" t="str">
        <f>IF(ISBLANK([1]!ScoutingData[[#This Row],[event]]),"",[1]!ScoutingData[[#This Row],[event]])</f>
        <v>2024ndgf</v>
      </c>
      <c r="E224" t="str">
        <f>IF(ISBLANK([1]!ScoutingData[[#This Row],[position]]),"",[1]!ScoutingData[[#This Row],[position]])</f>
        <v>[9]</v>
      </c>
      <c r="F224">
        <f>IF(ISBLANK([1]!ScoutingData[[#This Row],[leaveStartingZone]]),"",[1]!ScoutingData[[#This Row],[leaveStartingZone]])</f>
        <v>1</v>
      </c>
      <c r="G224">
        <f>IF(ISBLANK([1]!ScoutingData[[#This Row],[autoAmpScore]]),"",[1]!ScoutingData[[#This Row],[autoAmpScore]])</f>
        <v>0</v>
      </c>
      <c r="H224">
        <f>IF(ISBLANK([1]!ScoutingData[[#This Row],[autoSpeakerScore]]),"",[1]!ScoutingData[[#This Row],[autoSpeakerScore]])</f>
        <v>2</v>
      </c>
    </row>
    <row r="225" spans="1:8" x14ac:dyDescent="0.45">
      <c r="A225">
        <f>IF(ISBLANK([1]!ScoutingData[[#This Row],[teamNumber]]),"",[1]!ScoutingData[[#This Row],[teamNumber]])</f>
        <v>5464</v>
      </c>
      <c r="B225" t="str">
        <f>IF(ISBLANK([1]!ScoutingData[[#This Row],[matchLevel]]),"",[1]!ScoutingData[[#This Row],[matchLevel]])</f>
        <v>qm</v>
      </c>
      <c r="C225">
        <f>IF(ISBLANK([1]!ScoutingData[[#This Row],[matchNumber]]),"",[1]!ScoutingData[[#This Row],[matchNumber]])</f>
        <v>11</v>
      </c>
      <c r="D225" t="str">
        <f>IF(ISBLANK([1]!ScoutingData[[#This Row],[event]]),"",[1]!ScoutingData[[#This Row],[event]])</f>
        <v>2024ndgf</v>
      </c>
      <c r="E225" t="str">
        <f>IF(ISBLANK([1]!ScoutingData[[#This Row],[position]]),"",[1]!ScoutingData[[#This Row],[position]])</f>
        <v>[9]</v>
      </c>
      <c r="F225">
        <f>IF(ISBLANK([1]!ScoutingData[[#This Row],[leaveStartingZone]]),"",[1]!ScoutingData[[#This Row],[leaveStartingZone]])</f>
        <v>0</v>
      </c>
      <c r="G225">
        <f>IF(ISBLANK([1]!ScoutingData[[#This Row],[autoAmpScore]]),"",[1]!ScoutingData[[#This Row],[autoAmpScore]])</f>
        <v>0</v>
      </c>
      <c r="H225">
        <f>IF(ISBLANK([1]!ScoutingData[[#This Row],[autoSpeakerScore]]),"",[1]!ScoutingData[[#This Row],[autoSpeakerScore]])</f>
        <v>0</v>
      </c>
    </row>
    <row r="226" spans="1:8" x14ac:dyDescent="0.45">
      <c r="A226">
        <f>IF(ISBLANK([1]!ScoutingData[[#This Row],[teamNumber]]),"",[1]!ScoutingData[[#This Row],[teamNumber]])</f>
        <v>5464</v>
      </c>
      <c r="B226" t="str">
        <f>IF(ISBLANK([1]!ScoutingData[[#This Row],[matchLevel]]),"",[1]!ScoutingData[[#This Row],[matchLevel]])</f>
        <v>p</v>
      </c>
      <c r="C226">
        <f>IF(ISBLANK([1]!ScoutingData[[#This Row],[matchNumber]]),"",[1]!ScoutingData[[#This Row],[matchNumber]])</f>
        <v>61</v>
      </c>
      <c r="D226" t="str">
        <f>IF(ISBLANK([1]!ScoutingData[[#This Row],[event]]),"",[1]!ScoutingData[[#This Row],[event]])</f>
        <v>2024ndgf</v>
      </c>
      <c r="E226" t="str">
        <f>IF(ISBLANK([1]!ScoutingData[[#This Row],[position]]),"",[1]!ScoutingData[[#This Row],[position]])</f>
        <v>[9]</v>
      </c>
      <c r="F226">
        <f>IF(ISBLANK([1]!ScoutingData[[#This Row],[leaveStartingZone]]),"",[1]!ScoutingData[[#This Row],[leaveStartingZone]])</f>
        <v>0</v>
      </c>
      <c r="G226">
        <f>IF(ISBLANK([1]!ScoutingData[[#This Row],[autoAmpScore]]),"",[1]!ScoutingData[[#This Row],[autoAmpScore]])</f>
        <v>0</v>
      </c>
      <c r="H226">
        <f>IF(ISBLANK([1]!ScoutingData[[#This Row],[autoSpeakerScore]]),"",[1]!ScoutingData[[#This Row],[autoSpeakerScore]])</f>
        <v>4</v>
      </c>
    </row>
    <row r="227" spans="1:8" x14ac:dyDescent="0.45">
      <c r="A227">
        <f>IF(ISBLANK([1]!ScoutingData[[#This Row],[teamNumber]]),"",[1]!ScoutingData[[#This Row],[teamNumber]])</f>
        <v>5464</v>
      </c>
      <c r="B227" t="str">
        <f>IF(ISBLANK([1]!ScoutingData[[#This Row],[matchLevel]]),"",[1]!ScoutingData[[#This Row],[matchLevel]])</f>
        <v>p</v>
      </c>
      <c r="C227">
        <f>IF(ISBLANK([1]!ScoutingData[[#This Row],[matchNumber]]),"",[1]!ScoutingData[[#This Row],[matchNumber]])</f>
        <v>39</v>
      </c>
      <c r="D227" t="str">
        <f>IF(ISBLANK([1]!ScoutingData[[#This Row],[event]]),"",[1]!ScoutingData[[#This Row],[event]])</f>
        <v>2024ndgf</v>
      </c>
      <c r="E227" t="str">
        <f>IF(ISBLANK([1]!ScoutingData[[#This Row],[position]]),"",[1]!ScoutingData[[#This Row],[position]])</f>
        <v>[21]</v>
      </c>
      <c r="F227">
        <f>IF(ISBLANK([1]!ScoutingData[[#This Row],[leaveStartingZone]]),"",[1]!ScoutingData[[#This Row],[leaveStartingZone]])</f>
        <v>1</v>
      </c>
      <c r="G227">
        <f>IF(ISBLANK([1]!ScoutingData[[#This Row],[autoAmpScore]]),"",[1]!ScoutingData[[#This Row],[autoAmpScore]])</f>
        <v>0</v>
      </c>
      <c r="H227">
        <f>IF(ISBLANK([1]!ScoutingData[[#This Row],[autoSpeakerScore]]),"",[1]!ScoutingData[[#This Row],[autoSpeakerScore]])</f>
        <v>3</v>
      </c>
    </row>
    <row r="228" spans="1:8" x14ac:dyDescent="0.45">
      <c r="A228">
        <f>IF(ISBLANK([1]!ScoutingData[[#This Row],[teamNumber]]),"",[1]!ScoutingData[[#This Row],[teamNumber]])</f>
        <v>5576</v>
      </c>
      <c r="B228" t="str">
        <f>IF(ISBLANK([1]!ScoutingData[[#This Row],[matchLevel]]),"",[1]!ScoutingData[[#This Row],[matchLevel]])</f>
        <v>qm</v>
      </c>
      <c r="C228">
        <f>IF(ISBLANK([1]!ScoutingData[[#This Row],[matchNumber]]),"",[1]!ScoutingData[[#This Row],[matchNumber]])</f>
        <v>3</v>
      </c>
      <c r="D228" t="str">
        <f>IF(ISBLANK([1]!ScoutingData[[#This Row],[event]]),"",[1]!ScoutingData[[#This Row],[event]])</f>
        <v>2024ndgf</v>
      </c>
      <c r="E228" t="str">
        <f>IF(ISBLANK([1]!ScoutingData[[#This Row],[position]]),"",[1]!ScoutingData[[#This Row],[position]])</f>
        <v>[3]</v>
      </c>
      <c r="F228">
        <f>IF(ISBLANK([1]!ScoutingData[[#This Row],[leaveStartingZone]]),"",[1]!ScoutingData[[#This Row],[leaveStartingZone]])</f>
        <v>1</v>
      </c>
      <c r="G228">
        <f>IF(ISBLANK([1]!ScoutingData[[#This Row],[autoAmpScore]]),"",[1]!ScoutingData[[#This Row],[autoAmpScore]])</f>
        <v>0</v>
      </c>
      <c r="H228">
        <f>IF(ISBLANK([1]!ScoutingData[[#This Row],[autoSpeakerScore]]),"",[1]!ScoutingData[[#This Row],[autoSpeakerScore]])</f>
        <v>0</v>
      </c>
    </row>
    <row r="229" spans="1:8" x14ac:dyDescent="0.45">
      <c r="A229">
        <f>IF(ISBLANK([1]!ScoutingData[[#This Row],[teamNumber]]),"",[1]!ScoutingData[[#This Row],[teamNumber]])</f>
        <v>5576</v>
      </c>
      <c r="B229" t="str">
        <f>IF(ISBLANK([1]!ScoutingData[[#This Row],[matchLevel]]),"",[1]!ScoutingData[[#This Row],[matchLevel]])</f>
        <v>qm</v>
      </c>
      <c r="C229">
        <f>IF(ISBLANK([1]!ScoutingData[[#This Row],[matchNumber]]),"",[1]!ScoutingData[[#This Row],[matchNumber]])</f>
        <v>13</v>
      </c>
      <c r="D229" t="str">
        <f>IF(ISBLANK([1]!ScoutingData[[#This Row],[event]]),"",[1]!ScoutingData[[#This Row],[event]])</f>
        <v>2024ndgf</v>
      </c>
      <c r="E229" t="str">
        <f>IF(ISBLANK([1]!ScoutingData[[#This Row],[position]]),"",[1]!ScoutingData[[#This Row],[position]])</f>
        <v>[11]</v>
      </c>
      <c r="F229">
        <f>IF(ISBLANK([1]!ScoutingData[[#This Row],[leaveStartingZone]]),"",[1]!ScoutingData[[#This Row],[leaveStartingZone]])</f>
        <v>1</v>
      </c>
      <c r="G229">
        <f>IF(ISBLANK([1]!ScoutingData[[#This Row],[autoAmpScore]]),"",[1]!ScoutingData[[#This Row],[autoAmpScore]])</f>
        <v>0</v>
      </c>
      <c r="H229">
        <f>IF(ISBLANK([1]!ScoutingData[[#This Row],[autoSpeakerScore]]),"",[1]!ScoutingData[[#This Row],[autoSpeakerScore]])</f>
        <v>0</v>
      </c>
    </row>
    <row r="230" spans="1:8" x14ac:dyDescent="0.45">
      <c r="A230">
        <f>IF(ISBLANK([1]!ScoutingData[[#This Row],[teamNumber]]),"",[1]!ScoutingData[[#This Row],[teamNumber]])</f>
        <v>5576</v>
      </c>
      <c r="B230" t="str">
        <f>IF(ISBLANK([1]!ScoutingData[[#This Row],[matchLevel]]),"",[1]!ScoutingData[[#This Row],[matchLevel]])</f>
        <v>qm</v>
      </c>
      <c r="C230">
        <f>IF(ISBLANK([1]!ScoutingData[[#This Row],[matchNumber]]),"",[1]!ScoutingData[[#This Row],[matchNumber]])</f>
        <v>44</v>
      </c>
      <c r="D230" t="str">
        <f>IF(ISBLANK([1]!ScoutingData[[#This Row],[event]]),"",[1]!ScoutingData[[#This Row],[event]])</f>
        <v>2024ndgf</v>
      </c>
      <c r="E230" t="str">
        <f>IF(ISBLANK([1]!ScoutingData[[#This Row],[position]]),"",[1]!ScoutingData[[#This Row],[position]])</f>
        <v>[4]</v>
      </c>
      <c r="F230">
        <f>IF(ISBLANK([1]!ScoutingData[[#This Row],[leaveStartingZone]]),"",[1]!ScoutingData[[#This Row],[leaveStartingZone]])</f>
        <v>1</v>
      </c>
      <c r="G230">
        <f>IF(ISBLANK([1]!ScoutingData[[#This Row],[autoAmpScore]]),"",[1]!ScoutingData[[#This Row],[autoAmpScore]])</f>
        <v>0</v>
      </c>
      <c r="H230">
        <f>IF(ISBLANK([1]!ScoutingData[[#This Row],[autoSpeakerScore]]),"",[1]!ScoutingData[[#This Row],[autoSpeakerScore]])</f>
        <v>0</v>
      </c>
    </row>
    <row r="231" spans="1:8" x14ac:dyDescent="0.45">
      <c r="A231">
        <f>IF(ISBLANK([1]!ScoutingData[[#This Row],[teamNumber]]),"",[1]!ScoutingData[[#This Row],[teamNumber]])</f>
        <v>5638</v>
      </c>
      <c r="B231" t="str">
        <f>IF(ISBLANK([1]!ScoutingData[[#This Row],[matchLevel]]),"",[1]!ScoutingData[[#This Row],[matchLevel]])</f>
        <v>p</v>
      </c>
      <c r="C231">
        <f>IF(ISBLANK([1]!ScoutingData[[#This Row],[matchNumber]]),"",[1]!ScoutingData[[#This Row],[matchNumber]])</f>
        <v>5</v>
      </c>
      <c r="D231" t="str">
        <f>IF(ISBLANK([1]!ScoutingData[[#This Row],[event]]),"",[1]!ScoutingData[[#This Row],[event]])</f>
        <v>2024ndgf</v>
      </c>
      <c r="E231" t="str">
        <f>IF(ISBLANK([1]!ScoutingData[[#This Row],[position]]),"",[1]!ScoutingData[[#This Row],[position]])</f>
        <v>[21]</v>
      </c>
      <c r="F231">
        <f>IF(ISBLANK([1]!ScoutingData[[#This Row],[leaveStartingZone]]),"",[1]!ScoutingData[[#This Row],[leaveStartingZone]])</f>
        <v>1</v>
      </c>
      <c r="G231">
        <f>IF(ISBLANK([1]!ScoutingData[[#This Row],[autoAmpScore]]),"",[1]!ScoutingData[[#This Row],[autoAmpScore]])</f>
        <v>0</v>
      </c>
      <c r="H231">
        <f>IF(ISBLANK([1]!ScoutingData[[#This Row],[autoSpeakerScore]]),"",[1]!ScoutingData[[#This Row],[autoSpeakerScore]])</f>
        <v>4</v>
      </c>
    </row>
    <row r="232" spans="1:8" x14ac:dyDescent="0.45">
      <c r="A232">
        <f>IF(ISBLANK([1]!ScoutingData[[#This Row],[teamNumber]]),"",[1]!ScoutingData[[#This Row],[teamNumber]])</f>
        <v>5638</v>
      </c>
      <c r="B232" t="str">
        <f>IF(ISBLANK([1]!ScoutingData[[#This Row],[matchLevel]]),"",[1]!ScoutingData[[#This Row],[matchLevel]])</f>
        <v>p</v>
      </c>
      <c r="C232">
        <f>IF(ISBLANK([1]!ScoutingData[[#This Row],[matchNumber]]),"",[1]!ScoutingData[[#This Row],[matchNumber]])</f>
        <v>11</v>
      </c>
      <c r="D232" t="str">
        <f>IF(ISBLANK([1]!ScoutingData[[#This Row],[event]]),"",[1]!ScoutingData[[#This Row],[event]])</f>
        <v>2024ndgf</v>
      </c>
      <c r="E232" t="str">
        <f>IF(ISBLANK([1]!ScoutingData[[#This Row],[position]]),"",[1]!ScoutingData[[#This Row],[position]])</f>
        <v>[7]</v>
      </c>
      <c r="F232">
        <f>IF(ISBLANK([1]!ScoutingData[[#This Row],[leaveStartingZone]]),"",[1]!ScoutingData[[#This Row],[leaveStartingZone]])</f>
        <v>0</v>
      </c>
      <c r="G232">
        <f>IF(ISBLANK([1]!ScoutingData[[#This Row],[autoAmpScore]]),"",[1]!ScoutingData[[#This Row],[autoAmpScore]])</f>
        <v>0</v>
      </c>
      <c r="H232">
        <f>IF(ISBLANK([1]!ScoutingData[[#This Row],[autoSpeakerScore]]),"",[1]!ScoutingData[[#This Row],[autoSpeakerScore]])</f>
        <v>1</v>
      </c>
    </row>
    <row r="233" spans="1:8" x14ac:dyDescent="0.45">
      <c r="A233">
        <f>IF(ISBLANK([1]!ScoutingData[[#This Row],[teamNumber]]),"",[1]!ScoutingData[[#This Row],[teamNumber]])</f>
        <v>5638</v>
      </c>
      <c r="B233" t="str">
        <f>IF(ISBLANK([1]!ScoutingData[[#This Row],[matchLevel]]),"",[1]!ScoutingData[[#This Row],[matchLevel]])</f>
        <v>qm</v>
      </c>
      <c r="C233">
        <f>IF(ISBLANK([1]!ScoutingData[[#This Row],[matchNumber]]),"",[1]!ScoutingData[[#This Row],[matchNumber]])</f>
        <v>15</v>
      </c>
      <c r="D233" t="str">
        <f>IF(ISBLANK([1]!ScoutingData[[#This Row],[event]]),"",[1]!ScoutingData[[#This Row],[event]])</f>
        <v>2024ndgf</v>
      </c>
      <c r="E233" t="str">
        <f>IF(ISBLANK([1]!ScoutingData[[#This Row],[position]]),"",[1]!ScoutingData[[#This Row],[position]])</f>
        <v>[20]</v>
      </c>
      <c r="F233">
        <f>IF(ISBLANK([1]!ScoutingData[[#This Row],[leaveStartingZone]]),"",[1]!ScoutingData[[#This Row],[leaveStartingZone]])</f>
        <v>1</v>
      </c>
      <c r="G233">
        <f>IF(ISBLANK([1]!ScoutingData[[#This Row],[autoAmpScore]]),"",[1]!ScoutingData[[#This Row],[autoAmpScore]])</f>
        <v>0</v>
      </c>
      <c r="H233">
        <f>IF(ISBLANK([1]!ScoutingData[[#This Row],[autoSpeakerScore]]),"",[1]!ScoutingData[[#This Row],[autoSpeakerScore]])</f>
        <v>3</v>
      </c>
    </row>
    <row r="234" spans="1:8" x14ac:dyDescent="0.45">
      <c r="A234">
        <f>IF(ISBLANK([1]!ScoutingData[[#This Row],[teamNumber]]),"",[1]!ScoutingData[[#This Row],[teamNumber]])</f>
        <v>5638</v>
      </c>
      <c r="B234" t="str">
        <f>IF(ISBLANK([1]!ScoutingData[[#This Row],[matchLevel]]),"",[1]!ScoutingData[[#This Row],[matchLevel]])</f>
        <v>qm</v>
      </c>
      <c r="C234">
        <f>IF(ISBLANK([1]!ScoutingData[[#This Row],[matchNumber]]),"",[1]!ScoutingData[[#This Row],[matchNumber]])</f>
        <v>9</v>
      </c>
      <c r="D234" t="str">
        <f>IF(ISBLANK([1]!ScoutingData[[#This Row],[event]]),"",[1]!ScoutingData[[#This Row],[event]])</f>
        <v>2024ndgf</v>
      </c>
      <c r="E234" t="str">
        <f>IF(ISBLANK([1]!ScoutingData[[#This Row],[position]]),"",[1]!ScoutingData[[#This Row],[position]])</f>
        <v>[11]</v>
      </c>
      <c r="F234">
        <f>IF(ISBLANK([1]!ScoutingData[[#This Row],[leaveStartingZone]]),"",[1]!ScoutingData[[#This Row],[leaveStartingZone]])</f>
        <v>0</v>
      </c>
      <c r="G234">
        <f>IF(ISBLANK([1]!ScoutingData[[#This Row],[autoAmpScore]]),"",[1]!ScoutingData[[#This Row],[autoAmpScore]])</f>
        <v>0</v>
      </c>
      <c r="H234">
        <f>IF(ISBLANK([1]!ScoutingData[[#This Row],[autoSpeakerScore]]),"",[1]!ScoutingData[[#This Row],[autoSpeakerScore]])</f>
        <v>0</v>
      </c>
    </row>
    <row r="235" spans="1:8" x14ac:dyDescent="0.45">
      <c r="A235">
        <f>IF(ISBLANK([1]!ScoutingData[[#This Row],[teamNumber]]),"",[1]!ScoutingData[[#This Row],[teamNumber]])</f>
        <v>5638</v>
      </c>
      <c r="B235" t="str">
        <f>IF(ISBLANK([1]!ScoutingData[[#This Row],[matchLevel]]),"",[1]!ScoutingData[[#This Row],[matchLevel]])</f>
        <v>qm</v>
      </c>
      <c r="C235">
        <f>IF(ISBLANK([1]!ScoutingData[[#This Row],[matchNumber]]),"",[1]!ScoutingData[[#This Row],[matchNumber]])</f>
        <v>21</v>
      </c>
      <c r="D235" t="str">
        <f>IF(ISBLANK([1]!ScoutingData[[#This Row],[event]]),"",[1]!ScoutingData[[#This Row],[event]])</f>
        <v>2024ndgf</v>
      </c>
      <c r="E235" t="str">
        <f>IF(ISBLANK([1]!ScoutingData[[#This Row],[position]]),"",[1]!ScoutingData[[#This Row],[position]])</f>
        <v>[9]</v>
      </c>
      <c r="F235">
        <f>IF(ISBLANK([1]!ScoutingData[[#This Row],[leaveStartingZone]]),"",[1]!ScoutingData[[#This Row],[leaveStartingZone]])</f>
        <v>0</v>
      </c>
      <c r="G235">
        <f>IF(ISBLANK([1]!ScoutingData[[#This Row],[autoAmpScore]]),"",[1]!ScoutingData[[#This Row],[autoAmpScore]])</f>
        <v>0</v>
      </c>
      <c r="H235">
        <f>IF(ISBLANK([1]!ScoutingData[[#This Row],[autoSpeakerScore]]),"",[1]!ScoutingData[[#This Row],[autoSpeakerScore]])</f>
        <v>2</v>
      </c>
    </row>
    <row r="236" spans="1:8" x14ac:dyDescent="0.45">
      <c r="A236">
        <f>IF(ISBLANK([1]!ScoutingData[[#This Row],[teamNumber]]),"",[1]!ScoutingData[[#This Row],[teamNumber]])</f>
        <v>5638</v>
      </c>
      <c r="B236" t="str">
        <f>IF(ISBLANK([1]!ScoutingData[[#This Row],[matchLevel]]),"",[1]!ScoutingData[[#This Row],[matchLevel]])</f>
        <v>qm</v>
      </c>
      <c r="C236">
        <f>IF(ISBLANK([1]!ScoutingData[[#This Row],[matchNumber]]),"",[1]!ScoutingData[[#This Row],[matchNumber]])</f>
        <v>36</v>
      </c>
      <c r="D236" t="str">
        <f>IF(ISBLANK([1]!ScoutingData[[#This Row],[event]]),"",[1]!ScoutingData[[#This Row],[event]])</f>
        <v>2024ndgf</v>
      </c>
      <c r="E236" t="str">
        <f>IF(ISBLANK([1]!ScoutingData[[#This Row],[position]]),"",[1]!ScoutingData[[#This Row],[position]])</f>
        <v>[7]</v>
      </c>
      <c r="F236">
        <f>IF(ISBLANK([1]!ScoutingData[[#This Row],[leaveStartingZone]]),"",[1]!ScoutingData[[#This Row],[leaveStartingZone]])</f>
        <v>1</v>
      </c>
      <c r="G236">
        <f>IF(ISBLANK([1]!ScoutingData[[#This Row],[autoAmpScore]]),"",[1]!ScoutingData[[#This Row],[autoAmpScore]])</f>
        <v>0</v>
      </c>
      <c r="H236">
        <f>IF(ISBLANK([1]!ScoutingData[[#This Row],[autoSpeakerScore]]),"",[1]!ScoutingData[[#This Row],[autoSpeakerScore]])</f>
        <v>2</v>
      </c>
    </row>
    <row r="237" spans="1:8" x14ac:dyDescent="0.45">
      <c r="A237">
        <f>IF(ISBLANK([1]!ScoutingData[[#This Row],[teamNumber]]),"",[1]!ScoutingData[[#This Row],[teamNumber]])</f>
        <v>5638</v>
      </c>
      <c r="B237" t="str">
        <f>IF(ISBLANK([1]!ScoutingData[[#This Row],[matchLevel]]),"",[1]!ScoutingData[[#This Row],[matchLevel]])</f>
        <v>qm</v>
      </c>
      <c r="C237">
        <f>IF(ISBLANK([1]!ScoutingData[[#This Row],[matchNumber]]),"",[1]!ScoutingData[[#This Row],[matchNumber]])</f>
        <v>54</v>
      </c>
      <c r="D237" t="str">
        <f>IF(ISBLANK([1]!ScoutingData[[#This Row],[event]]),"",[1]!ScoutingData[[#This Row],[event]])</f>
        <v>2024ndgf</v>
      </c>
      <c r="E237" t="str">
        <f>IF(ISBLANK([1]!ScoutingData[[#This Row],[position]]),"",[1]!ScoutingData[[#This Row],[position]])</f>
        <v>[21]</v>
      </c>
      <c r="F237">
        <f>IF(ISBLANK([1]!ScoutingData[[#This Row],[leaveStartingZone]]),"",[1]!ScoutingData[[#This Row],[leaveStartingZone]])</f>
        <v>1</v>
      </c>
      <c r="G237">
        <f>IF(ISBLANK([1]!ScoutingData[[#This Row],[autoAmpScore]]),"",[1]!ScoutingData[[#This Row],[autoAmpScore]])</f>
        <v>0</v>
      </c>
      <c r="H237">
        <f>IF(ISBLANK([1]!ScoutingData[[#This Row],[autoSpeakerScore]]),"",[1]!ScoutingData[[#This Row],[autoSpeakerScore]])</f>
        <v>1</v>
      </c>
    </row>
    <row r="238" spans="1:8" x14ac:dyDescent="0.45">
      <c r="A238">
        <f>IF(ISBLANK([1]!ScoutingData[[#This Row],[teamNumber]]),"",[1]!ScoutingData[[#This Row],[teamNumber]])</f>
        <v>5638</v>
      </c>
      <c r="B238" t="str">
        <f>IF(ISBLANK([1]!ScoutingData[[#This Row],[matchLevel]]),"",[1]!ScoutingData[[#This Row],[matchLevel]])</f>
        <v>qm</v>
      </c>
      <c r="C238">
        <f>IF(ISBLANK([1]!ScoutingData[[#This Row],[matchNumber]]),"",[1]!ScoutingData[[#This Row],[matchNumber]])</f>
        <v>43</v>
      </c>
      <c r="D238" t="str">
        <f>IF(ISBLANK([1]!ScoutingData[[#This Row],[event]]),"",[1]!ScoutingData[[#This Row],[event]])</f>
        <v>2024ndgf</v>
      </c>
      <c r="E238" t="str">
        <f>IF(ISBLANK([1]!ScoutingData[[#This Row],[position]]),"",[1]!ScoutingData[[#This Row],[position]])</f>
        <v>[7]</v>
      </c>
      <c r="F238">
        <f>IF(ISBLANK([1]!ScoutingData[[#This Row],[leaveStartingZone]]),"",[1]!ScoutingData[[#This Row],[leaveStartingZone]])</f>
        <v>1</v>
      </c>
      <c r="G238">
        <f>IF(ISBLANK([1]!ScoutingData[[#This Row],[autoAmpScore]]),"",[1]!ScoutingData[[#This Row],[autoAmpScore]])</f>
        <v>0</v>
      </c>
      <c r="H238">
        <f>IF(ISBLANK([1]!ScoutingData[[#This Row],[autoSpeakerScore]]),"",[1]!ScoutingData[[#This Row],[autoSpeakerScore]])</f>
        <v>0</v>
      </c>
    </row>
    <row r="239" spans="1:8" x14ac:dyDescent="0.45">
      <c r="A239">
        <f>IF(ISBLANK([1]!ScoutingData[[#This Row],[teamNumber]]),"",[1]!ScoutingData[[#This Row],[teamNumber]])</f>
        <v>5658</v>
      </c>
      <c r="B239" t="str">
        <f>IF(ISBLANK([1]!ScoutingData[[#This Row],[matchLevel]]),"",[1]!ScoutingData[[#This Row],[matchLevel]])</f>
        <v>qm</v>
      </c>
      <c r="C239">
        <f>IF(ISBLANK([1]!ScoutingData[[#This Row],[matchNumber]]),"",[1]!ScoutingData[[#This Row],[matchNumber]])</f>
        <v>28</v>
      </c>
      <c r="D239" t="str">
        <f>IF(ISBLANK([1]!ScoutingData[[#This Row],[event]]),"",[1]!ScoutingData[[#This Row],[event]])</f>
        <v>2024ndgf</v>
      </c>
      <c r="E239" t="str">
        <f>IF(ISBLANK([1]!ScoutingData[[#This Row],[position]]),"",[1]!ScoutingData[[#This Row],[position]])</f>
        <v>[23]</v>
      </c>
      <c r="F239">
        <f>IF(ISBLANK([1]!ScoutingData[[#This Row],[leaveStartingZone]]),"",[1]!ScoutingData[[#This Row],[leaveStartingZone]])</f>
        <v>0</v>
      </c>
      <c r="G239">
        <f>IF(ISBLANK([1]!ScoutingData[[#This Row],[autoAmpScore]]),"",[1]!ScoutingData[[#This Row],[autoAmpScore]])</f>
        <v>0</v>
      </c>
      <c r="H239">
        <f>IF(ISBLANK([1]!ScoutingData[[#This Row],[autoSpeakerScore]]),"",[1]!ScoutingData[[#This Row],[autoSpeakerScore]])</f>
        <v>0</v>
      </c>
    </row>
    <row r="240" spans="1:8" x14ac:dyDescent="0.45">
      <c r="A240">
        <f>IF(ISBLANK([1]!ScoutingData[[#This Row],[teamNumber]]),"",[1]!ScoutingData[[#This Row],[teamNumber]])</f>
        <v>5658</v>
      </c>
      <c r="B240" t="str">
        <f>IF(ISBLANK([1]!ScoutingData[[#This Row],[matchLevel]]),"",[1]!ScoutingData[[#This Row],[matchLevel]])</f>
        <v>p</v>
      </c>
      <c r="C240">
        <f>IF(ISBLANK([1]!ScoutingData[[#This Row],[matchNumber]]),"",[1]!ScoutingData[[#This Row],[matchNumber]])</f>
        <v>37</v>
      </c>
      <c r="D240" t="str">
        <f>IF(ISBLANK([1]!ScoutingData[[#This Row],[event]]),"",[1]!ScoutingData[[#This Row],[event]])</f>
        <v>2024ndgf</v>
      </c>
      <c r="E240" t="str">
        <f>IF(ISBLANK([1]!ScoutingData[[#This Row],[position]]),"",[1]!ScoutingData[[#This Row],[position]])</f>
        <v>[10]</v>
      </c>
      <c r="F240">
        <f>IF(ISBLANK([1]!ScoutingData[[#This Row],[leaveStartingZone]]),"",[1]!ScoutingData[[#This Row],[leaveStartingZone]])</f>
        <v>0</v>
      </c>
      <c r="G240">
        <f>IF(ISBLANK([1]!ScoutingData[[#This Row],[autoAmpScore]]),"",[1]!ScoutingData[[#This Row],[autoAmpScore]])</f>
        <v>0</v>
      </c>
      <c r="H240">
        <f>IF(ISBLANK([1]!ScoutingData[[#This Row],[autoSpeakerScore]]),"",[1]!ScoutingData[[#This Row],[autoSpeakerScore]])</f>
        <v>0</v>
      </c>
    </row>
    <row r="241" spans="1:8" x14ac:dyDescent="0.45">
      <c r="A241">
        <f>IF(ISBLANK([1]!ScoutingData[[#This Row],[teamNumber]]),"",[1]!ScoutingData[[#This Row],[teamNumber]])</f>
        <v>5658</v>
      </c>
      <c r="B241" t="str">
        <f>IF(ISBLANK([1]!ScoutingData[[#This Row],[matchLevel]]),"",[1]!ScoutingData[[#This Row],[matchLevel]])</f>
        <v>qm</v>
      </c>
      <c r="C241">
        <f>IF(ISBLANK([1]!ScoutingData[[#This Row],[matchNumber]]),"",[1]!ScoutingData[[#This Row],[matchNumber]])</f>
        <v>9</v>
      </c>
      <c r="D241" t="str">
        <f>IF(ISBLANK([1]!ScoutingData[[#This Row],[event]]),"",[1]!ScoutingData[[#This Row],[event]])</f>
        <v>2024ndgf</v>
      </c>
      <c r="E241" t="str">
        <f>IF(ISBLANK([1]!ScoutingData[[#This Row],[position]]),"",[1]!ScoutingData[[#This Row],[position]])</f>
        <v>[4]</v>
      </c>
      <c r="F241">
        <f>IF(ISBLANK([1]!ScoutingData[[#This Row],[leaveStartingZone]]),"",[1]!ScoutingData[[#This Row],[leaveStartingZone]])</f>
        <v>1</v>
      </c>
      <c r="G241">
        <f>IF(ISBLANK([1]!ScoutingData[[#This Row],[autoAmpScore]]),"",[1]!ScoutingData[[#This Row],[autoAmpScore]])</f>
        <v>0</v>
      </c>
      <c r="H241">
        <f>IF(ISBLANK([1]!ScoutingData[[#This Row],[autoSpeakerScore]]),"",[1]!ScoutingData[[#This Row],[autoSpeakerScore]])</f>
        <v>0</v>
      </c>
    </row>
    <row r="242" spans="1:8" x14ac:dyDescent="0.45">
      <c r="A242">
        <f>IF(ISBLANK([1]!ScoutingData[[#This Row],[teamNumber]]),"",[1]!ScoutingData[[#This Row],[teamNumber]])</f>
        <v>5658</v>
      </c>
      <c r="B242" t="str">
        <f>IF(ISBLANK([1]!ScoutingData[[#This Row],[matchLevel]]),"",[1]!ScoutingData[[#This Row],[matchLevel]])</f>
        <v>qm</v>
      </c>
      <c r="C242">
        <f>IF(ISBLANK([1]!ScoutingData[[#This Row],[matchNumber]]),"",[1]!ScoutingData[[#This Row],[matchNumber]])</f>
        <v>46</v>
      </c>
      <c r="D242" t="str">
        <f>IF(ISBLANK([1]!ScoutingData[[#This Row],[event]]),"",[1]!ScoutingData[[#This Row],[event]])</f>
        <v>2024ndgf</v>
      </c>
      <c r="E242" t="str">
        <f>IF(ISBLANK([1]!ScoutingData[[#This Row],[position]]),"",[1]!ScoutingData[[#This Row],[position]])</f>
        <v>[3]</v>
      </c>
      <c r="F242">
        <f>IF(ISBLANK([1]!ScoutingData[[#This Row],[leaveStartingZone]]),"",[1]!ScoutingData[[#This Row],[leaveStartingZone]])</f>
        <v>1</v>
      </c>
      <c r="G242">
        <f>IF(ISBLANK([1]!ScoutingData[[#This Row],[autoAmpScore]]),"",[1]!ScoutingData[[#This Row],[autoAmpScore]])</f>
        <v>0</v>
      </c>
      <c r="H242">
        <f>IF(ISBLANK([1]!ScoutingData[[#This Row],[autoSpeakerScore]]),"",[1]!ScoutingData[[#This Row],[autoSpeakerScore]])</f>
        <v>0</v>
      </c>
    </row>
    <row r="243" spans="1:8" x14ac:dyDescent="0.45">
      <c r="A243">
        <f>IF(ISBLANK([1]!ScoutingData[[#This Row],[teamNumber]]),"",[1]!ScoutingData[[#This Row],[teamNumber]])</f>
        <v>5929</v>
      </c>
      <c r="B243" t="str">
        <f>IF(ISBLANK([1]!ScoutingData[[#This Row],[matchLevel]]),"",[1]!ScoutingData[[#This Row],[matchLevel]])</f>
        <v>qm</v>
      </c>
      <c r="C243">
        <f>IF(ISBLANK([1]!ScoutingData[[#This Row],[matchNumber]]),"",[1]!ScoutingData[[#This Row],[matchNumber]])</f>
        <v>15</v>
      </c>
      <c r="D243" t="str">
        <f>IF(ISBLANK([1]!ScoutingData[[#This Row],[event]]),"",[1]!ScoutingData[[#This Row],[event]])</f>
        <v>2024ndgf</v>
      </c>
      <c r="E243" t="str">
        <f>IF(ISBLANK([1]!ScoutingData[[#This Row],[position]]),"",[1]!ScoutingData[[#This Row],[position]])</f>
        <v>[3]</v>
      </c>
      <c r="F243">
        <f>IF(ISBLANK([1]!ScoutingData[[#This Row],[leaveStartingZone]]),"",[1]!ScoutingData[[#This Row],[leaveStartingZone]])</f>
        <v>1</v>
      </c>
      <c r="G243">
        <f>IF(ISBLANK([1]!ScoutingData[[#This Row],[autoAmpScore]]),"",[1]!ScoutingData[[#This Row],[autoAmpScore]])</f>
        <v>0</v>
      </c>
      <c r="H243">
        <f>IF(ISBLANK([1]!ScoutingData[[#This Row],[autoSpeakerScore]]),"",[1]!ScoutingData[[#This Row],[autoSpeakerScore]])</f>
        <v>0</v>
      </c>
    </row>
    <row r="244" spans="1:8" x14ac:dyDescent="0.45">
      <c r="A244">
        <f>IF(ISBLANK([1]!ScoutingData[[#This Row],[teamNumber]]),"",[1]!ScoutingData[[#This Row],[teamNumber]])</f>
        <v>5929</v>
      </c>
      <c r="B244" t="str">
        <f>IF(ISBLANK([1]!ScoutingData[[#This Row],[matchLevel]]),"",[1]!ScoutingData[[#This Row],[matchLevel]])</f>
        <v>qm</v>
      </c>
      <c r="C244">
        <f>IF(ISBLANK([1]!ScoutingData[[#This Row],[matchNumber]]),"",[1]!ScoutingData[[#This Row],[matchNumber]])</f>
        <v>6</v>
      </c>
      <c r="D244" t="str">
        <f>IF(ISBLANK([1]!ScoutingData[[#This Row],[event]]),"",[1]!ScoutingData[[#This Row],[event]])</f>
        <v>2024ndgf</v>
      </c>
      <c r="E244" t="str">
        <f>IF(ISBLANK([1]!ScoutingData[[#This Row],[position]]),"",[1]!ScoutingData[[#This Row],[position]])</f>
        <v>[3]</v>
      </c>
      <c r="F244">
        <f>IF(ISBLANK([1]!ScoutingData[[#This Row],[leaveStartingZone]]),"",[1]!ScoutingData[[#This Row],[leaveStartingZone]])</f>
        <v>1</v>
      </c>
      <c r="G244">
        <f>IF(ISBLANK([1]!ScoutingData[[#This Row],[autoAmpScore]]),"",[1]!ScoutingData[[#This Row],[autoAmpScore]])</f>
        <v>0</v>
      </c>
      <c r="H244">
        <f>IF(ISBLANK([1]!ScoutingData[[#This Row],[autoSpeakerScore]]),"",[1]!ScoutingData[[#This Row],[autoSpeakerScore]])</f>
        <v>0</v>
      </c>
    </row>
    <row r="245" spans="1:8" x14ac:dyDescent="0.45">
      <c r="A245">
        <f>IF(ISBLANK([1]!ScoutingData[[#This Row],[teamNumber]]),"",[1]!ScoutingData[[#This Row],[teamNumber]])</f>
        <v>5929</v>
      </c>
      <c r="B245" t="str">
        <f>IF(ISBLANK([1]!ScoutingData[[#This Row],[matchLevel]]),"",[1]!ScoutingData[[#This Row],[matchLevel]])</f>
        <v>qm</v>
      </c>
      <c r="C245">
        <f>IF(ISBLANK([1]!ScoutingData[[#This Row],[matchNumber]]),"",[1]!ScoutingData[[#This Row],[matchNumber]])</f>
        <v>45</v>
      </c>
      <c r="D245" t="str">
        <f>IF(ISBLANK([1]!ScoutingData[[#This Row],[event]]),"",[1]!ScoutingData[[#This Row],[event]])</f>
        <v>2024ndgf</v>
      </c>
      <c r="E245" t="str">
        <f>IF(ISBLANK([1]!ScoutingData[[#This Row],[position]]),"",[1]!ScoutingData[[#This Row],[position]])</f>
        <v>[3]</v>
      </c>
      <c r="F245">
        <f>IF(ISBLANK([1]!ScoutingData[[#This Row],[leaveStartingZone]]),"",[1]!ScoutingData[[#This Row],[leaveStartingZone]])</f>
        <v>1</v>
      </c>
      <c r="G245">
        <f>IF(ISBLANK([1]!ScoutingData[[#This Row],[autoAmpScore]]),"",[1]!ScoutingData[[#This Row],[autoAmpScore]])</f>
        <v>0</v>
      </c>
      <c r="H245">
        <f>IF(ISBLANK([1]!ScoutingData[[#This Row],[autoSpeakerScore]]),"",[1]!ScoutingData[[#This Row],[autoSpeakerScore]])</f>
        <v>0</v>
      </c>
    </row>
    <row r="246" spans="1:8" x14ac:dyDescent="0.45">
      <c r="A246">
        <f>IF(ISBLANK([1]!ScoutingData[[#This Row],[teamNumber]]),"",[1]!ScoutingData[[#This Row],[teamNumber]])</f>
        <v>5929</v>
      </c>
      <c r="B246" t="str">
        <f>IF(ISBLANK([1]!ScoutingData[[#This Row],[matchLevel]]),"",[1]!ScoutingData[[#This Row],[matchLevel]])</f>
        <v>qm</v>
      </c>
      <c r="C246">
        <f>IF(ISBLANK([1]!ScoutingData[[#This Row],[matchNumber]]),"",[1]!ScoutingData[[#This Row],[matchNumber]])</f>
        <v>52</v>
      </c>
      <c r="D246" t="str">
        <f>IF(ISBLANK([1]!ScoutingData[[#This Row],[event]]),"",[1]!ScoutingData[[#This Row],[event]])</f>
        <v>2024ndgf</v>
      </c>
      <c r="E246" t="str">
        <f>IF(ISBLANK([1]!ScoutingData[[#This Row],[position]]),"",[1]!ScoutingData[[#This Row],[position]])</f>
        <v>[5]</v>
      </c>
      <c r="F246">
        <f>IF(ISBLANK([1]!ScoutingData[[#This Row],[leaveStartingZone]]),"",[1]!ScoutingData[[#This Row],[leaveStartingZone]])</f>
        <v>1</v>
      </c>
      <c r="G246">
        <f>IF(ISBLANK([1]!ScoutingData[[#This Row],[autoAmpScore]]),"",[1]!ScoutingData[[#This Row],[autoAmpScore]])</f>
        <v>0</v>
      </c>
      <c r="H246">
        <f>IF(ISBLANK([1]!ScoutingData[[#This Row],[autoSpeakerScore]]),"",[1]!ScoutingData[[#This Row],[autoSpeakerScore]])</f>
        <v>0</v>
      </c>
    </row>
    <row r="247" spans="1:8" x14ac:dyDescent="0.45">
      <c r="A247">
        <f>IF(ISBLANK([1]!ScoutingData[[#This Row],[teamNumber]]),"",[1]!ScoutingData[[#This Row],[teamNumber]])</f>
        <v>5929</v>
      </c>
      <c r="B247" t="str">
        <f>IF(ISBLANK([1]!ScoutingData[[#This Row],[matchLevel]]),"",[1]!ScoutingData[[#This Row],[matchLevel]])</f>
        <v>qm</v>
      </c>
      <c r="C247">
        <f>IF(ISBLANK([1]!ScoutingData[[#This Row],[matchNumber]]),"",[1]!ScoutingData[[#This Row],[matchNumber]])</f>
        <v>62</v>
      </c>
      <c r="D247" t="str">
        <f>IF(ISBLANK([1]!ScoutingData[[#This Row],[event]]),"",[1]!ScoutingData[[#This Row],[event]])</f>
        <v>2024ndgf</v>
      </c>
      <c r="E247" t="str">
        <f>IF(ISBLANK([1]!ScoutingData[[#This Row],[position]]),"",[1]!ScoutingData[[#This Row],[position]])</f>
        <v>[5]</v>
      </c>
      <c r="F247">
        <f>IF(ISBLANK([1]!ScoutingData[[#This Row],[leaveStartingZone]]),"",[1]!ScoutingData[[#This Row],[leaveStartingZone]])</f>
        <v>1</v>
      </c>
      <c r="G247">
        <f>IF(ISBLANK([1]!ScoutingData[[#This Row],[autoAmpScore]]),"",[1]!ScoutingData[[#This Row],[autoAmpScore]])</f>
        <v>0</v>
      </c>
      <c r="H247">
        <f>IF(ISBLANK([1]!ScoutingData[[#This Row],[autoSpeakerScore]]),"",[1]!ScoutingData[[#This Row],[autoSpeakerScore]])</f>
        <v>0</v>
      </c>
    </row>
    <row r="248" spans="1:8" x14ac:dyDescent="0.45">
      <c r="A248">
        <f>IF(ISBLANK([1]!ScoutingData[[#This Row],[teamNumber]]),"",[1]!ScoutingData[[#This Row],[teamNumber]])</f>
        <v>6146</v>
      </c>
      <c r="B248" t="str">
        <f>IF(ISBLANK([1]!ScoutingData[[#This Row],[matchLevel]]),"",[1]!ScoutingData[[#This Row],[matchLevel]])</f>
        <v>p</v>
      </c>
      <c r="C248">
        <f>IF(ISBLANK([1]!ScoutingData[[#This Row],[matchNumber]]),"",[1]!ScoutingData[[#This Row],[matchNumber]])</f>
        <v>22</v>
      </c>
      <c r="D248" t="str">
        <f>IF(ISBLANK([1]!ScoutingData[[#This Row],[event]]),"",[1]!ScoutingData[[#This Row],[event]])</f>
        <v>2024ndgf</v>
      </c>
      <c r="E248" t="str">
        <f>IF(ISBLANK([1]!ScoutingData[[#This Row],[position]]),"",[1]!ScoutingData[[#This Row],[position]])</f>
        <v>[9]</v>
      </c>
      <c r="F248">
        <f>IF(ISBLANK([1]!ScoutingData[[#This Row],[leaveStartingZone]]),"",[1]!ScoutingData[[#This Row],[leaveStartingZone]])</f>
        <v>1</v>
      </c>
      <c r="G248">
        <f>IF(ISBLANK([1]!ScoutingData[[#This Row],[autoAmpScore]]),"",[1]!ScoutingData[[#This Row],[autoAmpScore]])</f>
        <v>0</v>
      </c>
      <c r="H248">
        <f>IF(ISBLANK([1]!ScoutingData[[#This Row],[autoSpeakerScore]]),"",[1]!ScoutingData[[#This Row],[autoSpeakerScore]])</f>
        <v>3</v>
      </c>
    </row>
    <row r="249" spans="1:8" x14ac:dyDescent="0.45">
      <c r="A249">
        <f>IF(ISBLANK([1]!ScoutingData[[#This Row],[teamNumber]]),"",[1]!ScoutingData[[#This Row],[teamNumber]])</f>
        <v>6146</v>
      </c>
      <c r="B249" t="str">
        <f>IF(ISBLANK([1]!ScoutingData[[#This Row],[matchLevel]]),"",[1]!ScoutingData[[#This Row],[matchLevel]])</f>
        <v>p</v>
      </c>
      <c r="C249">
        <f>IF(ISBLANK([1]!ScoutingData[[#This Row],[matchNumber]]),"",[1]!ScoutingData[[#This Row],[matchNumber]])</f>
        <v>11</v>
      </c>
      <c r="D249" t="str">
        <f>IF(ISBLANK([1]!ScoutingData[[#This Row],[event]]),"",[1]!ScoutingData[[#This Row],[event]])</f>
        <v>2024ndgf</v>
      </c>
      <c r="E249" t="str">
        <f>IF(ISBLANK([1]!ScoutingData[[#This Row],[position]]),"",[1]!ScoutingData[[#This Row],[position]])</f>
        <v>[7]</v>
      </c>
      <c r="F249">
        <f>IF(ISBLANK([1]!ScoutingData[[#This Row],[leaveStartingZone]]),"",[1]!ScoutingData[[#This Row],[leaveStartingZone]])</f>
        <v>1</v>
      </c>
      <c r="G249">
        <f>IF(ISBLANK([1]!ScoutingData[[#This Row],[autoAmpScore]]),"",[1]!ScoutingData[[#This Row],[autoAmpScore]])</f>
        <v>0</v>
      </c>
      <c r="H249">
        <f>IF(ISBLANK([1]!ScoutingData[[#This Row],[autoSpeakerScore]]),"",[1]!ScoutingData[[#This Row],[autoSpeakerScore]])</f>
        <v>0</v>
      </c>
    </row>
    <row r="250" spans="1:8" x14ac:dyDescent="0.45">
      <c r="A250">
        <f>IF(ISBLANK([1]!ScoutingData[[#This Row],[teamNumber]]),"",[1]!ScoutingData[[#This Row],[teamNumber]])</f>
        <v>6146</v>
      </c>
      <c r="B250" t="str">
        <f>IF(ISBLANK([1]!ScoutingData[[#This Row],[matchLevel]]),"",[1]!ScoutingData[[#This Row],[matchLevel]])</f>
        <v>qm</v>
      </c>
      <c r="C250">
        <f>IF(ISBLANK([1]!ScoutingData[[#This Row],[matchNumber]]),"",[1]!ScoutingData[[#This Row],[matchNumber]])</f>
        <v>28</v>
      </c>
      <c r="D250" t="str">
        <f>IF(ISBLANK([1]!ScoutingData[[#This Row],[event]]),"",[1]!ScoutingData[[#This Row],[event]])</f>
        <v>2024ndgf</v>
      </c>
      <c r="E250" t="str">
        <f>IF(ISBLANK([1]!ScoutingData[[#This Row],[position]]),"",[1]!ScoutingData[[#This Row],[position]])</f>
        <v>[9]</v>
      </c>
      <c r="F250">
        <f>IF(ISBLANK([1]!ScoutingData[[#This Row],[leaveStartingZone]]),"",[1]!ScoutingData[[#This Row],[leaveStartingZone]])</f>
        <v>1</v>
      </c>
      <c r="G250">
        <f>IF(ISBLANK([1]!ScoutingData[[#This Row],[autoAmpScore]]),"",[1]!ScoutingData[[#This Row],[autoAmpScore]])</f>
        <v>0</v>
      </c>
      <c r="H250">
        <f>IF(ISBLANK([1]!ScoutingData[[#This Row],[autoSpeakerScore]]),"",[1]!ScoutingData[[#This Row],[autoSpeakerScore]])</f>
        <v>2</v>
      </c>
    </row>
    <row r="251" spans="1:8" x14ac:dyDescent="0.45">
      <c r="A251">
        <f>IF(ISBLANK([1]!ScoutingData[[#This Row],[teamNumber]]),"",[1]!ScoutingData[[#This Row],[teamNumber]])</f>
        <v>6146</v>
      </c>
      <c r="B251" t="str">
        <f>IF(ISBLANK([1]!ScoutingData[[#This Row],[matchLevel]]),"",[1]!ScoutingData[[#This Row],[matchLevel]])</f>
        <v>qm</v>
      </c>
      <c r="C251">
        <f>IF(ISBLANK([1]!ScoutingData[[#This Row],[matchNumber]]),"",[1]!ScoutingData[[#This Row],[matchNumber]])</f>
        <v>5</v>
      </c>
      <c r="D251" t="str">
        <f>IF(ISBLANK([1]!ScoutingData[[#This Row],[event]]),"",[1]!ScoutingData[[#This Row],[event]])</f>
        <v>2024ndgf</v>
      </c>
      <c r="E251" t="str">
        <f>IF(ISBLANK([1]!ScoutingData[[#This Row],[position]]),"",[1]!ScoutingData[[#This Row],[position]])</f>
        <v>[8]</v>
      </c>
      <c r="F251">
        <f>IF(ISBLANK([1]!ScoutingData[[#This Row],[leaveStartingZone]]),"",[1]!ScoutingData[[#This Row],[leaveStartingZone]])</f>
        <v>1</v>
      </c>
      <c r="G251">
        <f>IF(ISBLANK([1]!ScoutingData[[#This Row],[autoAmpScore]]),"",[1]!ScoutingData[[#This Row],[autoAmpScore]])</f>
        <v>0</v>
      </c>
      <c r="H251">
        <f>IF(ISBLANK([1]!ScoutingData[[#This Row],[autoSpeakerScore]]),"",[1]!ScoutingData[[#This Row],[autoSpeakerScore]])</f>
        <v>1</v>
      </c>
    </row>
    <row r="252" spans="1:8" x14ac:dyDescent="0.45">
      <c r="A252">
        <f>IF(ISBLANK([1]!ScoutingData[[#This Row],[teamNumber]]),"",[1]!ScoutingData[[#This Row],[teamNumber]])</f>
        <v>6146</v>
      </c>
      <c r="B252" t="str">
        <f>IF(ISBLANK([1]!ScoutingData[[#This Row],[matchLevel]]),"",[1]!ScoutingData[[#This Row],[matchLevel]])</f>
        <v>qm</v>
      </c>
      <c r="C252">
        <f>IF(ISBLANK([1]!ScoutingData[[#This Row],[matchNumber]]),"",[1]!ScoutingData[[#This Row],[matchNumber]])</f>
        <v>34</v>
      </c>
      <c r="D252" t="str">
        <f>IF(ISBLANK([1]!ScoutingData[[#This Row],[event]]),"",[1]!ScoutingData[[#This Row],[event]])</f>
        <v>2024ndgf</v>
      </c>
      <c r="E252" t="str">
        <f>IF(ISBLANK([1]!ScoutingData[[#This Row],[position]]),"",[1]!ScoutingData[[#This Row],[position]])</f>
        <v>[7]</v>
      </c>
      <c r="F252">
        <f>IF(ISBLANK([1]!ScoutingData[[#This Row],[leaveStartingZone]]),"",[1]!ScoutingData[[#This Row],[leaveStartingZone]])</f>
        <v>0</v>
      </c>
      <c r="G252">
        <f>IF(ISBLANK([1]!ScoutingData[[#This Row],[autoAmpScore]]),"",[1]!ScoutingData[[#This Row],[autoAmpScore]])</f>
        <v>0</v>
      </c>
      <c r="H252">
        <f>IF(ISBLANK([1]!ScoutingData[[#This Row],[autoSpeakerScore]]),"",[1]!ScoutingData[[#This Row],[autoSpeakerScore]])</f>
        <v>1</v>
      </c>
    </row>
    <row r="253" spans="1:8" x14ac:dyDescent="0.45">
      <c r="A253">
        <f>IF(ISBLANK([1]!ScoutingData[[#This Row],[teamNumber]]),"",[1]!ScoutingData[[#This Row],[teamNumber]])</f>
        <v>6146</v>
      </c>
      <c r="B253" t="str">
        <f>IF(ISBLANK([1]!ScoutingData[[#This Row],[matchLevel]]),"",[1]!ScoutingData[[#This Row],[matchLevel]])</f>
        <v>qm</v>
      </c>
      <c r="C253">
        <f>IF(ISBLANK([1]!ScoutingData[[#This Row],[matchNumber]]),"",[1]!ScoutingData[[#This Row],[matchNumber]])</f>
        <v>40</v>
      </c>
      <c r="D253" t="str">
        <f>IF(ISBLANK([1]!ScoutingData[[#This Row],[event]]),"",[1]!ScoutingData[[#This Row],[event]])</f>
        <v>2024ndgf</v>
      </c>
      <c r="E253" t="str">
        <f>IF(ISBLANK([1]!ScoutingData[[#This Row],[position]]),"",[1]!ScoutingData[[#This Row],[position]])</f>
        <v>[21]</v>
      </c>
      <c r="F253">
        <f>IF(ISBLANK([1]!ScoutingData[[#This Row],[leaveStartingZone]]),"",[1]!ScoutingData[[#This Row],[leaveStartingZone]])</f>
        <v>0</v>
      </c>
      <c r="G253">
        <f>IF(ISBLANK([1]!ScoutingData[[#This Row],[autoAmpScore]]),"",[1]!ScoutingData[[#This Row],[autoAmpScore]])</f>
        <v>0</v>
      </c>
      <c r="H253">
        <f>IF(ISBLANK([1]!ScoutingData[[#This Row],[autoSpeakerScore]]),"",[1]!ScoutingData[[#This Row],[autoSpeakerScore]])</f>
        <v>2</v>
      </c>
    </row>
    <row r="254" spans="1:8" x14ac:dyDescent="0.45">
      <c r="A254">
        <f>IF(ISBLANK([1]!ScoutingData[[#This Row],[teamNumber]]),"",[1]!ScoutingData[[#This Row],[teamNumber]])</f>
        <v>6175</v>
      </c>
      <c r="B254" t="str">
        <f>IF(ISBLANK([1]!ScoutingData[[#This Row],[matchLevel]]),"",[1]!ScoutingData[[#This Row],[matchLevel]])</f>
        <v>p</v>
      </c>
      <c r="C254">
        <f>IF(ISBLANK([1]!ScoutingData[[#This Row],[matchNumber]]),"",[1]!ScoutingData[[#This Row],[matchNumber]])</f>
        <v>5</v>
      </c>
      <c r="D254" t="str">
        <f>IF(ISBLANK([1]!ScoutingData[[#This Row],[event]]),"",[1]!ScoutingData[[#This Row],[event]])</f>
        <v>2024ndgf</v>
      </c>
      <c r="E254" t="str">
        <f>IF(ISBLANK([1]!ScoutingData[[#This Row],[position]]),"",[1]!ScoutingData[[#This Row],[position]])</f>
        <v>[12]</v>
      </c>
      <c r="F254">
        <f>IF(ISBLANK([1]!ScoutingData[[#This Row],[leaveStartingZone]]),"",[1]!ScoutingData[[#This Row],[leaveStartingZone]])</f>
        <v>0</v>
      </c>
      <c r="G254">
        <f>IF(ISBLANK([1]!ScoutingData[[#This Row],[autoAmpScore]]),"",[1]!ScoutingData[[#This Row],[autoAmpScore]])</f>
        <v>0</v>
      </c>
      <c r="H254">
        <f>IF(ISBLANK([1]!ScoutingData[[#This Row],[autoSpeakerScore]]),"",[1]!ScoutingData[[#This Row],[autoSpeakerScore]])</f>
        <v>0</v>
      </c>
    </row>
    <row r="255" spans="1:8" x14ac:dyDescent="0.45">
      <c r="A255">
        <f>IF(ISBLANK([1]!ScoutingData[[#This Row],[teamNumber]]),"",[1]!ScoutingData[[#This Row],[teamNumber]])</f>
        <v>6175</v>
      </c>
      <c r="B255" t="str">
        <f>IF(ISBLANK([1]!ScoutingData[[#This Row],[matchLevel]]),"",[1]!ScoutingData[[#This Row],[matchLevel]])</f>
        <v>qm</v>
      </c>
      <c r="C255">
        <f>IF(ISBLANK([1]!ScoutingData[[#This Row],[matchNumber]]),"",[1]!ScoutingData[[#This Row],[matchNumber]])</f>
        <v>12</v>
      </c>
      <c r="D255" t="str">
        <f>IF(ISBLANK([1]!ScoutingData[[#This Row],[event]]),"",[1]!ScoutingData[[#This Row],[event]])</f>
        <v>2024ndgf</v>
      </c>
      <c r="E255" t="str">
        <f>IF(ISBLANK([1]!ScoutingData[[#This Row],[position]]),"",[1]!ScoutingData[[#This Row],[position]])</f>
        <v>[21]</v>
      </c>
      <c r="F255">
        <f>IF(ISBLANK([1]!ScoutingData[[#This Row],[leaveStartingZone]]),"",[1]!ScoutingData[[#This Row],[leaveStartingZone]])</f>
        <v>1</v>
      </c>
      <c r="G255">
        <f>IF(ISBLANK([1]!ScoutingData[[#This Row],[autoAmpScore]]),"",[1]!ScoutingData[[#This Row],[autoAmpScore]])</f>
        <v>0</v>
      </c>
      <c r="H255">
        <f>IF(ISBLANK([1]!ScoutingData[[#This Row],[autoSpeakerScore]]),"",[1]!ScoutingData[[#This Row],[autoSpeakerScore]])</f>
        <v>1</v>
      </c>
    </row>
    <row r="256" spans="1:8" x14ac:dyDescent="0.45">
      <c r="A256">
        <f>IF(ISBLANK([1]!ScoutingData[[#This Row],[teamNumber]]),"",[1]!ScoutingData[[#This Row],[teamNumber]])</f>
        <v>6175</v>
      </c>
      <c r="B256" t="str">
        <f>IF(ISBLANK([1]!ScoutingData[[#This Row],[matchLevel]]),"",[1]!ScoutingData[[#This Row],[matchLevel]])</f>
        <v>qm</v>
      </c>
      <c r="C256">
        <f>IF(ISBLANK([1]!ScoutingData[[#This Row],[matchNumber]]),"",[1]!ScoutingData[[#This Row],[matchNumber]])</f>
        <v>34</v>
      </c>
      <c r="D256" t="str">
        <f>IF(ISBLANK([1]!ScoutingData[[#This Row],[event]]),"",[1]!ScoutingData[[#This Row],[event]])</f>
        <v>2024ndgf</v>
      </c>
      <c r="E256" t="str">
        <f>IF(ISBLANK([1]!ScoutingData[[#This Row],[position]]),"",[1]!ScoutingData[[#This Row],[position]])</f>
        <v>[10]</v>
      </c>
      <c r="F256">
        <f>IF(ISBLANK([1]!ScoutingData[[#This Row],[leaveStartingZone]]),"",[1]!ScoutingData[[#This Row],[leaveStartingZone]])</f>
        <v>1</v>
      </c>
      <c r="G256">
        <f>IF(ISBLANK([1]!ScoutingData[[#This Row],[autoAmpScore]]),"",[1]!ScoutingData[[#This Row],[autoAmpScore]])</f>
        <v>0</v>
      </c>
      <c r="H256">
        <f>IF(ISBLANK([1]!ScoutingData[[#This Row],[autoSpeakerScore]]),"",[1]!ScoutingData[[#This Row],[autoSpeakerScore]])</f>
        <v>1</v>
      </c>
    </row>
    <row r="257" spans="1:8" x14ac:dyDescent="0.45">
      <c r="A257">
        <f>IF(ISBLANK([1]!ScoutingData[[#This Row],[teamNumber]]),"",[1]!ScoutingData[[#This Row],[teamNumber]])</f>
        <v>6175</v>
      </c>
      <c r="B257" t="str">
        <f>IF(ISBLANK([1]!ScoutingData[[#This Row],[matchLevel]]),"",[1]!ScoutingData[[#This Row],[matchLevel]])</f>
        <v>qm</v>
      </c>
      <c r="C257">
        <f>IF(ISBLANK([1]!ScoutingData[[#This Row],[matchNumber]]),"",[1]!ScoutingData[[#This Row],[matchNumber]])</f>
        <v>59</v>
      </c>
      <c r="D257" t="str">
        <f>IF(ISBLANK([1]!ScoutingData[[#This Row],[event]]),"",[1]!ScoutingData[[#This Row],[event]])</f>
        <v>2024ndgf</v>
      </c>
      <c r="E257" t="str">
        <f>IF(ISBLANK([1]!ScoutingData[[#This Row],[position]]),"",[1]!ScoutingData[[#This Row],[position]])</f>
        <v>[10]</v>
      </c>
      <c r="F257">
        <f>IF(ISBLANK([1]!ScoutingData[[#This Row],[leaveStartingZone]]),"",[1]!ScoutingData[[#This Row],[leaveStartingZone]])</f>
        <v>0</v>
      </c>
      <c r="G257">
        <f>IF(ISBLANK([1]!ScoutingData[[#This Row],[autoAmpScore]]),"",[1]!ScoutingData[[#This Row],[autoAmpScore]])</f>
        <v>0</v>
      </c>
      <c r="H257">
        <f>IF(ISBLANK([1]!ScoutingData[[#This Row],[autoSpeakerScore]]),"",[1]!ScoutingData[[#This Row],[autoSpeakerScore]])</f>
        <v>0</v>
      </c>
    </row>
    <row r="258" spans="1:8" x14ac:dyDescent="0.45">
      <c r="A258">
        <f>IF(ISBLANK([1]!ScoutingData[[#This Row],[teamNumber]]),"",[1]!ScoutingData[[#This Row],[teamNumber]])</f>
        <v>6175</v>
      </c>
      <c r="B258" t="str">
        <f>IF(ISBLANK([1]!ScoutingData[[#This Row],[matchLevel]]),"",[1]!ScoutingData[[#This Row],[matchLevel]])</f>
        <v>qm</v>
      </c>
      <c r="C258">
        <f>IF(ISBLANK([1]!ScoutingData[[#This Row],[matchNumber]]),"",[1]!ScoutingData[[#This Row],[matchNumber]])</f>
        <v>45</v>
      </c>
      <c r="D258" t="str">
        <f>IF(ISBLANK([1]!ScoutingData[[#This Row],[event]]),"",[1]!ScoutingData[[#This Row],[event]])</f>
        <v>2024ndgf</v>
      </c>
      <c r="E258" t="str">
        <f>IF(ISBLANK([1]!ScoutingData[[#This Row],[position]]),"",[1]!ScoutingData[[#This Row],[position]])</f>
        <v>[9]</v>
      </c>
      <c r="F258">
        <f>IF(ISBLANK([1]!ScoutingData[[#This Row],[leaveStartingZone]]),"",[1]!ScoutingData[[#This Row],[leaveStartingZone]])</f>
        <v>0</v>
      </c>
      <c r="G258">
        <f>IF(ISBLANK([1]!ScoutingData[[#This Row],[autoAmpScore]]),"",[1]!ScoutingData[[#This Row],[autoAmpScore]])</f>
        <v>0</v>
      </c>
      <c r="H258">
        <f>IF(ISBLANK([1]!ScoutingData[[#This Row],[autoSpeakerScore]]),"",[1]!ScoutingData[[#This Row],[autoSpeakerScore]])</f>
        <v>0</v>
      </c>
    </row>
    <row r="259" spans="1:8" x14ac:dyDescent="0.45">
      <c r="A259">
        <f>IF(ISBLANK([1]!ScoutingData[[#This Row],[teamNumber]]),"",[1]!ScoutingData[[#This Row],[teamNumber]])</f>
        <v>6453</v>
      </c>
      <c r="B259" t="str">
        <f>IF(ISBLANK([1]!ScoutingData[[#This Row],[matchLevel]]),"",[1]!ScoutingData[[#This Row],[matchLevel]])</f>
        <v>qm</v>
      </c>
      <c r="C259">
        <f>IF(ISBLANK([1]!ScoutingData[[#This Row],[matchNumber]]),"",[1]!ScoutingData[[#This Row],[matchNumber]])</f>
        <v>3</v>
      </c>
      <c r="D259" t="str">
        <f>IF(ISBLANK([1]!ScoutingData[[#This Row],[event]]),"",[1]!ScoutingData[[#This Row],[event]])</f>
        <v>2024ndgf</v>
      </c>
      <c r="E259" t="str">
        <f>IF(ISBLANK([1]!ScoutingData[[#This Row],[position]]),"",[1]!ScoutingData[[#This Row],[position]])</f>
        <v>[11]</v>
      </c>
      <c r="F259">
        <f>IF(ISBLANK([1]!ScoutingData[[#This Row],[leaveStartingZone]]),"",[1]!ScoutingData[[#This Row],[leaveStartingZone]])</f>
        <v>0</v>
      </c>
      <c r="G259">
        <f>IF(ISBLANK([1]!ScoutingData[[#This Row],[autoAmpScore]]),"",[1]!ScoutingData[[#This Row],[autoAmpScore]])</f>
        <v>0</v>
      </c>
      <c r="H259">
        <f>IF(ISBLANK([1]!ScoutingData[[#This Row],[autoSpeakerScore]]),"",[1]!ScoutingData[[#This Row],[autoSpeakerScore]])</f>
        <v>0</v>
      </c>
    </row>
    <row r="260" spans="1:8" x14ac:dyDescent="0.45">
      <c r="A260">
        <f>IF(ISBLANK([1]!ScoutingData[[#This Row],[teamNumber]]),"",[1]!ScoutingData[[#This Row],[teamNumber]])</f>
        <v>6453</v>
      </c>
      <c r="B260" t="str">
        <f>IF(ISBLANK([1]!ScoutingData[[#This Row],[matchLevel]]),"",[1]!ScoutingData[[#This Row],[matchLevel]])</f>
        <v>qm</v>
      </c>
      <c r="C260">
        <f>IF(ISBLANK([1]!ScoutingData[[#This Row],[matchNumber]]),"",[1]!ScoutingData[[#This Row],[matchNumber]])</f>
        <v>10</v>
      </c>
      <c r="D260" t="str">
        <f>IF(ISBLANK([1]!ScoutingData[[#This Row],[event]]),"",[1]!ScoutingData[[#This Row],[event]])</f>
        <v>2024ndgf</v>
      </c>
      <c r="E260" t="str">
        <f>IF(ISBLANK([1]!ScoutingData[[#This Row],[position]]),"",[1]!ScoutingData[[#This Row],[position]])</f>
        <v>[11]</v>
      </c>
      <c r="F260">
        <f>IF(ISBLANK([1]!ScoutingData[[#This Row],[leaveStartingZone]]),"",[1]!ScoutingData[[#This Row],[leaveStartingZone]])</f>
        <v>0</v>
      </c>
      <c r="G260">
        <f>IF(ISBLANK([1]!ScoutingData[[#This Row],[autoAmpScore]]),"",[1]!ScoutingData[[#This Row],[autoAmpScore]])</f>
        <v>0</v>
      </c>
      <c r="H260">
        <f>IF(ISBLANK([1]!ScoutingData[[#This Row],[autoSpeakerScore]]),"",[1]!ScoutingData[[#This Row],[autoSpeakerScore]])</f>
        <v>0</v>
      </c>
    </row>
    <row r="261" spans="1:8" x14ac:dyDescent="0.45">
      <c r="A261">
        <f>IF(ISBLANK([1]!ScoutingData[[#This Row],[teamNumber]]),"",[1]!ScoutingData[[#This Row],[teamNumber]])</f>
        <v>6453</v>
      </c>
      <c r="B261" t="str">
        <f>IF(ISBLANK([1]!ScoutingData[[#This Row],[matchLevel]]),"",[1]!ScoutingData[[#This Row],[matchLevel]])</f>
        <v>p</v>
      </c>
      <c r="C261">
        <f>IF(ISBLANK([1]!ScoutingData[[#This Row],[matchNumber]]),"",[1]!ScoutingData[[#This Row],[matchNumber]])</f>
        <v>36</v>
      </c>
      <c r="D261" t="str">
        <f>IF(ISBLANK([1]!ScoutingData[[#This Row],[event]]),"",[1]!ScoutingData[[#This Row],[event]])</f>
        <v>2024ndgf</v>
      </c>
      <c r="E261" t="str">
        <f>IF(ISBLANK([1]!ScoutingData[[#This Row],[position]]),"",[1]!ScoutingData[[#This Row],[position]])</f>
        <v>[4]</v>
      </c>
      <c r="F261">
        <f>IF(ISBLANK([1]!ScoutingData[[#This Row],[leaveStartingZone]]),"",[1]!ScoutingData[[#This Row],[leaveStartingZone]])</f>
        <v>0</v>
      </c>
      <c r="G261">
        <f>IF(ISBLANK([1]!ScoutingData[[#This Row],[autoAmpScore]]),"",[1]!ScoutingData[[#This Row],[autoAmpScore]])</f>
        <v>0</v>
      </c>
      <c r="H261">
        <f>IF(ISBLANK([1]!ScoutingData[[#This Row],[autoSpeakerScore]]),"",[1]!ScoutingData[[#This Row],[autoSpeakerScore]])</f>
        <v>0</v>
      </c>
    </row>
    <row r="262" spans="1:8" x14ac:dyDescent="0.45">
      <c r="A262">
        <f>IF(ISBLANK([1]!ScoutingData[[#This Row],[teamNumber]]),"",[1]!ScoutingData[[#This Row],[teamNumber]])</f>
        <v>6453</v>
      </c>
      <c r="B262" t="str">
        <f>IF(ISBLANK([1]!ScoutingData[[#This Row],[matchLevel]]),"",[1]!ScoutingData[[#This Row],[matchLevel]])</f>
        <v>qm</v>
      </c>
      <c r="C262">
        <f>IF(ISBLANK([1]!ScoutingData[[#This Row],[matchNumber]]),"",[1]!ScoutingData[[#This Row],[matchNumber]])</f>
        <v>58</v>
      </c>
      <c r="D262" t="str">
        <f>IF(ISBLANK([1]!ScoutingData[[#This Row],[event]]),"",[1]!ScoutingData[[#This Row],[event]])</f>
        <v>2024ndgf</v>
      </c>
      <c r="E262" t="str">
        <f>IF(ISBLANK([1]!ScoutingData[[#This Row],[position]]),"",[1]!ScoutingData[[#This Row],[position]])</f>
        <v>[6]</v>
      </c>
      <c r="F262">
        <f>IF(ISBLANK([1]!ScoutingData[[#This Row],[leaveStartingZone]]),"",[1]!ScoutingData[[#This Row],[leaveStartingZone]])</f>
        <v>0</v>
      </c>
      <c r="G262">
        <f>IF(ISBLANK([1]!ScoutingData[[#This Row],[autoAmpScore]]),"",[1]!ScoutingData[[#This Row],[autoAmpScore]])</f>
        <v>0</v>
      </c>
      <c r="H262">
        <f>IF(ISBLANK([1]!ScoutingData[[#This Row],[autoSpeakerScore]]),"",[1]!ScoutingData[[#This Row],[autoSpeakerScore]])</f>
        <v>0</v>
      </c>
    </row>
    <row r="263" spans="1:8" x14ac:dyDescent="0.45">
      <c r="A263">
        <f>IF(ISBLANK([1]!ScoutingData[[#This Row],[teamNumber]]),"",[1]!ScoutingData[[#This Row],[teamNumber]])</f>
        <v>6453</v>
      </c>
      <c r="B263" t="str">
        <f>IF(ISBLANK([1]!ScoutingData[[#This Row],[matchLevel]]),"",[1]!ScoutingData[[#This Row],[matchLevel]])</f>
        <v>qm</v>
      </c>
      <c r="C263">
        <f>IF(ISBLANK([1]!ScoutingData[[#This Row],[matchNumber]]),"",[1]!ScoutingData[[#This Row],[matchNumber]])</f>
        <v>46</v>
      </c>
      <c r="D263" t="str">
        <f>IF(ISBLANK([1]!ScoutingData[[#This Row],[event]]),"",[1]!ScoutingData[[#This Row],[event]])</f>
        <v>2024ndgf</v>
      </c>
      <c r="E263" t="str">
        <f>IF(ISBLANK([1]!ScoutingData[[#This Row],[position]]),"",[1]!ScoutingData[[#This Row],[position]])</f>
        <v>[6]</v>
      </c>
      <c r="F263">
        <f>IF(ISBLANK([1]!ScoutingData[[#This Row],[leaveStartingZone]]),"",[1]!ScoutingData[[#This Row],[leaveStartingZone]])</f>
        <v>0</v>
      </c>
      <c r="G263">
        <f>IF(ISBLANK([1]!ScoutingData[[#This Row],[autoAmpScore]]),"",[1]!ScoutingData[[#This Row],[autoAmpScore]])</f>
        <v>0</v>
      </c>
      <c r="H263">
        <f>IF(ISBLANK([1]!ScoutingData[[#This Row],[autoSpeakerScore]]),"",[1]!ScoutingData[[#This Row],[autoSpeakerScore]])</f>
        <v>0</v>
      </c>
    </row>
    <row r="264" spans="1:8" x14ac:dyDescent="0.45">
      <c r="A264">
        <f>IF(ISBLANK([1]!ScoutingData[[#This Row],[teamNumber]]),"",[1]!ScoutingData[[#This Row],[teamNumber]])</f>
        <v>6453</v>
      </c>
      <c r="B264" t="str">
        <f>IF(ISBLANK([1]!ScoutingData[[#This Row],[matchLevel]]),"",[1]!ScoutingData[[#This Row],[matchLevel]])</f>
        <v>qm</v>
      </c>
      <c r="C264">
        <f>IF(ISBLANK([1]!ScoutingData[[#This Row],[matchNumber]]),"",[1]!ScoutingData[[#This Row],[matchNumber]])</f>
        <v>52</v>
      </c>
      <c r="D264" t="str">
        <f>IF(ISBLANK([1]!ScoutingData[[#This Row],[event]]),"",[1]!ScoutingData[[#This Row],[event]])</f>
        <v>2024ndgf</v>
      </c>
      <c r="E264" t="str">
        <f>IF(ISBLANK([1]!ScoutingData[[#This Row],[position]]),"",[1]!ScoutingData[[#This Row],[position]])</f>
        <v>[21]</v>
      </c>
      <c r="F264">
        <f>IF(ISBLANK([1]!ScoutingData[[#This Row],[leaveStartingZone]]),"",[1]!ScoutingData[[#This Row],[leaveStartingZone]])</f>
        <v>0</v>
      </c>
      <c r="G264">
        <f>IF(ISBLANK([1]!ScoutingData[[#This Row],[autoAmpScore]]),"",[1]!ScoutingData[[#This Row],[autoAmpScore]])</f>
        <v>0</v>
      </c>
      <c r="H264">
        <f>IF(ISBLANK([1]!ScoutingData[[#This Row],[autoSpeakerScore]]),"",[1]!ScoutingData[[#This Row],[autoSpeakerScore]])</f>
        <v>0</v>
      </c>
    </row>
    <row r="265" spans="1:8" x14ac:dyDescent="0.45">
      <c r="A265">
        <f>IF(ISBLANK([1]!ScoutingData[[#This Row],[teamNumber]]),"",[1]!ScoutingData[[#This Row],[teamNumber]])</f>
        <v>6628</v>
      </c>
      <c r="B265" t="str">
        <f>IF(ISBLANK([1]!ScoutingData[[#This Row],[matchLevel]]),"",[1]!ScoutingData[[#This Row],[matchLevel]])</f>
        <v>p</v>
      </c>
      <c r="C265">
        <f>IF(ISBLANK([1]!ScoutingData[[#This Row],[matchNumber]]),"",[1]!ScoutingData[[#This Row],[matchNumber]])</f>
        <v>27</v>
      </c>
      <c r="D265" t="str">
        <f>IF(ISBLANK([1]!ScoutingData[[#This Row],[event]]),"",[1]!ScoutingData[[#This Row],[event]])</f>
        <v>2024ndgf</v>
      </c>
      <c r="E265" t="str">
        <f>IF(ISBLANK([1]!ScoutingData[[#This Row],[position]]),"",[1]!ScoutingData[[#This Row],[position]])</f>
        <v>[7]</v>
      </c>
      <c r="F265">
        <f>IF(ISBLANK([1]!ScoutingData[[#This Row],[leaveStartingZone]]),"",[1]!ScoutingData[[#This Row],[leaveStartingZone]])</f>
        <v>1</v>
      </c>
      <c r="G265">
        <f>IF(ISBLANK([1]!ScoutingData[[#This Row],[autoAmpScore]]),"",[1]!ScoutingData[[#This Row],[autoAmpScore]])</f>
        <v>0</v>
      </c>
      <c r="H265">
        <f>IF(ISBLANK([1]!ScoutingData[[#This Row],[autoSpeakerScore]]),"",[1]!ScoutingData[[#This Row],[autoSpeakerScore]])</f>
        <v>0</v>
      </c>
    </row>
    <row r="266" spans="1:8" x14ac:dyDescent="0.45">
      <c r="A266">
        <f>IF(ISBLANK([1]!ScoutingData[[#This Row],[teamNumber]]),"",[1]!ScoutingData[[#This Row],[teamNumber]])</f>
        <v>6628</v>
      </c>
      <c r="B266" t="str">
        <f>IF(ISBLANK([1]!ScoutingData[[#This Row],[matchLevel]]),"",[1]!ScoutingData[[#This Row],[matchLevel]])</f>
        <v>p</v>
      </c>
      <c r="C266">
        <f>IF(ISBLANK([1]!ScoutingData[[#This Row],[matchNumber]]),"",[1]!ScoutingData[[#This Row],[matchNumber]])</f>
        <v>8</v>
      </c>
      <c r="D266" t="str">
        <f>IF(ISBLANK([1]!ScoutingData[[#This Row],[event]]),"",[1]!ScoutingData[[#This Row],[event]])</f>
        <v>2024ndgf</v>
      </c>
      <c r="E266" t="str">
        <f>IF(ISBLANK([1]!ScoutingData[[#This Row],[position]]),"",[1]!ScoutingData[[#This Row],[position]])</f>
        <v>[5]</v>
      </c>
      <c r="F266">
        <f>IF(ISBLANK([1]!ScoutingData[[#This Row],[leaveStartingZone]]),"",[1]!ScoutingData[[#This Row],[leaveStartingZone]])</f>
        <v>1</v>
      </c>
      <c r="G266">
        <f>IF(ISBLANK([1]!ScoutingData[[#This Row],[autoAmpScore]]),"",[1]!ScoutingData[[#This Row],[autoAmpScore]])</f>
        <v>1</v>
      </c>
      <c r="H266">
        <f>IF(ISBLANK([1]!ScoutingData[[#This Row],[autoSpeakerScore]]),"",[1]!ScoutingData[[#This Row],[autoSpeakerScore]])</f>
        <v>0</v>
      </c>
    </row>
    <row r="267" spans="1:8" x14ac:dyDescent="0.45">
      <c r="A267">
        <f>IF(ISBLANK([1]!ScoutingData[[#This Row],[teamNumber]]),"",[1]!ScoutingData[[#This Row],[teamNumber]])</f>
        <v>6628</v>
      </c>
      <c r="B267" t="str">
        <f>IF(ISBLANK([1]!ScoutingData[[#This Row],[matchLevel]]),"",[1]!ScoutingData[[#This Row],[matchLevel]])</f>
        <v>qm</v>
      </c>
      <c r="C267">
        <f>IF(ISBLANK([1]!ScoutingData[[#This Row],[matchNumber]]),"",[1]!ScoutingData[[#This Row],[matchNumber]])</f>
        <v>16</v>
      </c>
      <c r="D267" t="str">
        <f>IF(ISBLANK([1]!ScoutingData[[#This Row],[event]]),"",[1]!ScoutingData[[#This Row],[event]])</f>
        <v>2024ndgf</v>
      </c>
      <c r="E267" t="str">
        <f>IF(ISBLANK([1]!ScoutingData[[#This Row],[position]]),"",[1]!ScoutingData[[#This Row],[position]])</f>
        <v>[11]</v>
      </c>
      <c r="F267">
        <f>IF(ISBLANK([1]!ScoutingData[[#This Row],[leaveStartingZone]]),"",[1]!ScoutingData[[#This Row],[leaveStartingZone]])</f>
        <v>0</v>
      </c>
      <c r="G267">
        <f>IF(ISBLANK([1]!ScoutingData[[#This Row],[autoAmpScore]]),"",[1]!ScoutingData[[#This Row],[autoAmpScore]])</f>
        <v>0</v>
      </c>
      <c r="H267">
        <f>IF(ISBLANK([1]!ScoutingData[[#This Row],[autoSpeakerScore]]),"",[1]!ScoutingData[[#This Row],[autoSpeakerScore]])</f>
        <v>0</v>
      </c>
    </row>
    <row r="268" spans="1:8" x14ac:dyDescent="0.45">
      <c r="A268">
        <f>IF(ISBLANK([1]!ScoutingData[[#This Row],[teamNumber]]),"",[1]!ScoutingData[[#This Row],[teamNumber]])</f>
        <v>6628</v>
      </c>
      <c r="B268" t="str">
        <f>IF(ISBLANK([1]!ScoutingData[[#This Row],[matchLevel]]),"",[1]!ScoutingData[[#This Row],[matchLevel]])</f>
        <v>qm</v>
      </c>
      <c r="C268">
        <f>IF(ISBLANK([1]!ScoutingData[[#This Row],[matchNumber]]),"",[1]!ScoutingData[[#This Row],[matchNumber]])</f>
        <v>22</v>
      </c>
      <c r="D268" t="str">
        <f>IF(ISBLANK([1]!ScoutingData[[#This Row],[event]]),"",[1]!ScoutingData[[#This Row],[event]])</f>
        <v>2024ndgf</v>
      </c>
      <c r="E268" t="str">
        <f>IF(ISBLANK([1]!ScoutingData[[#This Row],[position]]),"",[1]!ScoutingData[[#This Row],[position]])</f>
        <v>[10]</v>
      </c>
      <c r="F268">
        <f>IF(ISBLANK([1]!ScoutingData[[#This Row],[leaveStartingZone]]),"",[1]!ScoutingData[[#This Row],[leaveStartingZone]])</f>
        <v>0</v>
      </c>
      <c r="G268">
        <f>IF(ISBLANK([1]!ScoutingData[[#This Row],[autoAmpScore]]),"",[1]!ScoutingData[[#This Row],[autoAmpScore]])</f>
        <v>0</v>
      </c>
      <c r="H268">
        <f>IF(ISBLANK([1]!ScoutingData[[#This Row],[autoSpeakerScore]]),"",[1]!ScoutingData[[#This Row],[autoSpeakerScore]])</f>
        <v>0</v>
      </c>
    </row>
    <row r="269" spans="1:8" x14ac:dyDescent="0.45">
      <c r="A269">
        <f>IF(ISBLANK([1]!ScoutingData[[#This Row],[teamNumber]]),"",[1]!ScoutingData[[#This Row],[teamNumber]])</f>
        <v>6628</v>
      </c>
      <c r="B269" t="str">
        <f>IF(ISBLANK([1]!ScoutingData[[#This Row],[matchLevel]]),"",[1]!ScoutingData[[#This Row],[matchLevel]])</f>
        <v>qm</v>
      </c>
      <c r="C269">
        <f>IF(ISBLANK([1]!ScoutingData[[#This Row],[matchNumber]]),"",[1]!ScoutingData[[#This Row],[matchNumber]])</f>
        <v>29</v>
      </c>
      <c r="D269" t="str">
        <f>IF(ISBLANK([1]!ScoutingData[[#This Row],[event]]),"",[1]!ScoutingData[[#This Row],[event]])</f>
        <v>2024ndgf</v>
      </c>
      <c r="E269" t="str">
        <f>IF(ISBLANK([1]!ScoutingData[[#This Row],[position]]),"",[1]!ScoutingData[[#This Row],[position]])</f>
        <v>[4]</v>
      </c>
      <c r="F269">
        <f>IF(ISBLANK([1]!ScoutingData[[#This Row],[leaveStartingZone]]),"",[1]!ScoutingData[[#This Row],[leaveStartingZone]])</f>
        <v>1</v>
      </c>
      <c r="G269">
        <f>IF(ISBLANK([1]!ScoutingData[[#This Row],[autoAmpScore]]),"",[1]!ScoutingData[[#This Row],[autoAmpScore]])</f>
        <v>0</v>
      </c>
      <c r="H269">
        <f>IF(ISBLANK([1]!ScoutingData[[#This Row],[autoSpeakerScore]]),"",[1]!ScoutingData[[#This Row],[autoSpeakerScore]])</f>
        <v>0</v>
      </c>
    </row>
    <row r="270" spans="1:8" x14ac:dyDescent="0.45">
      <c r="A270">
        <f>IF(ISBLANK([1]!ScoutingData[[#This Row],[teamNumber]]),"",[1]!ScoutingData[[#This Row],[teamNumber]])</f>
        <v>6628</v>
      </c>
      <c r="B270" t="str">
        <f>IF(ISBLANK([1]!ScoutingData[[#This Row],[matchLevel]]),"",[1]!ScoutingData[[#This Row],[matchLevel]])</f>
        <v>qm</v>
      </c>
      <c r="C270">
        <f>IF(ISBLANK([1]!ScoutingData[[#This Row],[matchNumber]]),"",[1]!ScoutingData[[#This Row],[matchNumber]])</f>
        <v>42</v>
      </c>
      <c r="D270" t="str">
        <f>IF(ISBLANK([1]!ScoutingData[[#This Row],[event]]),"",[1]!ScoutingData[[#This Row],[event]])</f>
        <v>2024ndgf</v>
      </c>
      <c r="E270" t="str">
        <f>IF(ISBLANK([1]!ScoutingData[[#This Row],[position]]),"",[1]!ScoutingData[[#This Row],[position]])</f>
        <v>[4]</v>
      </c>
      <c r="F270">
        <f>IF(ISBLANK([1]!ScoutingData[[#This Row],[leaveStartingZone]]),"",[1]!ScoutingData[[#This Row],[leaveStartingZone]])</f>
        <v>1</v>
      </c>
      <c r="G270">
        <f>IF(ISBLANK([1]!ScoutingData[[#This Row],[autoAmpScore]]),"",[1]!ScoutingData[[#This Row],[autoAmpScore]])</f>
        <v>0</v>
      </c>
      <c r="H270">
        <f>IF(ISBLANK([1]!ScoutingData[[#This Row],[autoSpeakerScore]]),"",[1]!ScoutingData[[#This Row],[autoSpeakerScore]])</f>
        <v>1</v>
      </c>
    </row>
    <row r="271" spans="1:8" x14ac:dyDescent="0.45">
      <c r="A271">
        <f>IF(ISBLANK([1]!ScoutingData[[#This Row],[teamNumber]]),"",[1]!ScoutingData[[#This Row],[teamNumber]])</f>
        <v>7028</v>
      </c>
      <c r="B271" t="str">
        <f>IF(ISBLANK([1]!ScoutingData[[#This Row],[matchLevel]]),"",[1]!ScoutingData[[#This Row],[matchLevel]])</f>
        <v>p</v>
      </c>
      <c r="C271">
        <f>IF(ISBLANK([1]!ScoutingData[[#This Row],[matchNumber]]),"",[1]!ScoutingData[[#This Row],[matchNumber]])</f>
        <v>8</v>
      </c>
      <c r="D271" t="str">
        <f>IF(ISBLANK([1]!ScoutingData[[#This Row],[event]]),"",[1]!ScoutingData[[#This Row],[event]])</f>
        <v>2024ndgf</v>
      </c>
      <c r="E271" t="str">
        <f>IF(ISBLANK([1]!ScoutingData[[#This Row],[position]]),"",[1]!ScoutingData[[#This Row],[position]])</f>
        <v>[21]</v>
      </c>
      <c r="F271">
        <f>IF(ISBLANK([1]!ScoutingData[[#This Row],[leaveStartingZone]]),"",[1]!ScoutingData[[#This Row],[leaveStartingZone]])</f>
        <v>1</v>
      </c>
      <c r="G271">
        <f>IF(ISBLANK([1]!ScoutingData[[#This Row],[autoAmpScore]]),"",[1]!ScoutingData[[#This Row],[autoAmpScore]])</f>
        <v>0</v>
      </c>
      <c r="H271">
        <f>IF(ISBLANK([1]!ScoutingData[[#This Row],[autoSpeakerScore]]),"",[1]!ScoutingData[[#This Row],[autoSpeakerScore]])</f>
        <v>1</v>
      </c>
    </row>
    <row r="272" spans="1:8" x14ac:dyDescent="0.45">
      <c r="A272">
        <f>IF(ISBLANK([1]!ScoutingData[[#This Row],[teamNumber]]),"",[1]!ScoutingData[[#This Row],[teamNumber]])</f>
        <v>7028</v>
      </c>
      <c r="B272" t="str">
        <f>IF(ISBLANK([1]!ScoutingData[[#This Row],[matchLevel]]),"",[1]!ScoutingData[[#This Row],[matchLevel]])</f>
        <v>p</v>
      </c>
      <c r="C272">
        <f>IF(ISBLANK([1]!ScoutingData[[#This Row],[matchNumber]]),"",[1]!ScoutingData[[#This Row],[matchNumber]])</f>
        <v>22</v>
      </c>
      <c r="D272" t="str">
        <f>IF(ISBLANK([1]!ScoutingData[[#This Row],[event]]),"",[1]!ScoutingData[[#This Row],[event]])</f>
        <v>2024ndgf</v>
      </c>
      <c r="E272" t="str">
        <f>IF(ISBLANK([1]!ScoutingData[[#This Row],[position]]),"",[1]!ScoutingData[[#This Row],[position]])</f>
        <v>[2]</v>
      </c>
      <c r="F272">
        <f>IF(ISBLANK([1]!ScoutingData[[#This Row],[leaveStartingZone]]),"",[1]!ScoutingData[[#This Row],[leaveStartingZone]])</f>
        <v>1</v>
      </c>
      <c r="G272">
        <f>IF(ISBLANK([1]!ScoutingData[[#This Row],[autoAmpScore]]),"",[1]!ScoutingData[[#This Row],[autoAmpScore]])</f>
        <v>0</v>
      </c>
      <c r="H272">
        <f>IF(ISBLANK([1]!ScoutingData[[#This Row],[autoSpeakerScore]]),"",[1]!ScoutingData[[#This Row],[autoSpeakerScore]])</f>
        <v>0</v>
      </c>
    </row>
    <row r="273" spans="1:8" x14ac:dyDescent="0.45">
      <c r="A273">
        <f>IF(ISBLANK([1]!ScoutingData[[#This Row],[teamNumber]]),"",[1]!ScoutingData[[#This Row],[teamNumber]])</f>
        <v>7028</v>
      </c>
      <c r="B273" t="str">
        <f>IF(ISBLANK([1]!ScoutingData[[#This Row],[matchLevel]]),"",[1]!ScoutingData[[#This Row],[matchLevel]])</f>
        <v>qm</v>
      </c>
      <c r="C273">
        <f>IF(ISBLANK([1]!ScoutingData[[#This Row],[matchNumber]]),"",[1]!ScoutingData[[#This Row],[matchNumber]])</f>
        <v>1</v>
      </c>
      <c r="D273" t="str">
        <f>IF(ISBLANK([1]!ScoutingData[[#This Row],[event]]),"",[1]!ScoutingData[[#This Row],[event]])</f>
        <v>2024ndgf</v>
      </c>
      <c r="E273" t="str">
        <f>IF(ISBLANK([1]!ScoutingData[[#This Row],[position]]),"",[1]!ScoutingData[[#This Row],[position]])</f>
        <v>[7]</v>
      </c>
      <c r="F273">
        <f>IF(ISBLANK([1]!ScoutingData[[#This Row],[leaveStartingZone]]),"",[1]!ScoutingData[[#This Row],[leaveStartingZone]])</f>
        <v>0</v>
      </c>
      <c r="G273">
        <f>IF(ISBLANK([1]!ScoutingData[[#This Row],[autoAmpScore]]),"",[1]!ScoutingData[[#This Row],[autoAmpScore]])</f>
        <v>0</v>
      </c>
      <c r="H273">
        <f>IF(ISBLANK([1]!ScoutingData[[#This Row],[autoSpeakerScore]]),"",[1]!ScoutingData[[#This Row],[autoSpeakerScore]])</f>
        <v>0</v>
      </c>
    </row>
    <row r="274" spans="1:8" x14ac:dyDescent="0.45">
      <c r="A274">
        <f>IF(ISBLANK([1]!ScoutingData[[#This Row],[teamNumber]]),"",[1]!ScoutingData[[#This Row],[teamNumber]])</f>
        <v>7028</v>
      </c>
      <c r="B274" t="str">
        <f>IF(ISBLANK([1]!ScoutingData[[#This Row],[matchLevel]]),"",[1]!ScoutingData[[#This Row],[matchLevel]])</f>
        <v>qm</v>
      </c>
      <c r="C274">
        <f>IF(ISBLANK([1]!ScoutingData[[#This Row],[matchNumber]]),"",[1]!ScoutingData[[#This Row],[matchNumber]])</f>
        <v>28</v>
      </c>
      <c r="D274" t="str">
        <f>IF(ISBLANK([1]!ScoutingData[[#This Row],[event]]),"",[1]!ScoutingData[[#This Row],[event]])</f>
        <v>2024ndgf</v>
      </c>
      <c r="E274" t="str">
        <f>IF(ISBLANK([1]!ScoutingData[[#This Row],[position]]),"",[1]!ScoutingData[[#This Row],[position]])</f>
        <v>[6]</v>
      </c>
      <c r="F274">
        <f>IF(ISBLANK([1]!ScoutingData[[#This Row],[leaveStartingZone]]),"",[1]!ScoutingData[[#This Row],[leaveStartingZone]])</f>
        <v>1</v>
      </c>
      <c r="G274">
        <f>IF(ISBLANK([1]!ScoutingData[[#This Row],[autoAmpScore]]),"",[1]!ScoutingData[[#This Row],[autoAmpScore]])</f>
        <v>0</v>
      </c>
      <c r="H274">
        <f>IF(ISBLANK([1]!ScoutingData[[#This Row],[autoSpeakerScore]]),"",[1]!ScoutingData[[#This Row],[autoSpeakerScore]])</f>
        <v>2</v>
      </c>
    </row>
    <row r="275" spans="1:8" x14ac:dyDescent="0.45">
      <c r="A275">
        <f>IF(ISBLANK([1]!ScoutingData[[#This Row],[teamNumber]]),"",[1]!ScoutingData[[#This Row],[teamNumber]])</f>
        <v>7028</v>
      </c>
      <c r="B275" t="str">
        <f>IF(ISBLANK([1]!ScoutingData[[#This Row],[matchLevel]]),"",[1]!ScoutingData[[#This Row],[matchLevel]])</f>
        <v>qm</v>
      </c>
      <c r="C275">
        <f>IF(ISBLANK([1]!ScoutingData[[#This Row],[matchNumber]]),"",[1]!ScoutingData[[#This Row],[matchNumber]])</f>
        <v>11</v>
      </c>
      <c r="D275" t="str">
        <f>IF(ISBLANK([1]!ScoutingData[[#This Row],[event]]),"",[1]!ScoutingData[[#This Row],[event]])</f>
        <v>2024ndgf</v>
      </c>
      <c r="E275" t="str">
        <f>IF(ISBLANK([1]!ScoutingData[[#This Row],[position]]),"",[1]!ScoutingData[[#This Row],[position]])</f>
        <v>[3]</v>
      </c>
      <c r="F275">
        <f>IF(ISBLANK([1]!ScoutingData[[#This Row],[leaveStartingZone]]),"",[1]!ScoutingData[[#This Row],[leaveStartingZone]])</f>
        <v>1</v>
      </c>
      <c r="G275">
        <f>IF(ISBLANK([1]!ScoutingData[[#This Row],[autoAmpScore]]),"",[1]!ScoutingData[[#This Row],[autoAmpScore]])</f>
        <v>0</v>
      </c>
      <c r="H275">
        <f>IF(ISBLANK([1]!ScoutingData[[#This Row],[autoSpeakerScore]]),"",[1]!ScoutingData[[#This Row],[autoSpeakerScore]])</f>
        <v>0</v>
      </c>
    </row>
    <row r="276" spans="1:8" x14ac:dyDescent="0.45">
      <c r="A276">
        <f>IF(ISBLANK([1]!ScoutingData[[#This Row],[teamNumber]]),"",[1]!ScoutingData[[#This Row],[teamNumber]])</f>
        <v>7028</v>
      </c>
      <c r="B276" t="str">
        <f>IF(ISBLANK([1]!ScoutingData[[#This Row],[matchLevel]]),"",[1]!ScoutingData[[#This Row],[matchLevel]])</f>
        <v>qm</v>
      </c>
      <c r="C276">
        <f>IF(ISBLANK([1]!ScoutingData[[#This Row],[matchNumber]]),"",[1]!ScoutingData[[#This Row],[matchNumber]])</f>
        <v>48</v>
      </c>
      <c r="D276" t="str">
        <f>IF(ISBLANK([1]!ScoutingData[[#This Row],[event]]),"",[1]!ScoutingData[[#This Row],[event]])</f>
        <v>2024ndgf</v>
      </c>
      <c r="E276" t="str">
        <f>IF(ISBLANK([1]!ScoutingData[[#This Row],[position]]),"",[1]!ScoutingData[[#This Row],[position]])</f>
        <v>[5]</v>
      </c>
      <c r="F276">
        <f>IF(ISBLANK([1]!ScoutingData[[#This Row],[leaveStartingZone]]),"",[1]!ScoutingData[[#This Row],[leaveStartingZone]])</f>
        <v>1</v>
      </c>
      <c r="G276">
        <f>IF(ISBLANK([1]!ScoutingData[[#This Row],[autoAmpScore]]),"",[1]!ScoutingData[[#This Row],[autoAmpScore]])</f>
        <v>0</v>
      </c>
      <c r="H276">
        <f>IF(ISBLANK([1]!ScoutingData[[#This Row],[autoSpeakerScore]]),"",[1]!ScoutingData[[#This Row],[autoSpeakerScore]])</f>
        <v>0</v>
      </c>
    </row>
    <row r="277" spans="1:8" x14ac:dyDescent="0.45">
      <c r="A277">
        <f>IF(ISBLANK([1]!ScoutingData[[#This Row],[teamNumber]]),"",[1]!ScoutingData[[#This Row],[teamNumber]])</f>
        <v>7028</v>
      </c>
      <c r="B277" t="str">
        <f>IF(ISBLANK([1]!ScoutingData[[#This Row],[matchLevel]]),"",[1]!ScoutingData[[#This Row],[matchLevel]])</f>
        <v>qm</v>
      </c>
      <c r="C277">
        <f>IF(ISBLANK([1]!ScoutingData[[#This Row],[matchNumber]]),"",[1]!ScoutingData[[#This Row],[matchNumber]])</f>
        <v>42</v>
      </c>
      <c r="D277" t="str">
        <f>IF(ISBLANK([1]!ScoutingData[[#This Row],[event]]),"",[1]!ScoutingData[[#This Row],[event]])</f>
        <v>2024ndgf</v>
      </c>
      <c r="E277" t="str">
        <f>IF(ISBLANK([1]!ScoutingData[[#This Row],[position]]),"",[1]!ScoutingData[[#This Row],[position]])</f>
        <v>[19]</v>
      </c>
      <c r="F277">
        <f>IF(ISBLANK([1]!ScoutingData[[#This Row],[leaveStartingZone]]),"",[1]!ScoutingData[[#This Row],[leaveStartingZone]])</f>
        <v>1</v>
      </c>
      <c r="G277">
        <f>IF(ISBLANK([1]!ScoutingData[[#This Row],[autoAmpScore]]),"",[1]!ScoutingData[[#This Row],[autoAmpScore]])</f>
        <v>0</v>
      </c>
      <c r="H277">
        <f>IF(ISBLANK([1]!ScoutingData[[#This Row],[autoSpeakerScore]]),"",[1]!ScoutingData[[#This Row],[autoSpeakerScore]])</f>
        <v>2</v>
      </c>
    </row>
    <row r="278" spans="1:8" x14ac:dyDescent="0.45">
      <c r="A278">
        <f>IF(ISBLANK([1]!ScoutingData[[#This Row],[teamNumber]]),"",[1]!ScoutingData[[#This Row],[teamNumber]])</f>
        <v>7048</v>
      </c>
      <c r="B278" t="str">
        <f>IF(ISBLANK([1]!ScoutingData[[#This Row],[matchLevel]]),"",[1]!ScoutingData[[#This Row],[matchLevel]])</f>
        <v>p</v>
      </c>
      <c r="C278">
        <f>IF(ISBLANK([1]!ScoutingData[[#This Row],[matchNumber]]),"",[1]!ScoutingData[[#This Row],[matchNumber]])</f>
        <v>16</v>
      </c>
      <c r="D278" t="str">
        <f>IF(ISBLANK([1]!ScoutingData[[#This Row],[event]]),"",[1]!ScoutingData[[#This Row],[event]])</f>
        <v>2024ndgf</v>
      </c>
      <c r="E278" t="str">
        <f>IF(ISBLANK([1]!ScoutingData[[#This Row],[position]]),"",[1]!ScoutingData[[#This Row],[position]])</f>
        <v>[9]</v>
      </c>
      <c r="F278">
        <f>IF(ISBLANK([1]!ScoutingData[[#This Row],[leaveStartingZone]]),"",[1]!ScoutingData[[#This Row],[leaveStartingZone]])</f>
        <v>0</v>
      </c>
      <c r="G278">
        <f>IF(ISBLANK([1]!ScoutingData[[#This Row],[autoAmpScore]]),"",[1]!ScoutingData[[#This Row],[autoAmpScore]])</f>
        <v>0</v>
      </c>
      <c r="H278">
        <f>IF(ISBLANK([1]!ScoutingData[[#This Row],[autoSpeakerScore]]),"",[1]!ScoutingData[[#This Row],[autoSpeakerScore]])</f>
        <v>0</v>
      </c>
    </row>
    <row r="279" spans="1:8" x14ac:dyDescent="0.45">
      <c r="A279">
        <f>IF(ISBLANK([1]!ScoutingData[[#This Row],[teamNumber]]),"",[1]!ScoutingData[[#This Row],[teamNumber]])</f>
        <v>7048</v>
      </c>
      <c r="B279" t="str">
        <f>IF(ISBLANK([1]!ScoutingData[[#This Row],[matchLevel]]),"",[1]!ScoutingData[[#This Row],[matchLevel]])</f>
        <v>p</v>
      </c>
      <c r="C279">
        <f>IF(ISBLANK([1]!ScoutingData[[#This Row],[matchNumber]]),"",[1]!ScoutingData[[#This Row],[matchNumber]])</f>
        <v>7</v>
      </c>
      <c r="D279" t="str">
        <f>IF(ISBLANK([1]!ScoutingData[[#This Row],[event]]),"",[1]!ScoutingData[[#This Row],[event]])</f>
        <v>2024ndgf</v>
      </c>
      <c r="E279" t="str">
        <f>IF(ISBLANK([1]!ScoutingData[[#This Row],[position]]),"",[1]!ScoutingData[[#This Row],[position]])</f>
        <v>[4]</v>
      </c>
      <c r="F279">
        <f>IF(ISBLANK([1]!ScoutingData[[#This Row],[leaveStartingZone]]),"",[1]!ScoutingData[[#This Row],[leaveStartingZone]])</f>
        <v>0</v>
      </c>
      <c r="G279">
        <f>IF(ISBLANK([1]!ScoutingData[[#This Row],[autoAmpScore]]),"",[1]!ScoutingData[[#This Row],[autoAmpScore]])</f>
        <v>0</v>
      </c>
      <c r="H279">
        <f>IF(ISBLANK([1]!ScoutingData[[#This Row],[autoSpeakerScore]]),"",[1]!ScoutingData[[#This Row],[autoSpeakerScore]])</f>
        <v>0</v>
      </c>
    </row>
    <row r="280" spans="1:8" x14ac:dyDescent="0.45">
      <c r="A280">
        <f>IF(ISBLANK([1]!ScoutingData[[#This Row],[teamNumber]]),"",[1]!ScoutingData[[#This Row],[teamNumber]])</f>
        <v>7048</v>
      </c>
      <c r="B280" t="str">
        <f>IF(ISBLANK([1]!ScoutingData[[#This Row],[matchLevel]]),"",[1]!ScoutingData[[#This Row],[matchLevel]])</f>
        <v>qm</v>
      </c>
      <c r="C280">
        <f>IF(ISBLANK([1]!ScoutingData[[#This Row],[matchNumber]]),"",[1]!ScoutingData[[#This Row],[matchNumber]])</f>
        <v>17</v>
      </c>
      <c r="D280" t="str">
        <f>IF(ISBLANK([1]!ScoutingData[[#This Row],[event]]),"",[1]!ScoutingData[[#This Row],[event]])</f>
        <v>2024ndgf</v>
      </c>
      <c r="E280" t="str">
        <f>IF(ISBLANK([1]!ScoutingData[[#This Row],[position]]),"",[1]!ScoutingData[[#This Row],[position]])</f>
        <v>[7]</v>
      </c>
      <c r="F280">
        <f>IF(ISBLANK([1]!ScoutingData[[#This Row],[leaveStartingZone]]),"",[1]!ScoutingData[[#This Row],[leaveStartingZone]])</f>
        <v>0</v>
      </c>
      <c r="G280">
        <f>IF(ISBLANK([1]!ScoutingData[[#This Row],[autoAmpScore]]),"",[1]!ScoutingData[[#This Row],[autoAmpScore]])</f>
        <v>0</v>
      </c>
      <c r="H280">
        <f>IF(ISBLANK([1]!ScoutingData[[#This Row],[autoSpeakerScore]]),"",[1]!ScoutingData[[#This Row],[autoSpeakerScore]])</f>
        <v>1</v>
      </c>
    </row>
    <row r="281" spans="1:8" x14ac:dyDescent="0.45">
      <c r="A281">
        <f>IF(ISBLANK([1]!ScoutingData[[#This Row],[teamNumber]]),"",[1]!ScoutingData[[#This Row],[teamNumber]])</f>
        <v>7048</v>
      </c>
      <c r="B281" t="str">
        <f>IF(ISBLANK([1]!ScoutingData[[#This Row],[matchLevel]]),"",[1]!ScoutingData[[#This Row],[matchLevel]])</f>
        <v>qm</v>
      </c>
      <c r="C281">
        <f>IF(ISBLANK([1]!ScoutingData[[#This Row],[matchNumber]]),"",[1]!ScoutingData[[#This Row],[matchNumber]])</f>
        <v>31</v>
      </c>
      <c r="D281" t="str">
        <f>IF(ISBLANK([1]!ScoutingData[[#This Row],[event]]),"",[1]!ScoutingData[[#This Row],[event]])</f>
        <v>2024ndgf</v>
      </c>
      <c r="E281" t="str">
        <f>IF(ISBLANK([1]!ScoutingData[[#This Row],[position]]),"",[1]!ScoutingData[[#This Row],[position]])</f>
        <v>[11]</v>
      </c>
      <c r="F281">
        <f>IF(ISBLANK([1]!ScoutingData[[#This Row],[leaveStartingZone]]),"",[1]!ScoutingData[[#This Row],[leaveStartingZone]])</f>
        <v>0</v>
      </c>
      <c r="G281">
        <f>IF(ISBLANK([1]!ScoutingData[[#This Row],[autoAmpScore]]),"",[1]!ScoutingData[[#This Row],[autoAmpScore]])</f>
        <v>0</v>
      </c>
      <c r="H281">
        <f>IF(ISBLANK([1]!ScoutingData[[#This Row],[autoSpeakerScore]]),"",[1]!ScoutingData[[#This Row],[autoSpeakerScore]])</f>
        <v>1</v>
      </c>
    </row>
    <row r="282" spans="1:8" x14ac:dyDescent="0.45">
      <c r="A282">
        <f>IF(ISBLANK([1]!ScoutingData[[#This Row],[teamNumber]]),"",[1]!ScoutingData[[#This Row],[teamNumber]])</f>
        <v>7048</v>
      </c>
      <c r="B282" t="str">
        <f>IF(ISBLANK([1]!ScoutingData[[#This Row],[matchLevel]]),"",[1]!ScoutingData[[#This Row],[matchLevel]])</f>
        <v>qm</v>
      </c>
      <c r="C282">
        <f>IF(ISBLANK([1]!ScoutingData[[#This Row],[matchNumber]]),"",[1]!ScoutingData[[#This Row],[matchNumber]])</f>
        <v>10</v>
      </c>
      <c r="D282" t="str">
        <f>IF(ISBLANK([1]!ScoutingData[[#This Row],[event]]),"",[1]!ScoutingData[[#This Row],[event]])</f>
        <v>2024ndgf</v>
      </c>
      <c r="E282" t="str">
        <f>IF(ISBLANK([1]!ScoutingData[[#This Row],[position]]),"",[1]!ScoutingData[[#This Row],[position]])</f>
        <v>[7]</v>
      </c>
      <c r="F282">
        <f>IF(ISBLANK([1]!ScoutingData[[#This Row],[leaveStartingZone]]),"",[1]!ScoutingData[[#This Row],[leaveStartingZone]])</f>
        <v>0</v>
      </c>
      <c r="G282">
        <f>IF(ISBLANK([1]!ScoutingData[[#This Row],[autoAmpScore]]),"",[1]!ScoutingData[[#This Row],[autoAmpScore]])</f>
        <v>0</v>
      </c>
      <c r="H282">
        <f>IF(ISBLANK([1]!ScoutingData[[#This Row],[autoSpeakerScore]]),"",[1]!ScoutingData[[#This Row],[autoSpeakerScore]])</f>
        <v>1</v>
      </c>
    </row>
    <row r="283" spans="1:8" x14ac:dyDescent="0.45">
      <c r="A283">
        <f>IF(ISBLANK([1]!ScoutingData[[#This Row],[teamNumber]]),"",[1]!ScoutingData[[#This Row],[teamNumber]])</f>
        <v>7048</v>
      </c>
      <c r="B283" t="str">
        <f>IF(ISBLANK([1]!ScoutingData[[#This Row],[matchLevel]]),"",[1]!ScoutingData[[#This Row],[matchLevel]])</f>
        <v>p</v>
      </c>
      <c r="C283">
        <f>IF(ISBLANK([1]!ScoutingData[[#This Row],[matchNumber]]),"",[1]!ScoutingData[[#This Row],[matchNumber]])</f>
        <v>23</v>
      </c>
      <c r="D283" t="str">
        <f>IF(ISBLANK([1]!ScoutingData[[#This Row],[event]]),"",[1]!ScoutingData[[#This Row],[event]])</f>
        <v>2024ndgf</v>
      </c>
      <c r="E283" t="str">
        <f>IF(ISBLANK([1]!ScoutingData[[#This Row],[position]]),"",[1]!ScoutingData[[#This Row],[position]])</f>
        <v>[9]</v>
      </c>
      <c r="F283">
        <f>IF(ISBLANK([1]!ScoutingData[[#This Row],[leaveStartingZone]]),"",[1]!ScoutingData[[#This Row],[leaveStartingZone]])</f>
        <v>0</v>
      </c>
      <c r="G283">
        <f>IF(ISBLANK([1]!ScoutingData[[#This Row],[autoAmpScore]]),"",[1]!ScoutingData[[#This Row],[autoAmpScore]])</f>
        <v>0</v>
      </c>
      <c r="H283">
        <f>IF(ISBLANK([1]!ScoutingData[[#This Row],[autoSpeakerScore]]),"",[1]!ScoutingData[[#This Row],[autoSpeakerScore]])</f>
        <v>1</v>
      </c>
    </row>
    <row r="284" spans="1:8" x14ac:dyDescent="0.45">
      <c r="A284">
        <f>IF(ISBLANK([1]!ScoutingData[[#This Row],[teamNumber]]),"",[1]!ScoutingData[[#This Row],[teamNumber]])</f>
        <v>7048</v>
      </c>
      <c r="B284" t="str">
        <f>IF(ISBLANK([1]!ScoutingData[[#This Row],[matchLevel]]),"",[1]!ScoutingData[[#This Row],[matchLevel]])</f>
        <v>qm</v>
      </c>
      <c r="C284">
        <f>IF(ISBLANK([1]!ScoutingData[[#This Row],[matchNumber]]),"",[1]!ScoutingData[[#This Row],[matchNumber]])</f>
        <v>17</v>
      </c>
      <c r="D284" t="str">
        <f>IF(ISBLANK([1]!ScoutingData[[#This Row],[event]]),"",[1]!ScoutingData[[#This Row],[event]])</f>
        <v>2024ndgf</v>
      </c>
      <c r="E284" t="str">
        <f>IF(ISBLANK([1]!ScoutingData[[#This Row],[position]]),"",[1]!ScoutingData[[#This Row],[position]])</f>
        <v>[7]</v>
      </c>
      <c r="F284">
        <f>IF(ISBLANK([1]!ScoutingData[[#This Row],[leaveStartingZone]]),"",[1]!ScoutingData[[#This Row],[leaveStartingZone]])</f>
        <v>0</v>
      </c>
      <c r="G284">
        <f>IF(ISBLANK([1]!ScoutingData[[#This Row],[autoAmpScore]]),"",[1]!ScoutingData[[#This Row],[autoAmpScore]])</f>
        <v>0</v>
      </c>
      <c r="H284">
        <f>IF(ISBLANK([1]!ScoutingData[[#This Row],[autoSpeakerScore]]),"",[1]!ScoutingData[[#This Row],[autoSpeakerScore]])</f>
        <v>0</v>
      </c>
    </row>
    <row r="285" spans="1:8" x14ac:dyDescent="0.45">
      <c r="A285">
        <f>IF(ISBLANK([1]!ScoutingData[[#This Row],[teamNumber]]),"",[1]!ScoutingData[[#This Row],[teamNumber]])</f>
        <v>7048</v>
      </c>
      <c r="B285" t="str">
        <f>IF(ISBLANK([1]!ScoutingData[[#This Row],[matchLevel]]),"",[1]!ScoutingData[[#This Row],[matchLevel]])</f>
        <v>qm</v>
      </c>
      <c r="C285">
        <f>IF(ISBLANK([1]!ScoutingData[[#This Row],[matchNumber]]),"",[1]!ScoutingData[[#This Row],[matchNumber]])</f>
        <v>50</v>
      </c>
      <c r="D285" t="str">
        <f>IF(ISBLANK([1]!ScoutingData[[#This Row],[event]]),"",[1]!ScoutingData[[#This Row],[event]])</f>
        <v>2024ndgf</v>
      </c>
      <c r="E285" t="str">
        <f>IF(ISBLANK([1]!ScoutingData[[#This Row],[position]]),"",[1]!ScoutingData[[#This Row],[position]])</f>
        <v>[10]</v>
      </c>
      <c r="F285">
        <f>IF(ISBLANK([1]!ScoutingData[[#This Row],[leaveStartingZone]]),"",[1]!ScoutingData[[#This Row],[leaveStartingZone]])</f>
        <v>0</v>
      </c>
      <c r="G285">
        <f>IF(ISBLANK([1]!ScoutingData[[#This Row],[autoAmpScore]]),"",[1]!ScoutingData[[#This Row],[autoAmpScore]])</f>
        <v>0</v>
      </c>
      <c r="H285">
        <f>IF(ISBLANK([1]!ScoutingData[[#This Row],[autoSpeakerScore]]),"",[1]!ScoutingData[[#This Row],[autoSpeakerScore]])</f>
        <v>1</v>
      </c>
    </row>
    <row r="286" spans="1:8" x14ac:dyDescent="0.45">
      <c r="A286">
        <f>IF(ISBLANK([1]!ScoutingData[[#This Row],[teamNumber]]),"",[1]!ScoutingData[[#This Row],[teamNumber]])</f>
        <v>7048</v>
      </c>
      <c r="B286" t="str">
        <f>IF(ISBLANK([1]!ScoutingData[[#This Row],[matchLevel]]),"",[1]!ScoutingData[[#This Row],[matchLevel]])</f>
        <v>qm</v>
      </c>
      <c r="C286">
        <f>IF(ISBLANK([1]!ScoutingData[[#This Row],[matchNumber]]),"",[1]!ScoutingData[[#This Row],[matchNumber]])</f>
        <v>44</v>
      </c>
      <c r="D286" t="str">
        <f>IF(ISBLANK([1]!ScoutingData[[#This Row],[event]]),"",[1]!ScoutingData[[#This Row],[event]])</f>
        <v>2024ndgf</v>
      </c>
      <c r="E286" t="str">
        <f>IF(ISBLANK([1]!ScoutingData[[#This Row],[position]]),"",[1]!ScoutingData[[#This Row],[position]])</f>
        <v>[10]</v>
      </c>
      <c r="F286">
        <f>IF(ISBLANK([1]!ScoutingData[[#This Row],[leaveStartingZone]]),"",[1]!ScoutingData[[#This Row],[leaveStartingZone]])</f>
        <v>0</v>
      </c>
      <c r="G286">
        <f>IF(ISBLANK([1]!ScoutingData[[#This Row],[autoAmpScore]]),"",[1]!ScoutingData[[#This Row],[autoAmpScore]])</f>
        <v>0</v>
      </c>
      <c r="H286">
        <f>IF(ISBLANK([1]!ScoutingData[[#This Row],[autoSpeakerScore]]),"",[1]!ScoutingData[[#This Row],[autoSpeakerScore]])</f>
        <v>1</v>
      </c>
    </row>
    <row r="287" spans="1:8" x14ac:dyDescent="0.45">
      <c r="A287">
        <f>IF(ISBLANK([1]!ScoutingData[[#This Row],[teamNumber]]),"",[1]!ScoutingData[[#This Row],[teamNumber]])</f>
        <v>7235</v>
      </c>
      <c r="B287" t="str">
        <f>IF(ISBLANK([1]!ScoutingData[[#This Row],[matchLevel]]),"",[1]!ScoutingData[[#This Row],[matchLevel]])</f>
        <v>qm</v>
      </c>
      <c r="C287">
        <f>IF(ISBLANK([1]!ScoutingData[[#This Row],[matchNumber]]),"",[1]!ScoutingData[[#This Row],[matchNumber]])</f>
        <v>16</v>
      </c>
      <c r="D287" t="str">
        <f>IF(ISBLANK([1]!ScoutingData[[#This Row],[event]]),"",[1]!ScoutingData[[#This Row],[event]])</f>
        <v>2024ndgf</v>
      </c>
      <c r="E287" t="str">
        <f>IF(ISBLANK([1]!ScoutingData[[#This Row],[position]]),"",[1]!ScoutingData[[#This Row],[position]])</f>
        <v>[4]</v>
      </c>
      <c r="F287">
        <f>IF(ISBLANK([1]!ScoutingData[[#This Row],[leaveStartingZone]]),"",[1]!ScoutingData[[#This Row],[leaveStartingZone]])</f>
        <v>1</v>
      </c>
      <c r="G287">
        <f>IF(ISBLANK([1]!ScoutingData[[#This Row],[autoAmpScore]]),"",[1]!ScoutingData[[#This Row],[autoAmpScore]])</f>
        <v>0</v>
      </c>
      <c r="H287">
        <f>IF(ISBLANK([1]!ScoutingData[[#This Row],[autoSpeakerScore]]),"",[1]!ScoutingData[[#This Row],[autoSpeakerScore]])</f>
        <v>0</v>
      </c>
    </row>
    <row r="288" spans="1:8" x14ac:dyDescent="0.45">
      <c r="A288">
        <f>IF(ISBLANK([1]!ScoutingData[[#This Row],[teamNumber]]),"",[1]!ScoutingData[[#This Row],[teamNumber]])</f>
        <v>7235</v>
      </c>
      <c r="B288" t="str">
        <f>IF(ISBLANK([1]!ScoutingData[[#This Row],[matchLevel]]),"",[1]!ScoutingData[[#This Row],[matchLevel]])</f>
        <v>qm</v>
      </c>
      <c r="C288">
        <f>IF(ISBLANK([1]!ScoutingData[[#This Row],[matchNumber]]),"",[1]!ScoutingData[[#This Row],[matchNumber]])</f>
        <v>6</v>
      </c>
      <c r="D288" t="str">
        <f>IF(ISBLANK([1]!ScoutingData[[#This Row],[event]]),"",[1]!ScoutingData[[#This Row],[event]])</f>
        <v>2024ndgf</v>
      </c>
      <c r="E288" t="str">
        <f>IF(ISBLANK([1]!ScoutingData[[#This Row],[position]]),"",[1]!ScoutingData[[#This Row],[position]])</f>
        <v>[7]</v>
      </c>
      <c r="F288">
        <f>IF(ISBLANK([1]!ScoutingData[[#This Row],[leaveStartingZone]]),"",[1]!ScoutingData[[#This Row],[leaveStartingZone]])</f>
        <v>0</v>
      </c>
      <c r="G288">
        <f>IF(ISBLANK([1]!ScoutingData[[#This Row],[autoAmpScore]]),"",[1]!ScoutingData[[#This Row],[autoAmpScore]])</f>
        <v>0</v>
      </c>
      <c r="H288">
        <f>IF(ISBLANK([1]!ScoutingData[[#This Row],[autoSpeakerScore]]),"",[1]!ScoutingData[[#This Row],[autoSpeakerScore]])</f>
        <v>0</v>
      </c>
    </row>
    <row r="289" spans="1:8" x14ac:dyDescent="0.45">
      <c r="A289">
        <f>IF(ISBLANK([1]!ScoutingData[[#This Row],[teamNumber]]),"",[1]!ScoutingData[[#This Row],[teamNumber]])</f>
        <v>7235</v>
      </c>
      <c r="B289" t="str">
        <f>IF(ISBLANK([1]!ScoutingData[[#This Row],[matchLevel]]),"",[1]!ScoutingData[[#This Row],[matchLevel]])</f>
        <v>qm</v>
      </c>
      <c r="C289">
        <f>IF(ISBLANK([1]!ScoutingData[[#This Row],[matchNumber]]),"",[1]!ScoutingData[[#This Row],[matchNumber]])</f>
        <v>23</v>
      </c>
      <c r="D289" t="str">
        <f>IF(ISBLANK([1]!ScoutingData[[#This Row],[event]]),"",[1]!ScoutingData[[#This Row],[event]])</f>
        <v>2024ndgf</v>
      </c>
      <c r="E289" t="str">
        <f>IF(ISBLANK([1]!ScoutingData[[#This Row],[position]]),"",[1]!ScoutingData[[#This Row],[position]])</f>
        <v>[6]</v>
      </c>
      <c r="F289">
        <f>IF(ISBLANK([1]!ScoutingData[[#This Row],[leaveStartingZone]]),"",[1]!ScoutingData[[#This Row],[leaveStartingZone]])</f>
        <v>1</v>
      </c>
      <c r="G289">
        <f>IF(ISBLANK([1]!ScoutingData[[#This Row],[autoAmpScore]]),"",[1]!ScoutingData[[#This Row],[autoAmpScore]])</f>
        <v>0</v>
      </c>
      <c r="H289">
        <f>IF(ISBLANK([1]!ScoutingData[[#This Row],[autoSpeakerScore]]),"",[1]!ScoutingData[[#This Row],[autoSpeakerScore]])</f>
        <v>0</v>
      </c>
    </row>
    <row r="290" spans="1:8" x14ac:dyDescent="0.45">
      <c r="A290">
        <f>IF(ISBLANK([1]!ScoutingData[[#This Row],[teamNumber]]),"",[1]!ScoutingData[[#This Row],[teamNumber]])</f>
        <v>7235</v>
      </c>
      <c r="B290" t="str">
        <f>IF(ISBLANK([1]!ScoutingData[[#This Row],[matchLevel]]),"",[1]!ScoutingData[[#This Row],[matchLevel]])</f>
        <v>qm</v>
      </c>
      <c r="C290">
        <f>IF(ISBLANK([1]!ScoutingData[[#This Row],[matchNumber]]),"",[1]!ScoutingData[[#This Row],[matchNumber]])</f>
        <v>35</v>
      </c>
      <c r="D290" t="str">
        <f>IF(ISBLANK([1]!ScoutingData[[#This Row],[event]]),"",[1]!ScoutingData[[#This Row],[event]])</f>
        <v>2024ndgf</v>
      </c>
      <c r="E290" t="str">
        <f>IF(ISBLANK([1]!ScoutingData[[#This Row],[position]]),"",[1]!ScoutingData[[#This Row],[position]])</f>
        <v>[10]</v>
      </c>
      <c r="F290">
        <f>IF(ISBLANK([1]!ScoutingData[[#This Row],[leaveStartingZone]]),"",[1]!ScoutingData[[#This Row],[leaveStartingZone]])</f>
        <v>1</v>
      </c>
      <c r="G290">
        <f>IF(ISBLANK([1]!ScoutingData[[#This Row],[autoAmpScore]]),"",[1]!ScoutingData[[#This Row],[autoAmpScore]])</f>
        <v>0</v>
      </c>
      <c r="H290">
        <f>IF(ISBLANK([1]!ScoutingData[[#This Row],[autoSpeakerScore]]),"",[1]!ScoutingData[[#This Row],[autoSpeakerScore]])</f>
        <v>0</v>
      </c>
    </row>
    <row r="291" spans="1:8" x14ac:dyDescent="0.45">
      <c r="A291">
        <f>IF(ISBLANK([1]!ScoutingData[[#This Row],[teamNumber]]),"",[1]!ScoutingData[[#This Row],[teamNumber]])</f>
        <v>7235</v>
      </c>
      <c r="B291" t="str">
        <f>IF(ISBLANK([1]!ScoutingData[[#This Row],[matchLevel]]),"",[1]!ScoutingData[[#This Row],[matchLevel]])</f>
        <v>qm</v>
      </c>
      <c r="C291">
        <f>IF(ISBLANK([1]!ScoutingData[[#This Row],[matchNumber]]),"",[1]!ScoutingData[[#This Row],[matchNumber]])</f>
        <v>46</v>
      </c>
      <c r="D291" t="str">
        <f>IF(ISBLANK([1]!ScoutingData[[#This Row],[event]]),"",[1]!ScoutingData[[#This Row],[event]])</f>
        <v>2024ndgf</v>
      </c>
      <c r="E291" t="str">
        <f>IF(ISBLANK([1]!ScoutingData[[#This Row],[position]]),"",[1]!ScoutingData[[#This Row],[position]])</f>
        <v>[11]</v>
      </c>
      <c r="F291">
        <f>IF(ISBLANK([1]!ScoutingData[[#This Row],[leaveStartingZone]]),"",[1]!ScoutingData[[#This Row],[leaveStartingZone]])</f>
        <v>1</v>
      </c>
      <c r="G291">
        <f>IF(ISBLANK([1]!ScoutingData[[#This Row],[autoAmpScore]]),"",[1]!ScoutingData[[#This Row],[autoAmpScore]])</f>
        <v>0</v>
      </c>
      <c r="H291">
        <f>IF(ISBLANK([1]!ScoutingData[[#This Row],[autoSpeakerScore]]),"",[1]!ScoutingData[[#This Row],[autoSpeakerScore]])</f>
        <v>0</v>
      </c>
    </row>
    <row r="292" spans="1:8" x14ac:dyDescent="0.45">
      <c r="A292">
        <f>IF(ISBLANK([1]!ScoutingData[[#This Row],[teamNumber]]),"",[1]!ScoutingData[[#This Row],[teamNumber]])</f>
        <v>7257</v>
      </c>
      <c r="B292" t="str">
        <f>IF(ISBLANK([1]!ScoutingData[[#This Row],[matchLevel]]),"",[1]!ScoutingData[[#This Row],[matchLevel]])</f>
        <v>p</v>
      </c>
      <c r="C292">
        <f>IF(ISBLANK([1]!ScoutingData[[#This Row],[matchNumber]]),"",[1]!ScoutingData[[#This Row],[matchNumber]])</f>
        <v>24</v>
      </c>
      <c r="D292" t="str">
        <f>IF(ISBLANK([1]!ScoutingData[[#This Row],[event]]),"",[1]!ScoutingData[[#This Row],[event]])</f>
        <v>2024ndgf</v>
      </c>
      <c r="E292" t="str">
        <f>IF(ISBLANK([1]!ScoutingData[[#This Row],[position]]),"",[1]!ScoutingData[[#This Row],[position]])</f>
        <v>[9]</v>
      </c>
      <c r="F292">
        <f>IF(ISBLANK([1]!ScoutingData[[#This Row],[leaveStartingZone]]),"",[1]!ScoutingData[[#This Row],[leaveStartingZone]])</f>
        <v>0</v>
      </c>
      <c r="G292">
        <f>IF(ISBLANK([1]!ScoutingData[[#This Row],[autoAmpScore]]),"",[1]!ScoutingData[[#This Row],[autoAmpScore]])</f>
        <v>0</v>
      </c>
      <c r="H292">
        <f>IF(ISBLANK([1]!ScoutingData[[#This Row],[autoSpeakerScore]]),"",[1]!ScoutingData[[#This Row],[autoSpeakerScore]])</f>
        <v>1</v>
      </c>
    </row>
    <row r="293" spans="1:8" x14ac:dyDescent="0.45">
      <c r="A293">
        <f>IF(ISBLANK([1]!ScoutingData[[#This Row],[teamNumber]]),"",[1]!ScoutingData[[#This Row],[teamNumber]])</f>
        <v>7257</v>
      </c>
      <c r="B293" t="str">
        <f>IF(ISBLANK([1]!ScoutingData[[#This Row],[matchLevel]]),"",[1]!ScoutingData[[#This Row],[matchLevel]])</f>
        <v>qm</v>
      </c>
      <c r="C293">
        <f>IF(ISBLANK([1]!ScoutingData[[#This Row],[matchNumber]]),"",[1]!ScoutingData[[#This Row],[matchNumber]])</f>
        <v>9</v>
      </c>
      <c r="D293" t="str">
        <f>IF(ISBLANK([1]!ScoutingData[[#This Row],[event]]),"",[1]!ScoutingData[[#This Row],[event]])</f>
        <v>2024ndgf</v>
      </c>
      <c r="E293" t="str">
        <f>IF(ISBLANK([1]!ScoutingData[[#This Row],[position]]),"",[1]!ScoutingData[[#This Row],[position]])</f>
        <v>[8]</v>
      </c>
      <c r="F293">
        <f>IF(ISBLANK([1]!ScoutingData[[#This Row],[leaveStartingZone]]),"",[1]!ScoutingData[[#This Row],[leaveStartingZone]])</f>
        <v>1</v>
      </c>
      <c r="G293">
        <f>IF(ISBLANK([1]!ScoutingData[[#This Row],[autoAmpScore]]),"",[1]!ScoutingData[[#This Row],[autoAmpScore]])</f>
        <v>0</v>
      </c>
      <c r="H293">
        <f>IF(ISBLANK([1]!ScoutingData[[#This Row],[autoSpeakerScore]]),"",[1]!ScoutingData[[#This Row],[autoSpeakerScore]])</f>
        <v>2</v>
      </c>
    </row>
    <row r="294" spans="1:8" x14ac:dyDescent="0.45">
      <c r="A294">
        <f>IF(ISBLANK([1]!ScoutingData[[#This Row],[teamNumber]]),"",[1]!ScoutingData[[#This Row],[teamNumber]])</f>
        <v>7257</v>
      </c>
      <c r="B294" t="str">
        <f>IF(ISBLANK([1]!ScoutingData[[#This Row],[matchLevel]]),"",[1]!ScoutingData[[#This Row],[matchLevel]])</f>
        <v>qm</v>
      </c>
      <c r="C294">
        <f>IF(ISBLANK([1]!ScoutingData[[#This Row],[matchNumber]]),"",[1]!ScoutingData[[#This Row],[matchNumber]])</f>
        <v>27</v>
      </c>
      <c r="D294" t="str">
        <f>IF(ISBLANK([1]!ScoutingData[[#This Row],[event]]),"",[1]!ScoutingData[[#This Row],[event]])</f>
        <v>2024ndgf</v>
      </c>
      <c r="E294" t="str">
        <f>IF(ISBLANK([1]!ScoutingData[[#This Row],[position]]),"",[1]!ScoutingData[[#This Row],[position]])</f>
        <v>[21]</v>
      </c>
      <c r="F294">
        <f>IF(ISBLANK([1]!ScoutingData[[#This Row],[leaveStartingZone]]),"",[1]!ScoutingData[[#This Row],[leaveStartingZone]])</f>
        <v>1</v>
      </c>
      <c r="G294">
        <f>IF(ISBLANK([1]!ScoutingData[[#This Row],[autoAmpScore]]),"",[1]!ScoutingData[[#This Row],[autoAmpScore]])</f>
        <v>0</v>
      </c>
      <c r="H294">
        <f>IF(ISBLANK([1]!ScoutingData[[#This Row],[autoSpeakerScore]]),"",[1]!ScoutingData[[#This Row],[autoSpeakerScore]])</f>
        <v>0</v>
      </c>
    </row>
    <row r="295" spans="1:8" x14ac:dyDescent="0.45">
      <c r="A295">
        <f>IF(ISBLANK([1]!ScoutingData[[#This Row],[teamNumber]]),"",[1]!ScoutingData[[#This Row],[teamNumber]])</f>
        <v>7257</v>
      </c>
      <c r="B295" t="str">
        <f>IF(ISBLANK([1]!ScoutingData[[#This Row],[matchLevel]]),"",[1]!ScoutingData[[#This Row],[matchLevel]])</f>
        <v>qm</v>
      </c>
      <c r="C295">
        <f>IF(ISBLANK([1]!ScoutingData[[#This Row],[matchNumber]]),"",[1]!ScoutingData[[#This Row],[matchNumber]])</f>
        <v>33</v>
      </c>
      <c r="D295" t="str">
        <f>IF(ISBLANK([1]!ScoutingData[[#This Row],[event]]),"",[1]!ScoutingData[[#This Row],[event]])</f>
        <v>2024ndgf</v>
      </c>
      <c r="E295" t="str">
        <f>IF(ISBLANK([1]!ScoutingData[[#This Row],[position]]),"",[1]!ScoutingData[[#This Row],[position]])</f>
        <v>[7]</v>
      </c>
      <c r="F295">
        <f>IF(ISBLANK([1]!ScoutingData[[#This Row],[leaveStartingZone]]),"",[1]!ScoutingData[[#This Row],[leaveStartingZone]])</f>
        <v>0</v>
      </c>
      <c r="G295">
        <f>IF(ISBLANK([1]!ScoutingData[[#This Row],[autoAmpScore]]),"",[1]!ScoutingData[[#This Row],[autoAmpScore]])</f>
        <v>0</v>
      </c>
      <c r="H295">
        <f>IF(ISBLANK([1]!ScoutingData[[#This Row],[autoSpeakerScore]]),"",[1]!ScoutingData[[#This Row],[autoSpeakerScore]])</f>
        <v>2</v>
      </c>
    </row>
    <row r="296" spans="1:8" x14ac:dyDescent="0.45">
      <c r="A296">
        <f>IF(ISBLANK([1]!ScoutingData[[#This Row],[teamNumber]]),"",[1]!ScoutingData[[#This Row],[teamNumber]])</f>
        <v>7257</v>
      </c>
      <c r="B296" t="str">
        <f>IF(ISBLANK([1]!ScoutingData[[#This Row],[matchLevel]]),"",[1]!ScoutingData[[#This Row],[matchLevel]])</f>
        <v>qm</v>
      </c>
      <c r="C296">
        <f>IF(ISBLANK([1]!ScoutingData[[#This Row],[matchNumber]]),"",[1]!ScoutingData[[#This Row],[matchNumber]])</f>
        <v>55</v>
      </c>
      <c r="D296" t="str">
        <f>IF(ISBLANK([1]!ScoutingData[[#This Row],[event]]),"",[1]!ScoutingData[[#This Row],[event]])</f>
        <v>2024ndgf</v>
      </c>
      <c r="E296" t="str">
        <f>IF(ISBLANK([1]!ScoutingData[[#This Row],[position]]),"",[1]!ScoutingData[[#This Row],[position]])</f>
        <v>[7]</v>
      </c>
      <c r="F296">
        <f>IF(ISBLANK([1]!ScoutingData[[#This Row],[leaveStartingZone]]),"",[1]!ScoutingData[[#This Row],[leaveStartingZone]])</f>
        <v>1</v>
      </c>
      <c r="G296">
        <f>IF(ISBLANK([1]!ScoutingData[[#This Row],[autoAmpScore]]),"",[1]!ScoutingData[[#This Row],[autoAmpScore]])</f>
        <v>0</v>
      </c>
      <c r="H296">
        <f>IF(ISBLANK([1]!ScoutingData[[#This Row],[autoSpeakerScore]]),"",[1]!ScoutingData[[#This Row],[autoSpeakerScore]])</f>
        <v>1</v>
      </c>
    </row>
    <row r="297" spans="1:8" x14ac:dyDescent="0.45">
      <c r="A297">
        <f>IF(ISBLANK([1]!ScoutingData[[#This Row],[teamNumber]]),"",[1]!ScoutingData[[#This Row],[teamNumber]])</f>
        <v>7257</v>
      </c>
      <c r="B297" t="str">
        <f>IF(ISBLANK([1]!ScoutingData[[#This Row],[matchLevel]]),"",[1]!ScoutingData[[#This Row],[matchLevel]])</f>
        <v>qm</v>
      </c>
      <c r="C297">
        <f>IF(ISBLANK([1]!ScoutingData[[#This Row],[matchNumber]]),"",[1]!ScoutingData[[#This Row],[matchNumber]])</f>
        <v>40</v>
      </c>
      <c r="D297" t="str">
        <f>IF(ISBLANK([1]!ScoutingData[[#This Row],[event]]),"",[1]!ScoutingData[[#This Row],[event]])</f>
        <v>2024ndgf</v>
      </c>
      <c r="E297" t="str">
        <f>IF(ISBLANK([1]!ScoutingData[[#This Row],[position]]),"",[1]!ScoutingData[[#This Row],[position]])</f>
        <v>[11]</v>
      </c>
      <c r="F297">
        <f>IF(ISBLANK([1]!ScoutingData[[#This Row],[leaveStartingZone]]),"",[1]!ScoutingData[[#This Row],[leaveStartingZone]])</f>
        <v>1</v>
      </c>
      <c r="G297">
        <f>IF(ISBLANK([1]!ScoutingData[[#This Row],[autoAmpScore]]),"",[1]!ScoutingData[[#This Row],[autoAmpScore]])</f>
        <v>0</v>
      </c>
      <c r="H297">
        <f>IF(ISBLANK([1]!ScoutingData[[#This Row],[autoSpeakerScore]]),"",[1]!ScoutingData[[#This Row],[autoSpeakerScore]])</f>
        <v>2</v>
      </c>
    </row>
    <row r="298" spans="1:8" x14ac:dyDescent="0.45">
      <c r="A298">
        <f>IF(ISBLANK([1]!ScoutingData[[#This Row],[teamNumber]]),"",[1]!ScoutingData[[#This Row],[teamNumber]])</f>
        <v>7677</v>
      </c>
      <c r="B298" t="str">
        <f>IF(ISBLANK([1]!ScoutingData[[#This Row],[matchLevel]]),"",[1]!ScoutingData[[#This Row],[matchLevel]])</f>
        <v>qm</v>
      </c>
      <c r="C298">
        <f>IF(ISBLANK([1]!ScoutingData[[#This Row],[matchNumber]]),"",[1]!ScoutingData[[#This Row],[matchNumber]])</f>
        <v>15</v>
      </c>
      <c r="D298" t="str">
        <f>IF(ISBLANK([1]!ScoutingData[[#This Row],[event]]),"",[1]!ScoutingData[[#This Row],[event]])</f>
        <v>2024ndgf</v>
      </c>
      <c r="E298" t="str">
        <f>IF(ISBLANK([1]!ScoutingData[[#This Row],[position]]),"",[1]!ScoutingData[[#This Row],[position]])</f>
        <v>[10]</v>
      </c>
      <c r="F298">
        <f>IF(ISBLANK([1]!ScoutingData[[#This Row],[leaveStartingZone]]),"",[1]!ScoutingData[[#This Row],[leaveStartingZone]])</f>
        <v>0</v>
      </c>
      <c r="G298">
        <f>IF(ISBLANK([1]!ScoutingData[[#This Row],[autoAmpScore]]),"",[1]!ScoutingData[[#This Row],[autoAmpScore]])</f>
        <v>0</v>
      </c>
      <c r="H298">
        <f>IF(ISBLANK([1]!ScoutingData[[#This Row],[autoSpeakerScore]]),"",[1]!ScoutingData[[#This Row],[autoSpeakerScore]])</f>
        <v>0</v>
      </c>
    </row>
    <row r="299" spans="1:8" x14ac:dyDescent="0.45">
      <c r="A299">
        <f>IF(ISBLANK([1]!ScoutingData[[#This Row],[teamNumber]]),"",[1]!ScoutingData[[#This Row],[teamNumber]])</f>
        <v>7677</v>
      </c>
      <c r="B299" t="str">
        <f>IF(ISBLANK([1]!ScoutingData[[#This Row],[matchLevel]]),"",[1]!ScoutingData[[#This Row],[matchLevel]])</f>
        <v>qm</v>
      </c>
      <c r="C299">
        <f>IF(ISBLANK([1]!ScoutingData[[#This Row],[matchNumber]]),"",[1]!ScoutingData[[#This Row],[matchNumber]])</f>
        <v>33</v>
      </c>
      <c r="D299" t="str">
        <f>IF(ISBLANK([1]!ScoutingData[[#This Row],[event]]),"",[1]!ScoutingData[[#This Row],[event]])</f>
        <v>2024ndgf</v>
      </c>
      <c r="E299" t="str">
        <f>IF(ISBLANK([1]!ScoutingData[[#This Row],[position]]),"",[1]!ScoutingData[[#This Row],[position]])</f>
        <v>[3]</v>
      </c>
      <c r="F299">
        <f>IF(ISBLANK([1]!ScoutingData[[#This Row],[leaveStartingZone]]),"",[1]!ScoutingData[[#This Row],[leaveStartingZone]])</f>
        <v>0</v>
      </c>
      <c r="G299">
        <f>IF(ISBLANK([1]!ScoutingData[[#This Row],[autoAmpScore]]),"",[1]!ScoutingData[[#This Row],[autoAmpScore]])</f>
        <v>0</v>
      </c>
      <c r="H299">
        <f>IF(ISBLANK([1]!ScoutingData[[#This Row],[autoSpeakerScore]]),"",[1]!ScoutingData[[#This Row],[autoSpeakerScore]])</f>
        <v>0</v>
      </c>
    </row>
    <row r="300" spans="1:8" x14ac:dyDescent="0.45">
      <c r="A300">
        <f>IF(ISBLANK([1]!ScoutingData[[#This Row],[teamNumber]]),"",[1]!ScoutingData[[#This Row],[teamNumber]])</f>
        <v>7677</v>
      </c>
      <c r="B300" t="str">
        <f>IF(ISBLANK([1]!ScoutingData[[#This Row],[matchLevel]]),"",[1]!ScoutingData[[#This Row],[matchLevel]])</f>
        <v>qm</v>
      </c>
      <c r="C300">
        <f>IF(ISBLANK([1]!ScoutingData[[#This Row],[matchNumber]]),"",[1]!ScoutingData[[#This Row],[matchNumber]])</f>
        <v>39</v>
      </c>
      <c r="D300" t="str">
        <f>IF(ISBLANK([1]!ScoutingData[[#This Row],[event]]),"",[1]!ScoutingData[[#This Row],[event]])</f>
        <v>2024ndgf</v>
      </c>
      <c r="E300" t="str">
        <f>IF(ISBLANK([1]!ScoutingData[[#This Row],[position]]),"",[1]!ScoutingData[[#This Row],[position]])</f>
        <v>[6]</v>
      </c>
      <c r="F300">
        <f>IF(ISBLANK([1]!ScoutingData[[#This Row],[leaveStartingZone]]),"",[1]!ScoutingData[[#This Row],[leaveStartingZone]])</f>
        <v>0</v>
      </c>
      <c r="G300">
        <f>IF(ISBLANK([1]!ScoutingData[[#This Row],[autoAmpScore]]),"",[1]!ScoutingData[[#This Row],[autoAmpScore]])</f>
        <v>0</v>
      </c>
      <c r="H300">
        <f>IF(ISBLANK([1]!ScoutingData[[#This Row],[autoSpeakerScore]]),"",[1]!ScoutingData[[#This Row],[autoSpeakerScore]])</f>
        <v>0</v>
      </c>
    </row>
    <row r="301" spans="1:8" x14ac:dyDescent="0.45">
      <c r="A301">
        <f>IF(ISBLANK([1]!ScoutingData[[#This Row],[teamNumber]]),"",[1]!ScoutingData[[#This Row],[teamNumber]])</f>
        <v>8188</v>
      </c>
      <c r="B301" t="str">
        <f>IF(ISBLANK([1]!ScoutingData[[#This Row],[matchLevel]]),"",[1]!ScoutingData[[#This Row],[matchLevel]])</f>
        <v>p</v>
      </c>
      <c r="C301">
        <f>IF(ISBLANK([1]!ScoutingData[[#This Row],[matchNumber]]),"",[1]!ScoutingData[[#This Row],[matchNumber]])</f>
        <v>18</v>
      </c>
      <c r="D301" t="str">
        <f>IF(ISBLANK([1]!ScoutingData[[#This Row],[event]]),"",[1]!ScoutingData[[#This Row],[event]])</f>
        <v>2024ndgf</v>
      </c>
      <c r="E301" t="str">
        <f>IF(ISBLANK([1]!ScoutingData[[#This Row],[position]]),"",[1]!ScoutingData[[#This Row],[position]])</f>
        <v>[8]</v>
      </c>
      <c r="F301">
        <f>IF(ISBLANK([1]!ScoutingData[[#This Row],[leaveStartingZone]]),"",[1]!ScoutingData[[#This Row],[leaveStartingZone]])</f>
        <v>1</v>
      </c>
      <c r="G301">
        <f>IF(ISBLANK([1]!ScoutingData[[#This Row],[autoAmpScore]]),"",[1]!ScoutingData[[#This Row],[autoAmpScore]])</f>
        <v>0</v>
      </c>
      <c r="H301">
        <f>IF(ISBLANK([1]!ScoutingData[[#This Row],[autoSpeakerScore]]),"",[1]!ScoutingData[[#This Row],[autoSpeakerScore]])</f>
        <v>1</v>
      </c>
    </row>
    <row r="302" spans="1:8" x14ac:dyDescent="0.45">
      <c r="A302">
        <f>IF(ISBLANK([1]!ScoutingData[[#This Row],[teamNumber]]),"",[1]!ScoutingData[[#This Row],[teamNumber]])</f>
        <v>8188</v>
      </c>
      <c r="B302" t="str">
        <f>IF(ISBLANK([1]!ScoutingData[[#This Row],[matchLevel]]),"",[1]!ScoutingData[[#This Row],[matchLevel]])</f>
        <v>qm</v>
      </c>
      <c r="C302">
        <f>IF(ISBLANK([1]!ScoutingData[[#This Row],[matchNumber]]),"",[1]!ScoutingData[[#This Row],[matchNumber]])</f>
        <v>17</v>
      </c>
      <c r="D302" t="str">
        <f>IF(ISBLANK([1]!ScoutingData[[#This Row],[event]]),"",[1]!ScoutingData[[#This Row],[event]])</f>
        <v>2024ndgf</v>
      </c>
      <c r="E302" t="str">
        <f>IF(ISBLANK([1]!ScoutingData[[#This Row],[position]]),"",[1]!ScoutingData[[#This Row],[position]])</f>
        <v>[21]</v>
      </c>
      <c r="F302">
        <f>IF(ISBLANK([1]!ScoutingData[[#This Row],[leaveStartingZone]]),"",[1]!ScoutingData[[#This Row],[leaveStartingZone]])</f>
        <v>1</v>
      </c>
      <c r="G302">
        <f>IF(ISBLANK([1]!ScoutingData[[#This Row],[autoAmpScore]]),"",[1]!ScoutingData[[#This Row],[autoAmpScore]])</f>
        <v>0</v>
      </c>
      <c r="H302">
        <f>IF(ISBLANK([1]!ScoutingData[[#This Row],[autoSpeakerScore]]),"",[1]!ScoutingData[[#This Row],[autoSpeakerScore]])</f>
        <v>0</v>
      </c>
    </row>
    <row r="303" spans="1:8" x14ac:dyDescent="0.45">
      <c r="A303">
        <f>IF(ISBLANK([1]!ScoutingData[[#This Row],[teamNumber]]),"",[1]!ScoutingData[[#This Row],[teamNumber]])</f>
        <v>8188</v>
      </c>
      <c r="B303" t="str">
        <f>IF(ISBLANK([1]!ScoutingData[[#This Row],[matchLevel]]),"",[1]!ScoutingData[[#This Row],[matchLevel]])</f>
        <v>qm</v>
      </c>
      <c r="C303">
        <f>IF(ISBLANK([1]!ScoutingData[[#This Row],[matchNumber]]),"",[1]!ScoutingData[[#This Row],[matchNumber]])</f>
        <v>7</v>
      </c>
      <c r="D303" t="str">
        <f>IF(ISBLANK([1]!ScoutingData[[#This Row],[event]]),"",[1]!ScoutingData[[#This Row],[event]])</f>
        <v>2024ndgf</v>
      </c>
      <c r="E303" t="str">
        <f>IF(ISBLANK([1]!ScoutingData[[#This Row],[position]]),"",[1]!ScoutingData[[#This Row],[position]])</f>
        <v>[9]</v>
      </c>
      <c r="F303">
        <f>IF(ISBLANK([1]!ScoutingData[[#This Row],[leaveStartingZone]]),"",[1]!ScoutingData[[#This Row],[leaveStartingZone]])</f>
        <v>1</v>
      </c>
      <c r="G303">
        <f>IF(ISBLANK([1]!ScoutingData[[#This Row],[autoAmpScore]]),"",[1]!ScoutingData[[#This Row],[autoAmpScore]])</f>
        <v>0</v>
      </c>
      <c r="H303">
        <f>IF(ISBLANK([1]!ScoutingData[[#This Row],[autoSpeakerScore]]),"",[1]!ScoutingData[[#This Row],[autoSpeakerScore]])</f>
        <v>1</v>
      </c>
    </row>
    <row r="304" spans="1:8" x14ac:dyDescent="0.45">
      <c r="A304">
        <f>IF(ISBLANK([1]!ScoutingData[[#This Row],[teamNumber]]),"",[1]!ScoutingData[[#This Row],[teamNumber]])</f>
        <v>8188</v>
      </c>
      <c r="B304" t="str">
        <f>IF(ISBLANK([1]!ScoutingData[[#This Row],[matchLevel]]),"",[1]!ScoutingData[[#This Row],[matchLevel]])</f>
        <v>qm</v>
      </c>
      <c r="C304">
        <f>IF(ISBLANK([1]!ScoutingData[[#This Row],[matchNumber]]),"",[1]!ScoutingData[[#This Row],[matchNumber]])</f>
        <v>24</v>
      </c>
      <c r="D304" t="str">
        <f>IF(ISBLANK([1]!ScoutingData[[#This Row],[event]]),"",[1]!ScoutingData[[#This Row],[event]])</f>
        <v>2024ndgf</v>
      </c>
      <c r="E304" t="str">
        <f>IF(ISBLANK([1]!ScoutingData[[#This Row],[position]]),"",[1]!ScoutingData[[#This Row],[position]])</f>
        <v>[21]</v>
      </c>
      <c r="F304">
        <f>IF(ISBLANK([1]!ScoutingData[[#This Row],[leaveStartingZone]]),"",[1]!ScoutingData[[#This Row],[leaveStartingZone]])</f>
        <v>0</v>
      </c>
      <c r="G304">
        <f>IF(ISBLANK([1]!ScoutingData[[#This Row],[autoAmpScore]]),"",[1]!ScoutingData[[#This Row],[autoAmpScore]])</f>
        <v>0</v>
      </c>
      <c r="H304">
        <f>IF(ISBLANK([1]!ScoutingData[[#This Row],[autoSpeakerScore]]),"",[1]!ScoutingData[[#This Row],[autoSpeakerScore]])</f>
        <v>1</v>
      </c>
    </row>
    <row r="305" spans="1:8" x14ac:dyDescent="0.45">
      <c r="A305">
        <f>IF(ISBLANK([1]!ScoutingData[[#This Row],[teamNumber]]),"",[1]!ScoutingData[[#This Row],[teamNumber]])</f>
        <v>8188</v>
      </c>
      <c r="B305" t="str">
        <f>IF(ISBLANK([1]!ScoutingData[[#This Row],[matchLevel]]),"",[1]!ScoutingData[[#This Row],[matchLevel]])</f>
        <v>qm</v>
      </c>
      <c r="C305">
        <f>IF(ISBLANK([1]!ScoutingData[[#This Row],[matchNumber]]),"",[1]!ScoutingData[[#This Row],[matchNumber]])</f>
        <v>45</v>
      </c>
      <c r="D305" t="str">
        <f>IF(ISBLANK([1]!ScoutingData[[#This Row],[event]]),"",[1]!ScoutingData[[#This Row],[event]])</f>
        <v>2024ndgf</v>
      </c>
      <c r="E305" t="str">
        <f>IF(ISBLANK([1]!ScoutingData[[#This Row],[position]]),"",[1]!ScoutingData[[#This Row],[position]])</f>
        <v>[8]</v>
      </c>
      <c r="F305">
        <f>IF(ISBLANK([1]!ScoutingData[[#This Row],[leaveStartingZone]]),"",[1]!ScoutingData[[#This Row],[leaveStartingZone]])</f>
        <v>1</v>
      </c>
      <c r="G305">
        <f>IF(ISBLANK([1]!ScoutingData[[#This Row],[autoAmpScore]]),"",[1]!ScoutingData[[#This Row],[autoAmpScore]])</f>
        <v>0</v>
      </c>
      <c r="H305">
        <f>IF(ISBLANK([1]!ScoutingData[[#This Row],[autoSpeakerScore]]),"",[1]!ScoutingData[[#This Row],[autoSpeakerScore]])</f>
        <v>3</v>
      </c>
    </row>
    <row r="306" spans="1:8" x14ac:dyDescent="0.45">
      <c r="A306">
        <f>IF(ISBLANK([1]!ScoutingData[[#This Row],[teamNumber]]),"",[1]!ScoutingData[[#This Row],[teamNumber]])</f>
        <v>8188</v>
      </c>
      <c r="B306" t="str">
        <f>IF(ISBLANK([1]!ScoutingData[[#This Row],[matchLevel]]),"",[1]!ScoutingData[[#This Row],[matchLevel]])</f>
        <v>qm</v>
      </c>
      <c r="C306">
        <f>IF(ISBLANK([1]!ScoutingData[[#This Row],[matchNumber]]),"",[1]!ScoutingData[[#This Row],[matchNumber]])</f>
        <v>56</v>
      </c>
      <c r="D306" t="str">
        <f>IF(ISBLANK([1]!ScoutingData[[#This Row],[event]]),"",[1]!ScoutingData[[#This Row],[event]])</f>
        <v>2024ndgf</v>
      </c>
      <c r="E306" t="str">
        <f>IF(ISBLANK([1]!ScoutingData[[#This Row],[position]]),"",[1]!ScoutingData[[#This Row],[position]])</f>
        <v>[8]</v>
      </c>
      <c r="F306">
        <f>IF(ISBLANK([1]!ScoutingData[[#This Row],[leaveStartingZone]]),"",[1]!ScoutingData[[#This Row],[leaveStartingZone]])</f>
        <v>1</v>
      </c>
      <c r="G306">
        <f>IF(ISBLANK([1]!ScoutingData[[#This Row],[autoAmpScore]]),"",[1]!ScoutingData[[#This Row],[autoAmpScore]])</f>
        <v>0</v>
      </c>
      <c r="H306">
        <f>IF(ISBLANK([1]!ScoutingData[[#This Row],[autoSpeakerScore]]),"",[1]!ScoutingData[[#This Row],[autoSpeakerScore]])</f>
        <v>2</v>
      </c>
    </row>
    <row r="307" spans="1:8" x14ac:dyDescent="0.45">
      <c r="A307">
        <f>IF(ISBLANK([1]!ScoutingData[[#This Row],[teamNumber]]),"",[1]!ScoutingData[[#This Row],[teamNumber]])</f>
        <v>8255</v>
      </c>
      <c r="B307" t="str">
        <f>IF(ISBLANK([1]!ScoutingData[[#This Row],[matchLevel]]),"",[1]!ScoutingData[[#This Row],[matchLevel]])</f>
        <v>p</v>
      </c>
      <c r="C307">
        <f>IF(ISBLANK([1]!ScoutingData[[#This Row],[matchNumber]]),"",[1]!ScoutingData[[#This Row],[matchNumber]])</f>
        <v>6</v>
      </c>
      <c r="D307" t="str">
        <f>IF(ISBLANK([1]!ScoutingData[[#This Row],[event]]),"",[1]!ScoutingData[[#This Row],[event]])</f>
        <v>2024ndgf</v>
      </c>
      <c r="E307" t="str">
        <f>IF(ISBLANK([1]!ScoutingData[[#This Row],[position]]),"",[1]!ScoutingData[[#This Row],[position]])</f>
        <v>[7]</v>
      </c>
      <c r="F307">
        <f>IF(ISBLANK([1]!ScoutingData[[#This Row],[leaveStartingZone]]),"",[1]!ScoutingData[[#This Row],[leaveStartingZone]])</f>
        <v>0</v>
      </c>
      <c r="G307">
        <f>IF(ISBLANK([1]!ScoutingData[[#This Row],[autoAmpScore]]),"",[1]!ScoutingData[[#This Row],[autoAmpScore]])</f>
        <v>0</v>
      </c>
      <c r="H307">
        <f>IF(ISBLANK([1]!ScoutingData[[#This Row],[autoSpeakerScore]]),"",[1]!ScoutingData[[#This Row],[autoSpeakerScore]])</f>
        <v>0</v>
      </c>
    </row>
    <row r="308" spans="1:8" x14ac:dyDescent="0.45">
      <c r="A308">
        <f>IF(ISBLANK([1]!ScoutingData[[#This Row],[teamNumber]]),"",[1]!ScoutingData[[#This Row],[teamNumber]])</f>
        <v>8255</v>
      </c>
      <c r="B308" t="str">
        <f>IF(ISBLANK([1]!ScoutingData[[#This Row],[matchLevel]]),"",[1]!ScoutingData[[#This Row],[matchLevel]])</f>
        <v>p</v>
      </c>
      <c r="C308">
        <f>IF(ISBLANK([1]!ScoutingData[[#This Row],[matchNumber]]),"",[1]!ScoutingData[[#This Row],[matchNumber]])</f>
        <v>18</v>
      </c>
      <c r="D308" t="str">
        <f>IF(ISBLANK([1]!ScoutingData[[#This Row],[event]]),"",[1]!ScoutingData[[#This Row],[event]])</f>
        <v>2024ndgf</v>
      </c>
      <c r="E308" t="str">
        <f>IF(ISBLANK([1]!ScoutingData[[#This Row],[position]]),"",[1]!ScoutingData[[#This Row],[position]])</f>
        <v>[21]</v>
      </c>
      <c r="F308">
        <f>IF(ISBLANK([1]!ScoutingData[[#This Row],[leaveStartingZone]]),"",[1]!ScoutingData[[#This Row],[leaveStartingZone]])</f>
        <v>1</v>
      </c>
      <c r="G308">
        <f>IF(ISBLANK([1]!ScoutingData[[#This Row],[autoAmpScore]]),"",[1]!ScoutingData[[#This Row],[autoAmpScore]])</f>
        <v>0</v>
      </c>
      <c r="H308">
        <f>IF(ISBLANK([1]!ScoutingData[[#This Row],[autoSpeakerScore]]),"",[1]!ScoutingData[[#This Row],[autoSpeakerScore]])</f>
        <v>0</v>
      </c>
    </row>
    <row r="309" spans="1:8" x14ac:dyDescent="0.45">
      <c r="A309">
        <f>IF(ISBLANK([1]!ScoutingData[[#This Row],[teamNumber]]),"",[1]!ScoutingData[[#This Row],[teamNumber]])</f>
        <v>8255</v>
      </c>
      <c r="B309" t="str">
        <f>IF(ISBLANK([1]!ScoutingData[[#This Row],[matchLevel]]),"",[1]!ScoutingData[[#This Row],[matchLevel]])</f>
        <v>qm</v>
      </c>
      <c r="C309">
        <f>IF(ISBLANK([1]!ScoutingData[[#This Row],[matchNumber]]),"",[1]!ScoutingData[[#This Row],[matchNumber]])</f>
        <v>16</v>
      </c>
      <c r="D309" t="str">
        <f>IF(ISBLANK([1]!ScoutingData[[#This Row],[event]]),"",[1]!ScoutingData[[#This Row],[event]])</f>
        <v>2024ndgf</v>
      </c>
      <c r="E309" t="str">
        <f>IF(ISBLANK([1]!ScoutingData[[#This Row],[position]]),"",[1]!ScoutingData[[#This Row],[position]])</f>
        <v>[11]</v>
      </c>
      <c r="F309">
        <f>IF(ISBLANK([1]!ScoutingData[[#This Row],[leaveStartingZone]]),"",[1]!ScoutingData[[#This Row],[leaveStartingZone]])</f>
        <v>0</v>
      </c>
      <c r="G309">
        <f>IF(ISBLANK([1]!ScoutingData[[#This Row],[autoAmpScore]]),"",[1]!ScoutingData[[#This Row],[autoAmpScore]])</f>
        <v>0</v>
      </c>
      <c r="H309">
        <f>IF(ISBLANK([1]!ScoutingData[[#This Row],[autoSpeakerScore]]),"",[1]!ScoutingData[[#This Row],[autoSpeakerScore]])</f>
        <v>0</v>
      </c>
    </row>
    <row r="310" spans="1:8" x14ac:dyDescent="0.45">
      <c r="A310">
        <f>IF(ISBLANK([1]!ScoutingData[[#This Row],[teamNumber]]),"",[1]!ScoutingData[[#This Row],[teamNumber]])</f>
        <v>8255</v>
      </c>
      <c r="B310" t="str">
        <f>IF(ISBLANK([1]!ScoutingData[[#This Row],[matchLevel]]),"",[1]!ScoutingData[[#This Row],[matchLevel]])</f>
        <v>qm</v>
      </c>
      <c r="C310">
        <f>IF(ISBLANK([1]!ScoutingData[[#This Row],[matchNumber]]),"",[1]!ScoutingData[[#This Row],[matchNumber]])</f>
        <v>32</v>
      </c>
      <c r="D310" t="str">
        <f>IF(ISBLANK([1]!ScoutingData[[#This Row],[event]]),"",[1]!ScoutingData[[#This Row],[event]])</f>
        <v>2024ndgf</v>
      </c>
      <c r="E310" t="str">
        <f>IF(ISBLANK([1]!ScoutingData[[#This Row],[position]]),"",[1]!ScoutingData[[#This Row],[position]])</f>
        <v>[21]</v>
      </c>
      <c r="F310">
        <f>IF(ISBLANK([1]!ScoutingData[[#This Row],[leaveStartingZone]]),"",[1]!ScoutingData[[#This Row],[leaveStartingZone]])</f>
        <v>1</v>
      </c>
      <c r="G310">
        <f>IF(ISBLANK([1]!ScoutingData[[#This Row],[autoAmpScore]]),"",[1]!ScoutingData[[#This Row],[autoAmpScore]])</f>
        <v>0</v>
      </c>
      <c r="H310">
        <f>IF(ISBLANK([1]!ScoutingData[[#This Row],[autoSpeakerScore]]),"",[1]!ScoutingData[[#This Row],[autoSpeakerScore]])</f>
        <v>1</v>
      </c>
    </row>
    <row r="311" spans="1:8" x14ac:dyDescent="0.45">
      <c r="A311">
        <f>IF(ISBLANK([1]!ScoutingData[[#This Row],[teamNumber]]),"",[1]!ScoutingData[[#This Row],[teamNumber]])</f>
        <v>8255</v>
      </c>
      <c r="B311" t="str">
        <f>IF(ISBLANK([1]!ScoutingData[[#This Row],[matchLevel]]),"",[1]!ScoutingData[[#This Row],[matchLevel]])</f>
        <v>qm</v>
      </c>
      <c r="C311">
        <f>IF(ISBLANK([1]!ScoutingData[[#This Row],[matchNumber]]),"",[1]!ScoutingData[[#This Row],[matchNumber]])</f>
        <v>4</v>
      </c>
      <c r="D311" t="str">
        <f>IF(ISBLANK([1]!ScoutingData[[#This Row],[event]]),"",[1]!ScoutingData[[#This Row],[event]])</f>
        <v>2024ndgf</v>
      </c>
      <c r="E311" t="str">
        <f>IF(ISBLANK([1]!ScoutingData[[#This Row],[position]]),"",[1]!ScoutingData[[#This Row],[position]])</f>
        <v>[9]</v>
      </c>
      <c r="F311">
        <f>IF(ISBLANK([1]!ScoutingData[[#This Row],[leaveStartingZone]]),"",[1]!ScoutingData[[#This Row],[leaveStartingZone]])</f>
        <v>1</v>
      </c>
      <c r="G311">
        <f>IF(ISBLANK([1]!ScoutingData[[#This Row],[autoAmpScore]]),"",[1]!ScoutingData[[#This Row],[autoAmpScore]])</f>
        <v>0</v>
      </c>
      <c r="H311">
        <f>IF(ISBLANK([1]!ScoutingData[[#This Row],[autoSpeakerScore]]),"",[1]!ScoutingData[[#This Row],[autoSpeakerScore]])</f>
        <v>1</v>
      </c>
    </row>
    <row r="312" spans="1:8" x14ac:dyDescent="0.45">
      <c r="A312">
        <f>IF(ISBLANK([1]!ScoutingData[[#This Row],[teamNumber]]),"",[1]!ScoutingData[[#This Row],[teamNumber]])</f>
        <v>8255</v>
      </c>
      <c r="B312" t="str">
        <f>IF(ISBLANK([1]!ScoutingData[[#This Row],[matchLevel]]),"",[1]!ScoutingData[[#This Row],[matchLevel]])</f>
        <v>qm</v>
      </c>
      <c r="C312">
        <f>IF(ISBLANK([1]!ScoutingData[[#This Row],[matchNumber]]),"",[1]!ScoutingData[[#This Row],[matchNumber]])</f>
        <v>25</v>
      </c>
      <c r="D312" t="str">
        <f>IF(ISBLANK([1]!ScoutingData[[#This Row],[event]]),"",[1]!ScoutingData[[#This Row],[event]])</f>
        <v>2024ndgf</v>
      </c>
      <c r="E312" t="str">
        <f>IF(ISBLANK([1]!ScoutingData[[#This Row],[position]]),"",[1]!ScoutingData[[#This Row],[position]])</f>
        <v>[10]</v>
      </c>
      <c r="F312">
        <f>IF(ISBLANK([1]!ScoutingData[[#This Row],[leaveStartingZone]]),"",[1]!ScoutingData[[#This Row],[leaveStartingZone]])</f>
        <v>1</v>
      </c>
      <c r="G312">
        <f>IF(ISBLANK([1]!ScoutingData[[#This Row],[autoAmpScore]]),"",[1]!ScoutingData[[#This Row],[autoAmpScore]])</f>
        <v>0</v>
      </c>
      <c r="H312">
        <f>IF(ISBLANK([1]!ScoutingData[[#This Row],[autoSpeakerScore]]),"",[1]!ScoutingData[[#This Row],[autoSpeakerScore]])</f>
        <v>0</v>
      </c>
    </row>
    <row r="313" spans="1:8" x14ac:dyDescent="0.45">
      <c r="A313">
        <f>IF(ISBLANK([1]!ScoutingData[[#This Row],[teamNumber]]),"",[1]!ScoutingData[[#This Row],[teamNumber]])</f>
        <v>8255</v>
      </c>
      <c r="B313" t="str">
        <f>IF(ISBLANK([1]!ScoutingData[[#This Row],[matchLevel]]),"",[1]!ScoutingData[[#This Row],[matchLevel]])</f>
        <v>qm</v>
      </c>
      <c r="C313">
        <f>IF(ISBLANK([1]!ScoutingData[[#This Row],[matchNumber]]),"",[1]!ScoutingData[[#This Row],[matchNumber]])</f>
        <v>16</v>
      </c>
      <c r="D313" t="str">
        <f>IF(ISBLANK([1]!ScoutingData[[#This Row],[event]]),"",[1]!ScoutingData[[#This Row],[event]])</f>
        <v>2024ndgf</v>
      </c>
      <c r="E313" t="str">
        <f>IF(ISBLANK([1]!ScoutingData[[#This Row],[position]]),"",[1]!ScoutingData[[#This Row],[position]])</f>
        <v>[10]</v>
      </c>
      <c r="F313">
        <f>IF(ISBLANK([1]!ScoutingData[[#This Row],[leaveStartingZone]]),"",[1]!ScoutingData[[#This Row],[leaveStartingZone]])</f>
        <v>0</v>
      </c>
      <c r="G313">
        <f>IF(ISBLANK([1]!ScoutingData[[#This Row],[autoAmpScore]]),"",[1]!ScoutingData[[#This Row],[autoAmpScore]])</f>
        <v>0</v>
      </c>
      <c r="H313">
        <f>IF(ISBLANK([1]!ScoutingData[[#This Row],[autoSpeakerScore]]),"",[1]!ScoutingData[[#This Row],[autoSpeakerScore]])</f>
        <v>1</v>
      </c>
    </row>
    <row r="314" spans="1:8" x14ac:dyDescent="0.45">
      <c r="A314">
        <f>IF(ISBLANK([1]!ScoutingData[[#This Row],[teamNumber]]),"",[1]!ScoutingData[[#This Row],[teamNumber]])</f>
        <v>8255</v>
      </c>
      <c r="B314" t="str">
        <f>IF(ISBLANK([1]!ScoutingData[[#This Row],[matchLevel]]),"",[1]!ScoutingData[[#This Row],[matchLevel]])</f>
        <v>qm</v>
      </c>
      <c r="C314">
        <f>IF(ISBLANK([1]!ScoutingData[[#This Row],[matchNumber]]),"",[1]!ScoutingData[[#This Row],[matchNumber]])</f>
        <v>48</v>
      </c>
      <c r="D314" t="str">
        <f>IF(ISBLANK([1]!ScoutingData[[#This Row],[event]]),"",[1]!ScoutingData[[#This Row],[event]])</f>
        <v>2024ndgf</v>
      </c>
      <c r="E314" t="str">
        <f>IF(ISBLANK([1]!ScoutingData[[#This Row],[position]]),"",[1]!ScoutingData[[#This Row],[position]])</f>
        <v>[10]</v>
      </c>
      <c r="F314">
        <f>IF(ISBLANK([1]!ScoutingData[[#This Row],[leaveStartingZone]]),"",[1]!ScoutingData[[#This Row],[leaveStartingZone]])</f>
        <v>1</v>
      </c>
      <c r="G314">
        <f>IF(ISBLANK([1]!ScoutingData[[#This Row],[autoAmpScore]]),"",[1]!ScoutingData[[#This Row],[autoAmpScore]])</f>
        <v>0</v>
      </c>
      <c r="H314">
        <f>IF(ISBLANK([1]!ScoutingData[[#This Row],[autoSpeakerScore]]),"",[1]!ScoutingData[[#This Row],[autoSpeakerScore]])</f>
        <v>0</v>
      </c>
    </row>
    <row r="315" spans="1:8" x14ac:dyDescent="0.45">
      <c r="A315">
        <f>IF(ISBLANK([1]!ScoutingData[[#This Row],[teamNumber]]),"",[1]!ScoutingData[[#This Row],[teamNumber]])</f>
        <v>8586</v>
      </c>
      <c r="B315" t="str">
        <f>IF(ISBLANK([1]!ScoutingData[[#This Row],[matchLevel]]),"",[1]!ScoutingData[[#This Row],[matchLevel]])</f>
        <v>p</v>
      </c>
      <c r="C315">
        <f>IF(ISBLANK([1]!ScoutingData[[#This Row],[matchNumber]]),"",[1]!ScoutingData[[#This Row],[matchNumber]])</f>
        <v>14</v>
      </c>
      <c r="D315" t="str">
        <f>IF(ISBLANK([1]!ScoutingData[[#This Row],[event]]),"",[1]!ScoutingData[[#This Row],[event]])</f>
        <v>2024ndgf</v>
      </c>
      <c r="E315" t="str">
        <f>IF(ISBLANK([1]!ScoutingData[[#This Row],[position]]),"",[1]!ScoutingData[[#This Row],[position]])</f>
        <v>[4]</v>
      </c>
      <c r="F315">
        <f>IF(ISBLANK([1]!ScoutingData[[#This Row],[leaveStartingZone]]),"",[1]!ScoutingData[[#This Row],[leaveStartingZone]])</f>
        <v>0</v>
      </c>
      <c r="G315">
        <f>IF(ISBLANK([1]!ScoutingData[[#This Row],[autoAmpScore]]),"",[1]!ScoutingData[[#This Row],[autoAmpScore]])</f>
        <v>0</v>
      </c>
      <c r="H315">
        <f>IF(ISBLANK([1]!ScoutingData[[#This Row],[autoSpeakerScore]]),"",[1]!ScoutingData[[#This Row],[autoSpeakerScore]])</f>
        <v>0</v>
      </c>
    </row>
    <row r="316" spans="1:8" x14ac:dyDescent="0.45">
      <c r="A316">
        <f>IF(ISBLANK([1]!ScoutingData[[#This Row],[teamNumber]]),"",[1]!ScoutingData[[#This Row],[teamNumber]])</f>
        <v>8586</v>
      </c>
      <c r="B316" t="str">
        <f>IF(ISBLANK([1]!ScoutingData[[#This Row],[matchLevel]]),"",[1]!ScoutingData[[#This Row],[matchLevel]])</f>
        <v>p</v>
      </c>
      <c r="C316">
        <f>IF(ISBLANK([1]!ScoutingData[[#This Row],[matchNumber]]),"",[1]!ScoutingData[[#This Row],[matchNumber]])</f>
        <v>7</v>
      </c>
      <c r="D316" t="str">
        <f>IF(ISBLANK([1]!ScoutingData[[#This Row],[event]]),"",[1]!ScoutingData[[#This Row],[event]])</f>
        <v>2024ndgf</v>
      </c>
      <c r="E316" t="str">
        <f>IF(ISBLANK([1]!ScoutingData[[#This Row],[position]]),"",[1]!ScoutingData[[#This Row],[position]])</f>
        <v>[5]</v>
      </c>
      <c r="F316">
        <f>IF(ISBLANK([1]!ScoutingData[[#This Row],[leaveStartingZone]]),"",[1]!ScoutingData[[#This Row],[leaveStartingZone]])</f>
        <v>0</v>
      </c>
      <c r="G316">
        <f>IF(ISBLANK([1]!ScoutingData[[#This Row],[autoAmpScore]]),"",[1]!ScoutingData[[#This Row],[autoAmpScore]])</f>
        <v>0</v>
      </c>
      <c r="H316">
        <f>IF(ISBLANK([1]!ScoutingData[[#This Row],[autoSpeakerScore]]),"",[1]!ScoutingData[[#This Row],[autoSpeakerScore]])</f>
        <v>0</v>
      </c>
    </row>
    <row r="317" spans="1:8" x14ac:dyDescent="0.45">
      <c r="A317">
        <f>IF(ISBLANK([1]!ScoutingData[[#This Row],[teamNumber]]),"",[1]!ScoutingData[[#This Row],[teamNumber]])</f>
        <v>8586</v>
      </c>
      <c r="B317" t="str">
        <f>IF(ISBLANK([1]!ScoutingData[[#This Row],[matchLevel]]),"",[1]!ScoutingData[[#This Row],[matchLevel]])</f>
        <v>qm</v>
      </c>
      <c r="C317">
        <f>IF(ISBLANK([1]!ScoutingData[[#This Row],[matchNumber]]),"",[1]!ScoutingData[[#This Row],[matchNumber]])</f>
        <v>13</v>
      </c>
      <c r="D317" t="str">
        <f>IF(ISBLANK([1]!ScoutingData[[#This Row],[event]]),"",[1]!ScoutingData[[#This Row],[event]])</f>
        <v>2024ndgf</v>
      </c>
      <c r="E317" t="str">
        <f>IF(ISBLANK([1]!ScoutingData[[#This Row],[position]]),"",[1]!ScoutingData[[#This Row],[position]])</f>
        <v>[9]</v>
      </c>
      <c r="F317">
        <f>IF(ISBLANK([1]!ScoutingData[[#This Row],[leaveStartingZone]]),"",[1]!ScoutingData[[#This Row],[leaveStartingZone]])</f>
        <v>0</v>
      </c>
      <c r="G317">
        <f>IF(ISBLANK([1]!ScoutingData[[#This Row],[autoAmpScore]]),"",[1]!ScoutingData[[#This Row],[autoAmpScore]])</f>
        <v>0</v>
      </c>
      <c r="H317">
        <f>IF(ISBLANK([1]!ScoutingData[[#This Row],[autoSpeakerScore]]),"",[1]!ScoutingData[[#This Row],[autoSpeakerScore]])</f>
        <v>0</v>
      </c>
    </row>
    <row r="318" spans="1:8" x14ac:dyDescent="0.45">
      <c r="A318">
        <f>IF(ISBLANK([1]!ScoutingData[[#This Row],[teamNumber]]),"",[1]!ScoutingData[[#This Row],[teamNumber]])</f>
        <v>8586</v>
      </c>
      <c r="B318" t="str">
        <f>IF(ISBLANK([1]!ScoutingData[[#This Row],[matchLevel]]),"",[1]!ScoutingData[[#This Row],[matchLevel]])</f>
        <v>qm</v>
      </c>
      <c r="C318">
        <f>IF(ISBLANK([1]!ScoutingData[[#This Row],[matchNumber]]),"",[1]!ScoutingData[[#This Row],[matchNumber]])</f>
        <v>37</v>
      </c>
      <c r="D318" t="str">
        <f>IF(ISBLANK([1]!ScoutingData[[#This Row],[event]]),"",[1]!ScoutingData[[#This Row],[event]])</f>
        <v>2024ndgf</v>
      </c>
      <c r="E318" t="str">
        <f>IF(ISBLANK([1]!ScoutingData[[#This Row],[position]]),"",[1]!ScoutingData[[#This Row],[position]])</f>
        <v>[7]</v>
      </c>
      <c r="F318">
        <f>IF(ISBLANK([1]!ScoutingData[[#This Row],[leaveStartingZone]]),"",[1]!ScoutingData[[#This Row],[leaveStartingZone]])</f>
        <v>0</v>
      </c>
      <c r="G318">
        <f>IF(ISBLANK([1]!ScoutingData[[#This Row],[autoAmpScore]]),"",[1]!ScoutingData[[#This Row],[autoAmpScore]])</f>
        <v>0</v>
      </c>
      <c r="H318">
        <f>IF(ISBLANK([1]!ScoutingData[[#This Row],[autoSpeakerScore]]),"",[1]!ScoutingData[[#This Row],[autoSpeakerScore]])</f>
        <v>0</v>
      </c>
    </row>
    <row r="319" spans="1:8" x14ac:dyDescent="0.45">
      <c r="A319">
        <f>IF(ISBLANK([1]!ScoutingData[[#This Row],[teamNumber]]),"",[1]!ScoutingData[[#This Row],[teamNumber]])</f>
        <v>8586</v>
      </c>
      <c r="B319" t="str">
        <f>IF(ISBLANK([1]!ScoutingData[[#This Row],[matchLevel]]),"",[1]!ScoutingData[[#This Row],[matchLevel]])</f>
        <v>qm</v>
      </c>
      <c r="C319">
        <f>IF(ISBLANK([1]!ScoutingData[[#This Row],[matchNumber]]),"",[1]!ScoutingData[[#This Row],[matchNumber]])</f>
        <v>52</v>
      </c>
      <c r="D319" t="str">
        <f>IF(ISBLANK([1]!ScoutingData[[#This Row],[event]]),"",[1]!ScoutingData[[#This Row],[event]])</f>
        <v>2024ndgf</v>
      </c>
      <c r="E319" t="str">
        <f>IF(ISBLANK([1]!ScoutingData[[#This Row],[position]]),"",[1]!ScoutingData[[#This Row],[position]])</f>
        <v>[6]</v>
      </c>
      <c r="F319">
        <f>IF(ISBLANK([1]!ScoutingData[[#This Row],[leaveStartingZone]]),"",[1]!ScoutingData[[#This Row],[leaveStartingZone]])</f>
        <v>0</v>
      </c>
      <c r="G319">
        <f>IF(ISBLANK([1]!ScoutingData[[#This Row],[autoAmpScore]]),"",[1]!ScoutingData[[#This Row],[autoAmpScore]])</f>
        <v>0</v>
      </c>
      <c r="H319">
        <f>IF(ISBLANK([1]!ScoutingData[[#This Row],[autoSpeakerScore]]),"",[1]!ScoutingData[[#This Row],[autoSpeakerScore]])</f>
        <v>0</v>
      </c>
    </row>
    <row r="320" spans="1:8" x14ac:dyDescent="0.45">
      <c r="A320">
        <f>IF(ISBLANK([1]!ScoutingData[[#This Row],[teamNumber]]),"",[1]!ScoutingData[[#This Row],[teamNumber]])</f>
        <v>8586</v>
      </c>
      <c r="B320" t="str">
        <f>IF(ISBLANK([1]!ScoutingData[[#This Row],[matchLevel]]),"",[1]!ScoutingData[[#This Row],[matchLevel]])</f>
        <v>qm</v>
      </c>
      <c r="C320">
        <f>IF(ISBLANK([1]!ScoutingData[[#This Row],[matchNumber]]),"",[1]!ScoutingData[[#This Row],[matchNumber]])</f>
        <v>43</v>
      </c>
      <c r="D320" t="str">
        <f>IF(ISBLANK([1]!ScoutingData[[#This Row],[event]]),"",[1]!ScoutingData[[#This Row],[event]])</f>
        <v>2024ndgf</v>
      </c>
      <c r="E320" t="str">
        <f>IF(ISBLANK([1]!ScoutingData[[#This Row],[position]]),"",[1]!ScoutingData[[#This Row],[position]])</f>
        <v>[11]</v>
      </c>
      <c r="F320">
        <f>IF(ISBLANK([1]!ScoutingData[[#This Row],[leaveStartingZone]]),"",[1]!ScoutingData[[#This Row],[leaveStartingZone]])</f>
        <v>0</v>
      </c>
      <c r="G320">
        <f>IF(ISBLANK([1]!ScoutingData[[#This Row],[autoAmpScore]]),"",[1]!ScoutingData[[#This Row],[autoAmpScore]])</f>
        <v>0</v>
      </c>
      <c r="H320">
        <f>IF(ISBLANK([1]!ScoutingData[[#This Row],[autoSpeakerScore]]),"",[1]!ScoutingData[[#This Row],[autoSpeakerScore]])</f>
        <v>0</v>
      </c>
    </row>
    <row r="321" spans="1:8" x14ac:dyDescent="0.45">
      <c r="A321">
        <f>IF(ISBLANK([1]!ScoutingData[[#This Row],[teamNumber]]),"",[1]!ScoutingData[[#This Row],[teamNumber]])</f>
        <v>8878</v>
      </c>
      <c r="B321" t="str">
        <f>IF(ISBLANK([1]!ScoutingData[[#This Row],[matchLevel]]),"",[1]!ScoutingData[[#This Row],[matchLevel]])</f>
        <v>p</v>
      </c>
      <c r="C321">
        <f>IF(ISBLANK([1]!ScoutingData[[#This Row],[matchNumber]]),"",[1]!ScoutingData[[#This Row],[matchNumber]])</f>
        <v>10</v>
      </c>
      <c r="D321" t="str">
        <f>IF(ISBLANK([1]!ScoutingData[[#This Row],[event]]),"",[1]!ScoutingData[[#This Row],[event]])</f>
        <v>2024ndgf</v>
      </c>
      <c r="E321" t="str">
        <f>IF(ISBLANK([1]!ScoutingData[[#This Row],[position]]),"",[1]!ScoutingData[[#This Row],[position]])</f>
        <v>[10]</v>
      </c>
      <c r="F321">
        <f>IF(ISBLANK([1]!ScoutingData[[#This Row],[leaveStartingZone]]),"",[1]!ScoutingData[[#This Row],[leaveStartingZone]])</f>
        <v>0</v>
      </c>
      <c r="G321">
        <f>IF(ISBLANK([1]!ScoutingData[[#This Row],[autoAmpScore]]),"",[1]!ScoutingData[[#This Row],[autoAmpScore]])</f>
        <v>0</v>
      </c>
      <c r="H321">
        <f>IF(ISBLANK([1]!ScoutingData[[#This Row],[autoSpeakerScore]]),"",[1]!ScoutingData[[#This Row],[autoSpeakerScore]])</f>
        <v>0</v>
      </c>
    </row>
    <row r="322" spans="1:8" x14ac:dyDescent="0.45">
      <c r="A322">
        <f>IF(ISBLANK([1]!ScoutingData[[#This Row],[teamNumber]]),"",[1]!ScoutingData[[#This Row],[teamNumber]])</f>
        <v>8878</v>
      </c>
      <c r="B322" t="str">
        <f>IF(ISBLANK([1]!ScoutingData[[#This Row],[matchLevel]]),"",[1]!ScoutingData[[#This Row],[matchLevel]])</f>
        <v>qm</v>
      </c>
      <c r="C322">
        <f>IF(ISBLANK([1]!ScoutingData[[#This Row],[matchNumber]]),"",[1]!ScoutingData[[#This Row],[matchNumber]])</f>
        <v>13</v>
      </c>
      <c r="D322" t="str">
        <f>IF(ISBLANK([1]!ScoutingData[[#This Row],[event]]),"",[1]!ScoutingData[[#This Row],[event]])</f>
        <v>2024ndgf</v>
      </c>
      <c r="E322" t="str">
        <f>IF(ISBLANK([1]!ScoutingData[[#This Row],[position]]),"",[1]!ScoutingData[[#This Row],[position]])</f>
        <v>[4]</v>
      </c>
      <c r="F322">
        <f>IF(ISBLANK([1]!ScoutingData[[#This Row],[leaveStartingZone]]),"",[1]!ScoutingData[[#This Row],[leaveStartingZone]])</f>
        <v>1</v>
      </c>
      <c r="G322">
        <f>IF(ISBLANK([1]!ScoutingData[[#This Row],[autoAmpScore]]),"",[1]!ScoutingData[[#This Row],[autoAmpScore]])</f>
        <v>0</v>
      </c>
      <c r="H322">
        <f>IF(ISBLANK([1]!ScoutingData[[#This Row],[autoSpeakerScore]]),"",[1]!ScoutingData[[#This Row],[autoSpeakerScore]])</f>
        <v>0</v>
      </c>
    </row>
    <row r="323" spans="1:8" x14ac:dyDescent="0.45">
      <c r="A323">
        <f>IF(ISBLANK([1]!ScoutingData[[#This Row],[teamNumber]]),"",[1]!ScoutingData[[#This Row],[teamNumber]])</f>
        <v>8878</v>
      </c>
      <c r="B323" t="str">
        <f>IF(ISBLANK([1]!ScoutingData[[#This Row],[matchLevel]]),"",[1]!ScoutingData[[#This Row],[matchLevel]])</f>
        <v>qm</v>
      </c>
      <c r="C323">
        <f>IF(ISBLANK([1]!ScoutingData[[#This Row],[matchNumber]]),"",[1]!ScoutingData[[#This Row],[matchNumber]])</f>
        <v>6</v>
      </c>
      <c r="D323" t="str">
        <f>IF(ISBLANK([1]!ScoutingData[[#This Row],[event]]),"",[1]!ScoutingData[[#This Row],[event]])</f>
        <v>2024ndgf</v>
      </c>
      <c r="E323" t="str">
        <f>IF(ISBLANK([1]!ScoutingData[[#This Row],[position]]),"",[1]!ScoutingData[[#This Row],[position]])</f>
        <v>[11]</v>
      </c>
      <c r="F323">
        <f>IF(ISBLANK([1]!ScoutingData[[#This Row],[leaveStartingZone]]),"",[1]!ScoutingData[[#This Row],[leaveStartingZone]])</f>
        <v>0</v>
      </c>
      <c r="G323">
        <f>IF(ISBLANK([1]!ScoutingData[[#This Row],[autoAmpScore]]),"",[1]!ScoutingData[[#This Row],[autoAmpScore]])</f>
        <v>0</v>
      </c>
      <c r="H323">
        <f>IF(ISBLANK([1]!ScoutingData[[#This Row],[autoSpeakerScore]]),"",[1]!ScoutingData[[#This Row],[autoSpeakerScore]])</f>
        <v>0</v>
      </c>
    </row>
    <row r="324" spans="1:8" x14ac:dyDescent="0.45">
      <c r="A324">
        <f>IF(ISBLANK([1]!ScoutingData[[#This Row],[teamNumber]]),"",[1]!ScoutingData[[#This Row],[teamNumber]])</f>
        <v>8878</v>
      </c>
      <c r="B324" t="str">
        <f>IF(ISBLANK([1]!ScoutingData[[#This Row],[matchLevel]]),"",[1]!ScoutingData[[#This Row],[matchLevel]])</f>
        <v>qm</v>
      </c>
      <c r="C324">
        <f>IF(ISBLANK([1]!ScoutingData[[#This Row],[matchNumber]]),"",[1]!ScoutingData[[#This Row],[matchNumber]])</f>
        <v>58</v>
      </c>
      <c r="D324" t="str">
        <f>IF(ISBLANK([1]!ScoutingData[[#This Row],[event]]),"",[1]!ScoutingData[[#This Row],[event]])</f>
        <v>2024ndgf</v>
      </c>
      <c r="E324" t="str">
        <f>IF(ISBLANK([1]!ScoutingData[[#This Row],[position]]),"",[1]!ScoutingData[[#This Row],[position]])</f>
        <v>[4]</v>
      </c>
      <c r="F324">
        <f>IF(ISBLANK([1]!ScoutingData[[#This Row],[leaveStartingZone]]),"",[1]!ScoutingData[[#This Row],[leaveStartingZone]])</f>
        <v>0</v>
      </c>
      <c r="G324">
        <f>IF(ISBLANK([1]!ScoutingData[[#This Row],[autoAmpScore]]),"",[1]!ScoutingData[[#This Row],[autoAmpScore]])</f>
        <v>0</v>
      </c>
      <c r="H324">
        <f>IF(ISBLANK([1]!ScoutingData[[#This Row],[autoSpeakerScore]]),"",[1]!ScoutingData[[#This Row],[autoSpeakerScore]])</f>
        <v>0</v>
      </c>
    </row>
    <row r="325" spans="1:8" x14ac:dyDescent="0.45">
      <c r="A325">
        <f>IF(ISBLANK([1]!ScoutingData[[#This Row],[teamNumber]]),"",[1]!ScoutingData[[#This Row],[teamNumber]])</f>
        <v>8878</v>
      </c>
      <c r="B325" t="str">
        <f>IF(ISBLANK([1]!ScoutingData[[#This Row],[matchLevel]]),"",[1]!ScoutingData[[#This Row],[matchLevel]])</f>
        <v>qm</v>
      </c>
      <c r="C325">
        <f>IF(ISBLANK([1]!ScoutingData[[#This Row],[matchNumber]]),"",[1]!ScoutingData[[#This Row],[matchNumber]])</f>
        <v>40</v>
      </c>
      <c r="D325" t="str">
        <f>IF(ISBLANK([1]!ScoutingData[[#This Row],[event]]),"",[1]!ScoutingData[[#This Row],[event]])</f>
        <v>2024ndgf</v>
      </c>
      <c r="E325" t="str">
        <f>IF(ISBLANK([1]!ScoutingData[[#This Row],[position]]),"",[1]!ScoutingData[[#This Row],[position]])</f>
        <v>[4]</v>
      </c>
      <c r="F325">
        <f>IF(ISBLANK([1]!ScoutingData[[#This Row],[leaveStartingZone]]),"",[1]!ScoutingData[[#This Row],[leaveStartingZone]])</f>
        <v>0</v>
      </c>
      <c r="G325">
        <f>IF(ISBLANK([1]!ScoutingData[[#This Row],[autoAmpScore]]),"",[1]!ScoutingData[[#This Row],[autoAmpScore]])</f>
        <v>0</v>
      </c>
      <c r="H325">
        <f>IF(ISBLANK([1]!ScoutingData[[#This Row],[autoSpeakerScore]]),"",[1]!ScoutingData[[#This Row],[autoSpeakerScore]])</f>
        <v>0</v>
      </c>
    </row>
    <row r="326" spans="1:8" x14ac:dyDescent="0.45">
      <c r="A326">
        <f>IF(ISBLANK([1]!ScoutingData[[#This Row],[teamNumber]]),"",[1]!ScoutingData[[#This Row],[teamNumber]])</f>
        <v>9474</v>
      </c>
      <c r="B326" t="str">
        <f>IF(ISBLANK([1]!ScoutingData[[#This Row],[matchLevel]]),"",[1]!ScoutingData[[#This Row],[matchLevel]])</f>
        <v>p</v>
      </c>
      <c r="C326">
        <f>IF(ISBLANK([1]!ScoutingData[[#This Row],[matchNumber]]),"",[1]!ScoutingData[[#This Row],[matchNumber]])</f>
        <v>24</v>
      </c>
      <c r="D326" t="str">
        <f>IF(ISBLANK([1]!ScoutingData[[#This Row],[event]]),"",[1]!ScoutingData[[#This Row],[event]])</f>
        <v>2024ndgf</v>
      </c>
      <c r="E326" t="str">
        <f>IF(ISBLANK([1]!ScoutingData[[#This Row],[position]]),"",[1]!ScoutingData[[#This Row],[position]])</f>
        <v>[4]</v>
      </c>
      <c r="F326">
        <f>IF(ISBLANK([1]!ScoutingData[[#This Row],[leaveStartingZone]]),"",[1]!ScoutingData[[#This Row],[leaveStartingZone]])</f>
        <v>0</v>
      </c>
      <c r="G326">
        <f>IF(ISBLANK([1]!ScoutingData[[#This Row],[autoAmpScore]]),"",[1]!ScoutingData[[#This Row],[autoAmpScore]])</f>
        <v>0</v>
      </c>
      <c r="H326">
        <f>IF(ISBLANK([1]!ScoutingData[[#This Row],[autoSpeakerScore]]),"",[1]!ScoutingData[[#This Row],[autoSpeakerScore]])</f>
        <v>0</v>
      </c>
    </row>
    <row r="327" spans="1:8" x14ac:dyDescent="0.45">
      <c r="A327">
        <f>IF(ISBLANK([1]!ScoutingData[[#This Row],[teamNumber]]),"",[1]!ScoutingData[[#This Row],[teamNumber]])</f>
        <v>9474</v>
      </c>
      <c r="B327" t="str">
        <f>IF(ISBLANK([1]!ScoutingData[[#This Row],[matchLevel]]),"",[1]!ScoutingData[[#This Row],[matchLevel]])</f>
        <v>p</v>
      </c>
      <c r="C327">
        <f>IF(ISBLANK([1]!ScoutingData[[#This Row],[matchNumber]]),"",[1]!ScoutingData[[#This Row],[matchNumber]])</f>
        <v>8</v>
      </c>
      <c r="D327" t="str">
        <f>IF(ISBLANK([1]!ScoutingData[[#This Row],[event]]),"",[1]!ScoutingData[[#This Row],[event]])</f>
        <v>2024ndgf</v>
      </c>
      <c r="E327" t="str">
        <f>IF(ISBLANK([1]!ScoutingData[[#This Row],[position]]),"",[1]!ScoutingData[[#This Row],[position]])</f>
        <v>[11]</v>
      </c>
      <c r="F327">
        <f>IF(ISBLANK([1]!ScoutingData[[#This Row],[leaveStartingZone]]),"",[1]!ScoutingData[[#This Row],[leaveStartingZone]])</f>
        <v>0</v>
      </c>
      <c r="G327">
        <f>IF(ISBLANK([1]!ScoutingData[[#This Row],[autoAmpScore]]),"",[1]!ScoutingData[[#This Row],[autoAmpScore]])</f>
        <v>0</v>
      </c>
      <c r="H327">
        <f>IF(ISBLANK([1]!ScoutingData[[#This Row],[autoSpeakerScore]]),"",[1]!ScoutingData[[#This Row],[autoSpeakerScore]])</f>
        <v>0</v>
      </c>
    </row>
    <row r="328" spans="1:8" x14ac:dyDescent="0.45">
      <c r="A328">
        <f>IF(ISBLANK([1]!ScoutingData[[#This Row],[teamNumber]]),"",[1]!ScoutingData[[#This Row],[teamNumber]])</f>
        <v>9474</v>
      </c>
      <c r="B328" t="str">
        <f>IF(ISBLANK([1]!ScoutingData[[#This Row],[matchLevel]]),"",[1]!ScoutingData[[#This Row],[matchLevel]])</f>
        <v>qm</v>
      </c>
      <c r="C328">
        <f>IF(ISBLANK([1]!ScoutingData[[#This Row],[matchNumber]]),"",[1]!ScoutingData[[#This Row],[matchNumber]])</f>
        <v>17</v>
      </c>
      <c r="D328" t="str">
        <f>IF(ISBLANK([1]!ScoutingData[[#This Row],[event]]),"",[1]!ScoutingData[[#This Row],[event]])</f>
        <v>2024ndgf</v>
      </c>
      <c r="E328" t="str">
        <f>IF(ISBLANK([1]!ScoutingData[[#This Row],[position]]),"",[1]!ScoutingData[[#This Row],[position]])</f>
        <v>[6]</v>
      </c>
      <c r="F328">
        <f>IF(ISBLANK([1]!ScoutingData[[#This Row],[leaveStartingZone]]),"",[1]!ScoutingData[[#This Row],[leaveStartingZone]])</f>
        <v>0</v>
      </c>
      <c r="G328">
        <f>IF(ISBLANK([1]!ScoutingData[[#This Row],[autoAmpScore]]),"",[1]!ScoutingData[[#This Row],[autoAmpScore]])</f>
        <v>0</v>
      </c>
      <c r="H328">
        <f>IF(ISBLANK([1]!ScoutingData[[#This Row],[autoSpeakerScore]]),"",[1]!ScoutingData[[#This Row],[autoSpeakerScore]])</f>
        <v>0</v>
      </c>
    </row>
    <row r="329" spans="1:8" x14ac:dyDescent="0.45">
      <c r="A329">
        <f>IF(ISBLANK([1]!ScoutingData[[#This Row],[teamNumber]]),"",[1]!ScoutingData[[#This Row],[teamNumber]])</f>
        <v>9474</v>
      </c>
      <c r="B329" t="str">
        <f>IF(ISBLANK([1]!ScoutingData[[#This Row],[matchLevel]]),"",[1]!ScoutingData[[#This Row],[matchLevel]])</f>
        <v>qm</v>
      </c>
      <c r="C329">
        <f>IF(ISBLANK([1]!ScoutingData[[#This Row],[matchNumber]]),"",[1]!ScoutingData[[#This Row],[matchNumber]])</f>
        <v>34</v>
      </c>
      <c r="D329" t="str">
        <f>IF(ISBLANK([1]!ScoutingData[[#This Row],[event]]),"",[1]!ScoutingData[[#This Row],[event]])</f>
        <v>2024ndgf</v>
      </c>
      <c r="E329" t="str">
        <f>IF(ISBLANK([1]!ScoutingData[[#This Row],[position]]),"",[1]!ScoutingData[[#This Row],[position]])</f>
        <v>[11]</v>
      </c>
      <c r="F329">
        <f>IF(ISBLANK([1]!ScoutingData[[#This Row],[leaveStartingZone]]),"",[1]!ScoutingData[[#This Row],[leaveStartingZone]])</f>
        <v>1</v>
      </c>
      <c r="G329">
        <f>IF(ISBLANK([1]!ScoutingData[[#This Row],[autoAmpScore]]),"",[1]!ScoutingData[[#This Row],[autoAmpScore]])</f>
        <v>0</v>
      </c>
      <c r="H329">
        <f>IF(ISBLANK([1]!ScoutingData[[#This Row],[autoSpeakerScore]]),"",[1]!ScoutingData[[#This Row],[autoSpeakerScore]])</f>
        <v>0</v>
      </c>
    </row>
    <row r="330" spans="1:8" x14ac:dyDescent="0.45">
      <c r="A330">
        <f>IF(ISBLANK([1]!ScoutingData[[#This Row],[teamNumber]]),"",[1]!ScoutingData[[#This Row],[teamNumber]])</f>
        <v>9474</v>
      </c>
      <c r="B330" t="str">
        <f>IF(ISBLANK([1]!ScoutingData[[#This Row],[matchLevel]]),"",[1]!ScoutingData[[#This Row],[matchLevel]])</f>
        <v>qm</v>
      </c>
      <c r="C330">
        <f>IF(ISBLANK([1]!ScoutingData[[#This Row],[matchNumber]]),"",[1]!ScoutingData[[#This Row],[matchNumber]])</f>
        <v>56</v>
      </c>
      <c r="D330" t="str">
        <f>IF(ISBLANK([1]!ScoutingData[[#This Row],[event]]),"",[1]!ScoutingData[[#This Row],[event]])</f>
        <v>2024ndgf</v>
      </c>
      <c r="E330" t="str">
        <f>IF(ISBLANK([1]!ScoutingData[[#This Row],[position]]),"",[1]!ScoutingData[[#This Row],[position]])</f>
        <v>[4]</v>
      </c>
      <c r="F330">
        <f>IF(ISBLANK([1]!ScoutingData[[#This Row],[leaveStartingZone]]),"",[1]!ScoutingData[[#This Row],[leaveStartingZone]])</f>
        <v>1</v>
      </c>
      <c r="G330">
        <f>IF(ISBLANK([1]!ScoutingData[[#This Row],[autoAmpScore]]),"",[1]!ScoutingData[[#This Row],[autoAmpScore]])</f>
        <v>0</v>
      </c>
      <c r="H330">
        <f>IF(ISBLANK([1]!ScoutingData[[#This Row],[autoSpeakerScore]]),"",[1]!ScoutingData[[#This Row],[autoSpeakerScore]])</f>
        <v>0</v>
      </c>
    </row>
    <row r="331" spans="1:8" x14ac:dyDescent="0.45">
      <c r="A331">
        <f>IF(ISBLANK([1]!ScoutingData[[#This Row],[teamNumber]]),"",[1]!ScoutingData[[#This Row],[teamNumber]])</f>
        <v>9576</v>
      </c>
      <c r="B331" t="str">
        <f>IF(ISBLANK([1]!ScoutingData[[#This Row],[matchLevel]]),"",[1]!ScoutingData[[#This Row],[matchLevel]])</f>
        <v>p</v>
      </c>
      <c r="C331">
        <f>IF(ISBLANK([1]!ScoutingData[[#This Row],[matchNumber]]),"",[1]!ScoutingData[[#This Row],[matchNumber]])</f>
        <v>9</v>
      </c>
      <c r="D331" t="str">
        <f>IF(ISBLANK([1]!ScoutingData[[#This Row],[event]]),"",[1]!ScoutingData[[#This Row],[event]])</f>
        <v>2024ndgf</v>
      </c>
      <c r="E331" t="str">
        <f>IF(ISBLANK([1]!ScoutingData[[#This Row],[position]]),"",[1]!ScoutingData[[#This Row],[position]])</f>
        <v>[4]</v>
      </c>
      <c r="F331">
        <f>IF(ISBLANK([1]!ScoutingData[[#This Row],[leaveStartingZone]]),"",[1]!ScoutingData[[#This Row],[leaveStartingZone]])</f>
        <v>0</v>
      </c>
      <c r="G331">
        <f>IF(ISBLANK([1]!ScoutingData[[#This Row],[autoAmpScore]]),"",[1]!ScoutingData[[#This Row],[autoAmpScore]])</f>
        <v>0</v>
      </c>
      <c r="H331">
        <f>IF(ISBLANK([1]!ScoutingData[[#This Row],[autoSpeakerScore]]),"",[1]!ScoutingData[[#This Row],[autoSpeakerScore]])</f>
        <v>0</v>
      </c>
    </row>
    <row r="332" spans="1:8" x14ac:dyDescent="0.45">
      <c r="A332">
        <f>IF(ISBLANK([1]!ScoutingData[[#This Row],[teamNumber]]),"",[1]!ScoutingData[[#This Row],[teamNumber]])</f>
        <v>9576</v>
      </c>
      <c r="B332" t="str">
        <f>IF(ISBLANK([1]!ScoutingData[[#This Row],[matchLevel]]),"",[1]!ScoutingData[[#This Row],[matchLevel]])</f>
        <v>p</v>
      </c>
      <c r="C332">
        <f>IF(ISBLANK([1]!ScoutingData[[#This Row],[matchNumber]]),"",[1]!ScoutingData[[#This Row],[matchNumber]])</f>
        <v>15</v>
      </c>
      <c r="D332" t="str">
        <f>IF(ISBLANK([1]!ScoutingData[[#This Row],[event]]),"",[1]!ScoutingData[[#This Row],[event]])</f>
        <v>2024ndgf</v>
      </c>
      <c r="E332" t="str">
        <f>IF(ISBLANK([1]!ScoutingData[[#This Row],[position]]),"",[1]!ScoutingData[[#This Row],[position]])</f>
        <v>[9]</v>
      </c>
      <c r="F332">
        <f>IF(ISBLANK([1]!ScoutingData[[#This Row],[leaveStartingZone]]),"",[1]!ScoutingData[[#This Row],[leaveStartingZone]])</f>
        <v>0</v>
      </c>
      <c r="G332">
        <f>IF(ISBLANK([1]!ScoutingData[[#This Row],[autoAmpScore]]),"",[1]!ScoutingData[[#This Row],[autoAmpScore]])</f>
        <v>0</v>
      </c>
      <c r="H332">
        <f>IF(ISBLANK([1]!ScoutingData[[#This Row],[autoSpeakerScore]]),"",[1]!ScoutingData[[#This Row],[autoSpeakerScore]])</f>
        <v>0</v>
      </c>
    </row>
    <row r="333" spans="1:8" x14ac:dyDescent="0.45">
      <c r="A333">
        <f>IF(ISBLANK([1]!ScoutingData[[#This Row],[teamNumber]]),"",[1]!ScoutingData[[#This Row],[teamNumber]])</f>
        <v>9576</v>
      </c>
      <c r="B333" t="str">
        <f>IF(ISBLANK([1]!ScoutingData[[#This Row],[matchLevel]]),"",[1]!ScoutingData[[#This Row],[matchLevel]])</f>
        <v>qm</v>
      </c>
      <c r="C333">
        <f>IF(ISBLANK([1]!ScoutingData[[#This Row],[matchNumber]]),"",[1]!ScoutingData[[#This Row],[matchNumber]])</f>
        <v>11</v>
      </c>
      <c r="D333" t="str">
        <f>IF(ISBLANK([1]!ScoutingData[[#This Row],[event]]),"",[1]!ScoutingData[[#This Row],[event]])</f>
        <v>2024ndgf</v>
      </c>
      <c r="E333" t="str">
        <f>IF(ISBLANK([1]!ScoutingData[[#This Row],[position]]),"",[1]!ScoutingData[[#This Row],[position]])</f>
        <v>[11]</v>
      </c>
      <c r="F333">
        <f>IF(ISBLANK([1]!ScoutingData[[#This Row],[leaveStartingZone]]),"",[1]!ScoutingData[[#This Row],[leaveStartingZone]])</f>
        <v>0</v>
      </c>
      <c r="G333">
        <f>IF(ISBLANK([1]!ScoutingData[[#This Row],[autoAmpScore]]),"",[1]!ScoutingData[[#This Row],[autoAmpScore]])</f>
        <v>0</v>
      </c>
      <c r="H333">
        <f>IF(ISBLANK([1]!ScoutingData[[#This Row],[autoSpeakerScore]]),"",[1]!ScoutingData[[#This Row],[autoSpeakerScore]])</f>
        <v>1</v>
      </c>
    </row>
    <row r="334" spans="1:8" x14ac:dyDescent="0.45">
      <c r="A334">
        <f>IF(ISBLANK([1]!ScoutingData[[#This Row],[teamNumber]]),"",[1]!ScoutingData[[#This Row],[teamNumber]])</f>
        <v>9576</v>
      </c>
      <c r="B334" t="str">
        <f>IF(ISBLANK([1]!ScoutingData[[#This Row],[matchLevel]]),"",[1]!ScoutingData[[#This Row],[matchLevel]])</f>
        <v>qm</v>
      </c>
      <c r="C334">
        <f>IF(ISBLANK([1]!ScoutingData[[#This Row],[matchNumber]]),"",[1]!ScoutingData[[#This Row],[matchNumber]])</f>
        <v>30</v>
      </c>
      <c r="D334" t="str">
        <f>IF(ISBLANK([1]!ScoutingData[[#This Row],[event]]),"",[1]!ScoutingData[[#This Row],[event]])</f>
        <v>2024ndgf</v>
      </c>
      <c r="E334" t="str">
        <f>IF(ISBLANK([1]!ScoutingData[[#This Row],[position]]),"",[1]!ScoutingData[[#This Row],[position]])</f>
        <v>[9]</v>
      </c>
      <c r="F334">
        <f>IF(ISBLANK([1]!ScoutingData[[#This Row],[leaveStartingZone]]),"",[1]!ScoutingData[[#This Row],[leaveStartingZone]])</f>
        <v>1</v>
      </c>
      <c r="G334">
        <f>IF(ISBLANK([1]!ScoutingData[[#This Row],[autoAmpScore]]),"",[1]!ScoutingData[[#This Row],[autoAmpScore]])</f>
        <v>0</v>
      </c>
      <c r="H334">
        <f>IF(ISBLANK([1]!ScoutingData[[#This Row],[autoSpeakerScore]]),"",[1]!ScoutingData[[#This Row],[autoSpeakerScore]])</f>
        <v>1</v>
      </c>
    </row>
    <row r="335" spans="1:8" x14ac:dyDescent="0.45">
      <c r="A335">
        <f>IF(ISBLANK([1]!ScoutingData[[#This Row],[teamNumber]]),"",[1]!ScoutingData[[#This Row],[teamNumber]])</f>
        <v>9576</v>
      </c>
      <c r="B335" t="str">
        <f>IF(ISBLANK([1]!ScoutingData[[#This Row],[matchLevel]]),"",[1]!ScoutingData[[#This Row],[matchLevel]])</f>
        <v>qm</v>
      </c>
      <c r="C335">
        <f>IF(ISBLANK([1]!ScoutingData[[#This Row],[matchNumber]]),"",[1]!ScoutingData[[#This Row],[matchNumber]])</f>
        <v>47</v>
      </c>
      <c r="D335" t="str">
        <f>IF(ISBLANK([1]!ScoutingData[[#This Row],[event]]),"",[1]!ScoutingData[[#This Row],[event]])</f>
        <v>2024ndgf</v>
      </c>
      <c r="E335" t="str">
        <f>IF(ISBLANK([1]!ScoutingData[[#This Row],[position]]),"",[1]!ScoutingData[[#This Row],[position]])</f>
        <v>[9]</v>
      </c>
      <c r="F335">
        <f>IF(ISBLANK([1]!ScoutingData[[#This Row],[leaveStartingZone]]),"",[1]!ScoutingData[[#This Row],[leaveStartingZone]])</f>
        <v>1</v>
      </c>
      <c r="G335">
        <f>IF(ISBLANK([1]!ScoutingData[[#This Row],[autoAmpScore]]),"",[1]!ScoutingData[[#This Row],[autoAmpScore]])</f>
        <v>0</v>
      </c>
      <c r="H335">
        <f>IF(ISBLANK([1]!ScoutingData[[#This Row],[autoSpeakerScore]]),"",[1]!ScoutingData[[#This Row],[autoSpeakerScore]])</f>
        <v>1</v>
      </c>
    </row>
    <row r="336" spans="1:8" x14ac:dyDescent="0.45">
      <c r="A336">
        <f>IF(ISBLANK([1]!ScoutingData[[#This Row],[teamNumber]]),"",[1]!ScoutingData[[#This Row],[teamNumber]])</f>
        <v>9576</v>
      </c>
      <c r="B336" t="str">
        <f>IF(ISBLANK([1]!ScoutingData[[#This Row],[matchLevel]]),"",[1]!ScoutingData[[#This Row],[matchLevel]])</f>
        <v>qm</v>
      </c>
      <c r="C336">
        <f>IF(ISBLANK([1]!ScoutingData[[#This Row],[matchNumber]]),"",[1]!ScoutingData[[#This Row],[matchNumber]])</f>
        <v>56</v>
      </c>
      <c r="D336" t="str">
        <f>IF(ISBLANK([1]!ScoutingData[[#This Row],[event]]),"",[1]!ScoutingData[[#This Row],[event]])</f>
        <v>2024ndgf</v>
      </c>
      <c r="E336" t="str">
        <f>IF(ISBLANK([1]!ScoutingData[[#This Row],[position]]),"",[1]!ScoutingData[[#This Row],[position]])</f>
        <v>[9]</v>
      </c>
      <c r="F336">
        <f>IF(ISBLANK([1]!ScoutingData[[#This Row],[leaveStartingZone]]),"",[1]!ScoutingData[[#This Row],[leaveStartingZone]])</f>
        <v>1</v>
      </c>
      <c r="G336">
        <f>IF(ISBLANK([1]!ScoutingData[[#This Row],[autoAmpScore]]),"",[1]!ScoutingData[[#This Row],[autoAmpScore]])</f>
        <v>0</v>
      </c>
      <c r="H336">
        <f>IF(ISBLANK([1]!ScoutingData[[#This Row],[autoSpeakerScore]]),"",[1]!ScoutingData[[#This Row],[autoSpeakerScore]])</f>
        <v>2</v>
      </c>
    </row>
    <row r="337" spans="1:8" x14ac:dyDescent="0.45">
      <c r="A337">
        <f>IF(ISBLANK([1]!ScoutingData[[#This Row],[teamNumber]]),"",[1]!ScoutingData[[#This Row],[teamNumber]])</f>
        <v>9745</v>
      </c>
      <c r="B337" t="str">
        <f>IF(ISBLANK([1]!ScoutingData[[#This Row],[matchLevel]]),"",[1]!ScoutingData[[#This Row],[matchLevel]])</f>
        <v>p</v>
      </c>
      <c r="C337">
        <f>IF(ISBLANK([1]!ScoutingData[[#This Row],[matchNumber]]),"",[1]!ScoutingData[[#This Row],[matchNumber]])</f>
        <v>14</v>
      </c>
      <c r="D337" t="str">
        <f>IF(ISBLANK([1]!ScoutingData[[#This Row],[event]]),"",[1]!ScoutingData[[#This Row],[event]])</f>
        <v>2024ndgf</v>
      </c>
      <c r="E337" t="str">
        <f>IF(ISBLANK([1]!ScoutingData[[#This Row],[position]]),"",[1]!ScoutingData[[#This Row],[position]])</f>
        <v>[4]</v>
      </c>
      <c r="F337">
        <f>IF(ISBLANK([1]!ScoutingData[[#This Row],[leaveStartingZone]]),"",[1]!ScoutingData[[#This Row],[leaveStartingZone]])</f>
        <v>0</v>
      </c>
      <c r="G337">
        <f>IF(ISBLANK([1]!ScoutingData[[#This Row],[autoAmpScore]]),"",[1]!ScoutingData[[#This Row],[autoAmpScore]])</f>
        <v>0</v>
      </c>
      <c r="H337">
        <f>IF(ISBLANK([1]!ScoutingData[[#This Row],[autoSpeakerScore]]),"",[1]!ScoutingData[[#This Row],[autoSpeakerScore]])</f>
        <v>0</v>
      </c>
    </row>
    <row r="338" spans="1:8" x14ac:dyDescent="0.45">
      <c r="A338">
        <f>IF(ISBLANK([1]!ScoutingData[[#This Row],[teamNumber]]),"",[1]!ScoutingData[[#This Row],[teamNumber]])</f>
        <v>9745</v>
      </c>
      <c r="B338" t="str">
        <f>IF(ISBLANK([1]!ScoutingData[[#This Row],[matchLevel]]),"",[1]!ScoutingData[[#This Row],[matchLevel]])</f>
        <v>qm</v>
      </c>
      <c r="C338">
        <f>IF(ISBLANK([1]!ScoutingData[[#This Row],[matchNumber]]),"",[1]!ScoutingData[[#This Row],[matchNumber]])</f>
        <v>18</v>
      </c>
      <c r="D338" t="str">
        <f>IF(ISBLANK([1]!ScoutingData[[#This Row],[event]]),"",[1]!ScoutingData[[#This Row],[event]])</f>
        <v>2024ndgf</v>
      </c>
      <c r="E338" t="str">
        <f>IF(ISBLANK([1]!ScoutingData[[#This Row],[position]]),"",[1]!ScoutingData[[#This Row],[position]])</f>
        <v>[7]</v>
      </c>
      <c r="F338">
        <f>IF(ISBLANK([1]!ScoutingData[[#This Row],[leaveStartingZone]]),"",[1]!ScoutingData[[#This Row],[leaveStartingZone]])</f>
        <v>1</v>
      </c>
      <c r="G338">
        <f>IF(ISBLANK([1]!ScoutingData[[#This Row],[autoAmpScore]]),"",[1]!ScoutingData[[#This Row],[autoAmpScore]])</f>
        <v>0</v>
      </c>
      <c r="H338">
        <f>IF(ISBLANK([1]!ScoutingData[[#This Row],[autoSpeakerScore]]),"",[1]!ScoutingData[[#This Row],[autoSpeakerScore]])</f>
        <v>1</v>
      </c>
    </row>
    <row r="339" spans="1:8" x14ac:dyDescent="0.45">
      <c r="A339">
        <f>IF(ISBLANK([1]!ScoutingData[[#This Row],[teamNumber]]),"",[1]!ScoutingData[[#This Row],[teamNumber]])</f>
        <v>9745</v>
      </c>
      <c r="B339" t="str">
        <f>IF(ISBLANK([1]!ScoutingData[[#This Row],[matchLevel]]),"",[1]!ScoutingData[[#This Row],[matchLevel]])</f>
        <v>qm</v>
      </c>
      <c r="C339">
        <f>IF(ISBLANK([1]!ScoutingData[[#This Row],[matchNumber]]),"",[1]!ScoutingData[[#This Row],[matchNumber]])</f>
        <v>30</v>
      </c>
      <c r="D339" t="str">
        <f>IF(ISBLANK([1]!ScoutingData[[#This Row],[event]]),"",[1]!ScoutingData[[#This Row],[event]])</f>
        <v>2024ndgf</v>
      </c>
      <c r="E339" t="str">
        <f>IF(ISBLANK([1]!ScoutingData[[#This Row],[position]]),"",[1]!ScoutingData[[#This Row],[position]])</f>
        <v>[11]</v>
      </c>
      <c r="F339">
        <f>IF(ISBLANK([1]!ScoutingData[[#This Row],[leaveStartingZone]]),"",[1]!ScoutingData[[#This Row],[leaveStartingZone]])</f>
        <v>0</v>
      </c>
      <c r="G339">
        <f>IF(ISBLANK([1]!ScoutingData[[#This Row],[autoAmpScore]]),"",[1]!ScoutingData[[#This Row],[autoAmpScore]])</f>
        <v>0</v>
      </c>
      <c r="H339">
        <f>IF(ISBLANK([1]!ScoutingData[[#This Row],[autoSpeakerScore]]),"",[1]!ScoutingData[[#This Row],[autoSpeakerScore]])</f>
        <v>1</v>
      </c>
    </row>
    <row r="340" spans="1:8" x14ac:dyDescent="0.45">
      <c r="A340">
        <f>IF(ISBLANK([1]!ScoutingData[[#This Row],[teamNumber]]),"",[1]!ScoutingData[[#This Row],[teamNumber]])</f>
        <v>9745</v>
      </c>
      <c r="B340" t="str">
        <f>IF(ISBLANK([1]!ScoutingData[[#This Row],[matchLevel]]),"",[1]!ScoutingData[[#This Row],[matchLevel]])</f>
        <v>qm</v>
      </c>
      <c r="C340">
        <f>IF(ISBLANK([1]!ScoutingData[[#This Row],[matchNumber]]),"",[1]!ScoutingData[[#This Row],[matchNumber]])</f>
        <v>24</v>
      </c>
      <c r="D340" t="str">
        <f>IF(ISBLANK([1]!ScoutingData[[#This Row],[event]]),"",[1]!ScoutingData[[#This Row],[event]])</f>
        <v>2024ndgf</v>
      </c>
      <c r="E340" t="str">
        <f>IF(ISBLANK([1]!ScoutingData[[#This Row],[position]]),"",[1]!ScoutingData[[#This Row],[position]])</f>
        <v>[8]</v>
      </c>
      <c r="F340">
        <f>IF(ISBLANK([1]!ScoutingData[[#This Row],[leaveStartingZone]]),"",[1]!ScoutingData[[#This Row],[leaveStartingZone]])</f>
        <v>1</v>
      </c>
      <c r="G340">
        <f>IF(ISBLANK([1]!ScoutingData[[#This Row],[autoAmpScore]]),"",[1]!ScoutingData[[#This Row],[autoAmpScore]])</f>
        <v>0</v>
      </c>
      <c r="H340">
        <f>IF(ISBLANK([1]!ScoutingData[[#This Row],[autoSpeakerScore]]),"",[1]!ScoutingData[[#This Row],[autoSpeakerScore]])</f>
        <v>1</v>
      </c>
    </row>
    <row r="341" spans="1:8" x14ac:dyDescent="0.45">
      <c r="A341">
        <f>IF(ISBLANK([1]!ScoutingData[[#This Row],[teamNumber]]),"",[1]!ScoutingData[[#This Row],[teamNumber]])</f>
        <v>9745</v>
      </c>
      <c r="B341" t="str">
        <f>IF(ISBLANK([1]!ScoutingData[[#This Row],[matchLevel]]),"",[1]!ScoutingData[[#This Row],[matchLevel]])</f>
        <v>qm</v>
      </c>
      <c r="C341">
        <f>IF(ISBLANK([1]!ScoutingData[[#This Row],[matchNumber]]),"",[1]!ScoutingData[[#This Row],[matchNumber]])</f>
        <v>7</v>
      </c>
      <c r="D341" t="str">
        <f>IF(ISBLANK([1]!ScoutingData[[#This Row],[event]]),"",[1]!ScoutingData[[#This Row],[event]])</f>
        <v>2024ndgf</v>
      </c>
      <c r="E341" t="str">
        <f>IF(ISBLANK([1]!ScoutingData[[#This Row],[position]]),"",[1]!ScoutingData[[#This Row],[position]])</f>
        <v>[10]</v>
      </c>
      <c r="F341">
        <f>IF(ISBLANK([1]!ScoutingData[[#This Row],[leaveStartingZone]]),"",[1]!ScoutingData[[#This Row],[leaveStartingZone]])</f>
        <v>1</v>
      </c>
      <c r="G341">
        <f>IF(ISBLANK([1]!ScoutingData[[#This Row],[autoAmpScore]]),"",[1]!ScoutingData[[#This Row],[autoAmpScore]])</f>
        <v>0</v>
      </c>
      <c r="H341">
        <f>IF(ISBLANK([1]!ScoutingData[[#This Row],[autoSpeakerScore]]),"",[1]!ScoutingData[[#This Row],[autoSpeakerScore]])</f>
        <v>0</v>
      </c>
    </row>
    <row r="342" spans="1:8" x14ac:dyDescent="0.45">
      <c r="A342">
        <f>IF(ISBLANK([1]!ScoutingData[[#This Row],[teamNumber]]),"",[1]!ScoutingData[[#This Row],[teamNumber]])</f>
        <v>9745</v>
      </c>
      <c r="B342" t="str">
        <f>IF(ISBLANK([1]!ScoutingData[[#This Row],[matchLevel]]),"",[1]!ScoutingData[[#This Row],[matchLevel]])</f>
        <v>qm</v>
      </c>
      <c r="C342">
        <f>IF(ISBLANK([1]!ScoutingData[[#This Row],[matchNumber]]),"",[1]!ScoutingData[[#This Row],[matchNumber]])</f>
        <v>51</v>
      </c>
      <c r="D342" t="str">
        <f>IF(ISBLANK([1]!ScoutingData[[#This Row],[event]]),"",[1]!ScoutingData[[#This Row],[event]])</f>
        <v>2024ndgf</v>
      </c>
      <c r="E342" t="str">
        <f>IF(ISBLANK([1]!ScoutingData[[#This Row],[position]]),"",[1]!ScoutingData[[#This Row],[position]])</f>
        <v>[7]</v>
      </c>
      <c r="F342">
        <f>IF(ISBLANK([1]!ScoutingData[[#This Row],[leaveStartingZone]]),"",[1]!ScoutingData[[#This Row],[leaveStartingZone]])</f>
        <v>1</v>
      </c>
      <c r="G342">
        <f>IF(ISBLANK([1]!ScoutingData[[#This Row],[autoAmpScore]]),"",[1]!ScoutingData[[#This Row],[autoAmpScore]])</f>
        <v>0</v>
      </c>
      <c r="H342">
        <f>IF(ISBLANK([1]!ScoutingData[[#This Row],[autoSpeakerScore]]),"",[1]!ScoutingData[[#This Row],[autoSpeakerScore]])</f>
        <v>1</v>
      </c>
    </row>
    <row r="343" spans="1:8" x14ac:dyDescent="0.45">
      <c r="A343">
        <f>IF(ISBLANK([1]!ScoutingData[[#This Row],[teamNumber]]),"",[1]!ScoutingData[[#This Row],[teamNumber]])</f>
        <v>9745</v>
      </c>
      <c r="B343" t="str">
        <f>IF(ISBLANK([1]!ScoutingData[[#This Row],[matchLevel]]),"",[1]!ScoutingData[[#This Row],[matchLevel]])</f>
        <v>qm</v>
      </c>
      <c r="C343">
        <f>IF(ISBLANK([1]!ScoutingData[[#This Row],[matchNumber]]),"",[1]!ScoutingData[[#This Row],[matchNumber]])</f>
        <v>40</v>
      </c>
      <c r="D343" t="str">
        <f>IF(ISBLANK([1]!ScoutingData[[#This Row],[event]]),"",[1]!ScoutingData[[#This Row],[event]])</f>
        <v>2024ndgf</v>
      </c>
      <c r="E343" t="str">
        <f>IF(ISBLANK([1]!ScoutingData[[#This Row],[position]]),"",[1]!ScoutingData[[#This Row],[position]])</f>
        <v>[7]</v>
      </c>
      <c r="F343">
        <f>IF(ISBLANK([1]!ScoutingData[[#This Row],[leaveStartingZone]]),"",[1]!ScoutingData[[#This Row],[leaveStartingZone]])</f>
        <v>1</v>
      </c>
      <c r="G343">
        <f>IF(ISBLANK([1]!ScoutingData[[#This Row],[autoAmpScore]]),"",[1]!ScoutingData[[#This Row],[autoAmpScore]])</f>
        <v>0</v>
      </c>
      <c r="H343">
        <f>IF(ISBLANK([1]!ScoutingData[[#This Row],[autoSpeakerScore]]),"",[1]!ScoutingData[[#This Row],[autoSpeakerScore]])</f>
        <v>1</v>
      </c>
    </row>
    <row r="344" spans="1:8" x14ac:dyDescent="0.45">
      <c r="A344" t="str">
        <f>IF(ISBLANK([1]!ScoutingData[[#This Row],[teamNumber]]),"",[1]!ScoutingData[[#This Row],[teamNumber]])</f>
        <v/>
      </c>
      <c r="B344" t="str">
        <f>IF(ISBLANK([1]!ScoutingData[[#This Row],[matchLevel]]),"",[1]!ScoutingData[[#This Row],[matchLevel]])</f>
        <v/>
      </c>
      <c r="C344" t="str">
        <f>IF(ISBLANK([1]!ScoutingData[[#This Row],[matchNumber]]),"",[1]!ScoutingData[[#This Row],[matchNumber]])</f>
        <v/>
      </c>
      <c r="D344" t="str">
        <f>IF(ISBLANK([1]!ScoutingData[[#This Row],[event]]),"",[1]!ScoutingData[[#This Row],[event]])</f>
        <v/>
      </c>
      <c r="E344" t="str">
        <f>IF(ISBLANK([1]!ScoutingData[[#This Row],[position]]),"",[1]!ScoutingData[[#This Row],[position]])</f>
        <v/>
      </c>
      <c r="F344" t="str">
        <f>IF(ISBLANK([1]!ScoutingData[[#This Row],[leaveStartingZone]]),"",[1]!ScoutingData[[#This Row],[leaveStartingZone]])</f>
        <v/>
      </c>
      <c r="G344" t="str">
        <f>IF(ISBLANK([1]!ScoutingData[[#This Row],[autoAmpScore]]),"",[1]!ScoutingData[[#This Row],[autoAmpScore]])</f>
        <v/>
      </c>
      <c r="H344" t="str">
        <f>IF(ISBLANK([1]!ScoutingData[[#This Row],[autoSpeakerScore]]),"",[1]!ScoutingData[[#This Row],[autoSpeakerScore]])</f>
        <v/>
      </c>
    </row>
    <row r="345" spans="1:8" x14ac:dyDescent="0.45">
      <c r="A345" t="str">
        <f>IF(ISBLANK([1]!ScoutingData[[#This Row],[teamNumber]]),"",[1]!ScoutingData[[#This Row],[teamNumber]])</f>
        <v/>
      </c>
      <c r="B345" t="str">
        <f>IF(ISBLANK([1]!ScoutingData[[#This Row],[matchLevel]]),"",[1]!ScoutingData[[#This Row],[matchLevel]])</f>
        <v/>
      </c>
      <c r="C345" t="str">
        <f>IF(ISBLANK([1]!ScoutingData[[#This Row],[matchNumber]]),"",[1]!ScoutingData[[#This Row],[matchNumber]])</f>
        <v/>
      </c>
      <c r="D345" t="str">
        <f>IF(ISBLANK([1]!ScoutingData[[#This Row],[event]]),"",[1]!ScoutingData[[#This Row],[event]])</f>
        <v/>
      </c>
      <c r="E345" t="str">
        <f>IF(ISBLANK([1]!ScoutingData[[#This Row],[position]]),"",[1]!ScoutingData[[#This Row],[position]])</f>
        <v/>
      </c>
      <c r="F345" t="str">
        <f>IF(ISBLANK([1]!ScoutingData[[#This Row],[leaveStartingZone]]),"",[1]!ScoutingData[[#This Row],[leaveStartingZone]])</f>
        <v/>
      </c>
      <c r="G345" t="str">
        <f>IF(ISBLANK([1]!ScoutingData[[#This Row],[autoAmpScore]]),"",[1]!ScoutingData[[#This Row],[autoAmpScore]])</f>
        <v/>
      </c>
      <c r="H345" t="str">
        <f>IF(ISBLANK([1]!ScoutingData[[#This Row],[autoSpeakerScore]]),"",[1]!ScoutingData[[#This Row],[autoSpeakerScore]])</f>
        <v/>
      </c>
    </row>
    <row r="346" spans="1:8" x14ac:dyDescent="0.45">
      <c r="A346" t="str">
        <f>IF(ISBLANK([1]!ScoutingData[[#This Row],[teamNumber]]),"",[1]!ScoutingData[[#This Row],[teamNumber]])</f>
        <v/>
      </c>
      <c r="B346" t="str">
        <f>IF(ISBLANK([1]!ScoutingData[[#This Row],[matchLevel]]),"",[1]!ScoutingData[[#This Row],[matchLevel]])</f>
        <v/>
      </c>
      <c r="C346" t="str">
        <f>IF(ISBLANK([1]!ScoutingData[[#This Row],[matchNumber]]),"",[1]!ScoutingData[[#This Row],[matchNumber]])</f>
        <v/>
      </c>
      <c r="D346" t="str">
        <f>IF(ISBLANK([1]!ScoutingData[[#This Row],[event]]),"",[1]!ScoutingData[[#This Row],[event]])</f>
        <v/>
      </c>
      <c r="E346" t="str">
        <f>IF(ISBLANK([1]!ScoutingData[[#This Row],[position]]),"",[1]!ScoutingData[[#This Row],[position]])</f>
        <v/>
      </c>
      <c r="F346" t="str">
        <f>IF(ISBLANK([1]!ScoutingData[[#This Row],[leaveStartingZone]]),"",[1]!ScoutingData[[#This Row],[leaveStartingZone]])</f>
        <v/>
      </c>
      <c r="G346" t="str">
        <f>IF(ISBLANK([1]!ScoutingData[[#This Row],[autoAmpScore]]),"",[1]!ScoutingData[[#This Row],[autoAmpScore]])</f>
        <v/>
      </c>
      <c r="H346" t="str">
        <f>IF(ISBLANK([1]!ScoutingData[[#This Row],[autoSpeakerScore]]),"",[1]!ScoutingData[[#This Row],[autoSpeakerScore]])</f>
        <v/>
      </c>
    </row>
    <row r="347" spans="1:8" x14ac:dyDescent="0.45">
      <c r="A347" t="str">
        <f>IF(ISBLANK([1]!ScoutingData[[#This Row],[teamNumber]]),"",[1]!ScoutingData[[#This Row],[teamNumber]])</f>
        <v/>
      </c>
      <c r="B347" t="str">
        <f>IF(ISBLANK([1]!ScoutingData[[#This Row],[matchLevel]]),"",[1]!ScoutingData[[#This Row],[matchLevel]])</f>
        <v/>
      </c>
      <c r="C347" t="str">
        <f>IF(ISBLANK([1]!ScoutingData[[#This Row],[matchNumber]]),"",[1]!ScoutingData[[#This Row],[matchNumber]])</f>
        <v/>
      </c>
      <c r="D347" t="str">
        <f>IF(ISBLANK([1]!ScoutingData[[#This Row],[event]]),"",[1]!ScoutingData[[#This Row],[event]])</f>
        <v/>
      </c>
      <c r="E347" t="str">
        <f>IF(ISBLANK([1]!ScoutingData[[#This Row],[position]]),"",[1]!ScoutingData[[#This Row],[position]])</f>
        <v/>
      </c>
      <c r="F347" t="str">
        <f>IF(ISBLANK([1]!ScoutingData[[#This Row],[leaveStartingZone]]),"",[1]!ScoutingData[[#This Row],[leaveStartingZone]])</f>
        <v/>
      </c>
      <c r="G347" t="str">
        <f>IF(ISBLANK([1]!ScoutingData[[#This Row],[autoAmpScore]]),"",[1]!ScoutingData[[#This Row],[autoAmpScore]])</f>
        <v/>
      </c>
      <c r="H347" t="str">
        <f>IF(ISBLANK([1]!ScoutingData[[#This Row],[autoSpeakerScore]]),"",[1]!ScoutingData[[#This Row],[autoSpeakerScore]])</f>
        <v/>
      </c>
    </row>
    <row r="348" spans="1:8" x14ac:dyDescent="0.45">
      <c r="A348" t="str">
        <f>IF(ISBLANK([1]!ScoutingData[[#This Row],[teamNumber]]),"",[1]!ScoutingData[[#This Row],[teamNumber]])</f>
        <v/>
      </c>
      <c r="B348" t="str">
        <f>IF(ISBLANK([1]!ScoutingData[[#This Row],[matchLevel]]),"",[1]!ScoutingData[[#This Row],[matchLevel]])</f>
        <v/>
      </c>
      <c r="C348" t="str">
        <f>IF(ISBLANK([1]!ScoutingData[[#This Row],[matchNumber]]),"",[1]!ScoutingData[[#This Row],[matchNumber]])</f>
        <v/>
      </c>
      <c r="D348" t="str">
        <f>IF(ISBLANK([1]!ScoutingData[[#This Row],[event]]),"",[1]!ScoutingData[[#This Row],[event]])</f>
        <v/>
      </c>
      <c r="E348" t="str">
        <f>IF(ISBLANK([1]!ScoutingData[[#This Row],[position]]),"",[1]!ScoutingData[[#This Row],[position]])</f>
        <v/>
      </c>
      <c r="F348" t="str">
        <f>IF(ISBLANK([1]!ScoutingData[[#This Row],[leaveStartingZone]]),"",[1]!ScoutingData[[#This Row],[leaveStartingZone]])</f>
        <v/>
      </c>
      <c r="G348" t="str">
        <f>IF(ISBLANK([1]!ScoutingData[[#This Row],[autoAmpScore]]),"",[1]!ScoutingData[[#This Row],[autoAmpScore]])</f>
        <v/>
      </c>
      <c r="H348" t="str">
        <f>IF(ISBLANK([1]!ScoutingData[[#This Row],[autoSpeakerScore]]),"",[1]!ScoutingData[[#This Row],[autoSpeakerScore]])</f>
        <v/>
      </c>
    </row>
    <row r="349" spans="1:8" x14ac:dyDescent="0.45">
      <c r="A349" t="str">
        <f>IF(ISBLANK([1]!ScoutingData[[#This Row],[teamNumber]]),"",[1]!ScoutingData[[#This Row],[teamNumber]])</f>
        <v/>
      </c>
      <c r="B349" t="str">
        <f>IF(ISBLANK([1]!ScoutingData[[#This Row],[matchLevel]]),"",[1]!ScoutingData[[#This Row],[matchLevel]])</f>
        <v/>
      </c>
      <c r="C349" t="str">
        <f>IF(ISBLANK([1]!ScoutingData[[#This Row],[matchNumber]]),"",[1]!ScoutingData[[#This Row],[matchNumber]])</f>
        <v/>
      </c>
      <c r="D349" t="str">
        <f>IF(ISBLANK([1]!ScoutingData[[#This Row],[event]]),"",[1]!ScoutingData[[#This Row],[event]])</f>
        <v/>
      </c>
      <c r="E349" t="str">
        <f>IF(ISBLANK([1]!ScoutingData[[#This Row],[position]]),"",[1]!ScoutingData[[#This Row],[position]])</f>
        <v/>
      </c>
      <c r="F349" t="str">
        <f>IF(ISBLANK([1]!ScoutingData[[#This Row],[leaveStartingZone]]),"",[1]!ScoutingData[[#This Row],[leaveStartingZone]])</f>
        <v/>
      </c>
      <c r="G349" t="str">
        <f>IF(ISBLANK([1]!ScoutingData[[#This Row],[autoAmpScore]]),"",[1]!ScoutingData[[#This Row],[autoAmpScore]])</f>
        <v/>
      </c>
      <c r="H349" t="str">
        <f>IF(ISBLANK([1]!ScoutingData[[#This Row],[autoSpeakerScore]]),"",[1]!ScoutingData[[#This Row],[autoSpeakerScore]])</f>
        <v/>
      </c>
    </row>
    <row r="350" spans="1:8" x14ac:dyDescent="0.45">
      <c r="A350" t="str">
        <f>IF(ISBLANK([1]!ScoutingData[[#This Row],[teamNumber]]),"",[1]!ScoutingData[[#This Row],[teamNumber]])</f>
        <v/>
      </c>
      <c r="B350" t="str">
        <f>IF(ISBLANK([1]!ScoutingData[[#This Row],[matchLevel]]),"",[1]!ScoutingData[[#This Row],[matchLevel]])</f>
        <v/>
      </c>
      <c r="C350" t="str">
        <f>IF(ISBLANK([1]!ScoutingData[[#This Row],[matchNumber]]),"",[1]!ScoutingData[[#This Row],[matchNumber]])</f>
        <v/>
      </c>
      <c r="D350" t="str">
        <f>IF(ISBLANK([1]!ScoutingData[[#This Row],[event]]),"",[1]!ScoutingData[[#This Row],[event]])</f>
        <v/>
      </c>
      <c r="E350" t="str">
        <f>IF(ISBLANK([1]!ScoutingData[[#This Row],[position]]),"",[1]!ScoutingData[[#This Row],[position]])</f>
        <v/>
      </c>
      <c r="F350" t="str">
        <f>IF(ISBLANK([1]!ScoutingData[[#This Row],[leaveStartingZone]]),"",[1]!ScoutingData[[#This Row],[leaveStartingZone]])</f>
        <v/>
      </c>
      <c r="G350" t="str">
        <f>IF(ISBLANK([1]!ScoutingData[[#This Row],[autoAmpScore]]),"",[1]!ScoutingData[[#This Row],[autoAmpScore]])</f>
        <v/>
      </c>
      <c r="H350" t="str">
        <f>IF(ISBLANK([1]!ScoutingData[[#This Row],[autoSpeakerScore]]),"",[1]!ScoutingData[[#This Row],[autoSpeakerScore]])</f>
        <v/>
      </c>
    </row>
    <row r="351" spans="1:8" x14ac:dyDescent="0.45">
      <c r="A351" t="str">
        <f>IF(ISBLANK([1]!ScoutingData[[#This Row],[teamNumber]]),"",[1]!ScoutingData[[#This Row],[teamNumber]])</f>
        <v/>
      </c>
      <c r="B351" t="str">
        <f>IF(ISBLANK([1]!ScoutingData[[#This Row],[matchLevel]]),"",[1]!ScoutingData[[#This Row],[matchLevel]])</f>
        <v/>
      </c>
      <c r="C351" t="str">
        <f>IF(ISBLANK([1]!ScoutingData[[#This Row],[matchNumber]]),"",[1]!ScoutingData[[#This Row],[matchNumber]])</f>
        <v/>
      </c>
      <c r="D351" t="str">
        <f>IF(ISBLANK([1]!ScoutingData[[#This Row],[event]]),"",[1]!ScoutingData[[#This Row],[event]])</f>
        <v/>
      </c>
      <c r="E351" t="str">
        <f>IF(ISBLANK([1]!ScoutingData[[#This Row],[position]]),"",[1]!ScoutingData[[#This Row],[position]])</f>
        <v/>
      </c>
      <c r="F351" t="str">
        <f>IF(ISBLANK([1]!ScoutingData[[#This Row],[leaveStartingZone]]),"",[1]!ScoutingData[[#This Row],[leaveStartingZone]])</f>
        <v/>
      </c>
      <c r="G351" t="str">
        <f>IF(ISBLANK([1]!ScoutingData[[#This Row],[autoAmpScore]]),"",[1]!ScoutingData[[#This Row],[autoAmpScore]])</f>
        <v/>
      </c>
      <c r="H351" t="str">
        <f>IF(ISBLANK([1]!ScoutingData[[#This Row],[autoSpeakerScore]]),"",[1]!ScoutingData[[#This Row],[autoSpeakerScore]])</f>
        <v/>
      </c>
    </row>
    <row r="352" spans="1:8" x14ac:dyDescent="0.45">
      <c r="A352" t="str">
        <f>IF(ISBLANK([1]!ScoutingData[[#This Row],[teamNumber]]),"",[1]!ScoutingData[[#This Row],[teamNumber]])</f>
        <v/>
      </c>
      <c r="B352" t="str">
        <f>IF(ISBLANK([1]!ScoutingData[[#This Row],[matchLevel]]),"",[1]!ScoutingData[[#This Row],[matchLevel]])</f>
        <v/>
      </c>
      <c r="C352" t="str">
        <f>IF(ISBLANK([1]!ScoutingData[[#This Row],[matchNumber]]),"",[1]!ScoutingData[[#This Row],[matchNumber]])</f>
        <v/>
      </c>
      <c r="D352" t="str">
        <f>IF(ISBLANK([1]!ScoutingData[[#This Row],[event]]),"",[1]!ScoutingData[[#This Row],[event]])</f>
        <v/>
      </c>
      <c r="E352" t="str">
        <f>IF(ISBLANK([1]!ScoutingData[[#This Row],[position]]),"",[1]!ScoutingData[[#This Row],[position]])</f>
        <v/>
      </c>
      <c r="F352" t="str">
        <f>IF(ISBLANK([1]!ScoutingData[[#This Row],[leaveStartingZone]]),"",[1]!ScoutingData[[#This Row],[leaveStartingZone]])</f>
        <v/>
      </c>
      <c r="G352" t="str">
        <f>IF(ISBLANK([1]!ScoutingData[[#This Row],[autoAmpScore]]),"",[1]!ScoutingData[[#This Row],[autoAmpScore]])</f>
        <v/>
      </c>
      <c r="H352" t="str">
        <f>IF(ISBLANK([1]!ScoutingData[[#This Row],[autoSpeakerScore]]),"",[1]!ScoutingData[[#This Row],[autoSpeakerScore]])</f>
        <v/>
      </c>
    </row>
    <row r="353" spans="1:8" x14ac:dyDescent="0.45">
      <c r="A353" t="str">
        <f>IF(ISBLANK([1]!ScoutingData[[#This Row],[teamNumber]]),"",[1]!ScoutingData[[#This Row],[teamNumber]])</f>
        <v/>
      </c>
      <c r="B353" t="str">
        <f>IF(ISBLANK([1]!ScoutingData[[#This Row],[matchLevel]]),"",[1]!ScoutingData[[#This Row],[matchLevel]])</f>
        <v/>
      </c>
      <c r="C353" t="str">
        <f>IF(ISBLANK([1]!ScoutingData[[#This Row],[matchNumber]]),"",[1]!ScoutingData[[#This Row],[matchNumber]])</f>
        <v/>
      </c>
      <c r="D353" t="str">
        <f>IF(ISBLANK([1]!ScoutingData[[#This Row],[event]]),"",[1]!ScoutingData[[#This Row],[event]])</f>
        <v/>
      </c>
      <c r="E353" t="str">
        <f>IF(ISBLANK([1]!ScoutingData[[#This Row],[position]]),"",[1]!ScoutingData[[#This Row],[position]])</f>
        <v/>
      </c>
      <c r="F353" t="str">
        <f>IF(ISBLANK([1]!ScoutingData[[#This Row],[leaveStartingZone]]),"",[1]!ScoutingData[[#This Row],[leaveStartingZone]])</f>
        <v/>
      </c>
      <c r="G353" t="str">
        <f>IF(ISBLANK([1]!ScoutingData[[#This Row],[autoAmpScore]]),"",[1]!ScoutingData[[#This Row],[autoAmpScore]])</f>
        <v/>
      </c>
      <c r="H353" t="str">
        <f>IF(ISBLANK([1]!ScoutingData[[#This Row],[autoSpeakerScore]]),"",[1]!ScoutingData[[#This Row],[autoSpeakerScore]])</f>
        <v/>
      </c>
    </row>
    <row r="354" spans="1:8" x14ac:dyDescent="0.45">
      <c r="A354" t="str">
        <f>IF(ISBLANK([1]!ScoutingData[[#This Row],[teamNumber]]),"",[1]!ScoutingData[[#This Row],[teamNumber]])</f>
        <v/>
      </c>
      <c r="B354" t="str">
        <f>IF(ISBLANK([1]!ScoutingData[[#This Row],[matchLevel]]),"",[1]!ScoutingData[[#This Row],[matchLevel]])</f>
        <v/>
      </c>
      <c r="C354" t="str">
        <f>IF(ISBLANK([1]!ScoutingData[[#This Row],[matchNumber]]),"",[1]!ScoutingData[[#This Row],[matchNumber]])</f>
        <v/>
      </c>
      <c r="D354" t="str">
        <f>IF(ISBLANK([1]!ScoutingData[[#This Row],[event]]),"",[1]!ScoutingData[[#This Row],[event]])</f>
        <v/>
      </c>
      <c r="E354" t="str">
        <f>IF(ISBLANK([1]!ScoutingData[[#This Row],[position]]),"",[1]!ScoutingData[[#This Row],[position]])</f>
        <v/>
      </c>
      <c r="F354" t="str">
        <f>IF(ISBLANK([1]!ScoutingData[[#This Row],[leaveStartingZone]]),"",[1]!ScoutingData[[#This Row],[leaveStartingZone]])</f>
        <v/>
      </c>
      <c r="G354" t="str">
        <f>IF(ISBLANK([1]!ScoutingData[[#This Row],[autoAmpScore]]),"",[1]!ScoutingData[[#This Row],[autoAmpScore]])</f>
        <v/>
      </c>
      <c r="H354" t="str">
        <f>IF(ISBLANK([1]!ScoutingData[[#This Row],[autoSpeakerScore]]),"",[1]!ScoutingData[[#This Row],[autoSpeakerScore]])</f>
        <v/>
      </c>
    </row>
    <row r="355" spans="1:8" x14ac:dyDescent="0.45">
      <c r="A355" t="str">
        <f>IF(ISBLANK([1]!ScoutingData[[#This Row],[teamNumber]]),"",[1]!ScoutingData[[#This Row],[teamNumber]])</f>
        <v/>
      </c>
      <c r="B355" t="str">
        <f>IF(ISBLANK([1]!ScoutingData[[#This Row],[matchLevel]]),"",[1]!ScoutingData[[#This Row],[matchLevel]])</f>
        <v/>
      </c>
      <c r="C355" t="str">
        <f>IF(ISBLANK([1]!ScoutingData[[#This Row],[matchNumber]]),"",[1]!ScoutingData[[#This Row],[matchNumber]])</f>
        <v/>
      </c>
      <c r="D355" t="str">
        <f>IF(ISBLANK([1]!ScoutingData[[#This Row],[event]]),"",[1]!ScoutingData[[#This Row],[event]])</f>
        <v/>
      </c>
      <c r="E355" t="str">
        <f>IF(ISBLANK([1]!ScoutingData[[#This Row],[position]]),"",[1]!ScoutingData[[#This Row],[position]])</f>
        <v/>
      </c>
      <c r="F355" t="str">
        <f>IF(ISBLANK([1]!ScoutingData[[#This Row],[leaveStartingZone]]),"",[1]!ScoutingData[[#This Row],[leaveStartingZone]])</f>
        <v/>
      </c>
      <c r="G355" t="str">
        <f>IF(ISBLANK([1]!ScoutingData[[#This Row],[autoAmpScore]]),"",[1]!ScoutingData[[#This Row],[autoAmpScore]])</f>
        <v/>
      </c>
      <c r="H355" t="str">
        <f>IF(ISBLANK([1]!ScoutingData[[#This Row],[autoSpeakerScore]]),"",[1]!ScoutingData[[#This Row],[autoSpeakerScore]])</f>
        <v/>
      </c>
    </row>
    <row r="356" spans="1:8" x14ac:dyDescent="0.45">
      <c r="A356" t="str">
        <f>IF(ISBLANK([1]!ScoutingData[[#This Row],[teamNumber]]),"",[1]!ScoutingData[[#This Row],[teamNumber]])</f>
        <v/>
      </c>
      <c r="B356" t="str">
        <f>IF(ISBLANK([1]!ScoutingData[[#This Row],[matchLevel]]),"",[1]!ScoutingData[[#This Row],[matchLevel]])</f>
        <v/>
      </c>
      <c r="C356" t="str">
        <f>IF(ISBLANK([1]!ScoutingData[[#This Row],[matchNumber]]),"",[1]!ScoutingData[[#This Row],[matchNumber]])</f>
        <v/>
      </c>
      <c r="D356" t="str">
        <f>IF(ISBLANK([1]!ScoutingData[[#This Row],[event]]),"",[1]!ScoutingData[[#This Row],[event]])</f>
        <v/>
      </c>
      <c r="E356" t="str">
        <f>IF(ISBLANK([1]!ScoutingData[[#This Row],[position]]),"",[1]!ScoutingData[[#This Row],[position]])</f>
        <v/>
      </c>
      <c r="F356" t="str">
        <f>IF(ISBLANK([1]!ScoutingData[[#This Row],[leaveStartingZone]]),"",[1]!ScoutingData[[#This Row],[leaveStartingZone]])</f>
        <v/>
      </c>
      <c r="G356" t="str">
        <f>IF(ISBLANK([1]!ScoutingData[[#This Row],[autoAmpScore]]),"",[1]!ScoutingData[[#This Row],[autoAmpScore]])</f>
        <v/>
      </c>
      <c r="H356" t="str">
        <f>IF(ISBLANK([1]!ScoutingData[[#This Row],[autoSpeakerScore]]),"",[1]!ScoutingData[[#This Row],[autoSpeakerScore]])</f>
        <v/>
      </c>
    </row>
    <row r="357" spans="1:8" x14ac:dyDescent="0.45">
      <c r="A357" t="str">
        <f>IF(ISBLANK([1]!ScoutingData[[#This Row],[teamNumber]]),"",[1]!ScoutingData[[#This Row],[teamNumber]])</f>
        <v/>
      </c>
      <c r="B357" t="str">
        <f>IF(ISBLANK([1]!ScoutingData[[#This Row],[matchLevel]]),"",[1]!ScoutingData[[#This Row],[matchLevel]])</f>
        <v/>
      </c>
      <c r="C357" t="str">
        <f>IF(ISBLANK([1]!ScoutingData[[#This Row],[matchNumber]]),"",[1]!ScoutingData[[#This Row],[matchNumber]])</f>
        <v/>
      </c>
      <c r="D357" t="str">
        <f>IF(ISBLANK([1]!ScoutingData[[#This Row],[event]]),"",[1]!ScoutingData[[#This Row],[event]])</f>
        <v/>
      </c>
      <c r="E357" t="str">
        <f>IF(ISBLANK([1]!ScoutingData[[#This Row],[position]]),"",[1]!ScoutingData[[#This Row],[position]])</f>
        <v/>
      </c>
      <c r="F357" t="str">
        <f>IF(ISBLANK([1]!ScoutingData[[#This Row],[leaveStartingZone]]),"",[1]!ScoutingData[[#This Row],[leaveStartingZone]])</f>
        <v/>
      </c>
      <c r="G357" t="str">
        <f>IF(ISBLANK([1]!ScoutingData[[#This Row],[autoAmpScore]]),"",[1]!ScoutingData[[#This Row],[autoAmpScore]])</f>
        <v/>
      </c>
      <c r="H357" t="str">
        <f>IF(ISBLANK([1]!ScoutingData[[#This Row],[autoSpeakerScore]]),"",[1]!ScoutingData[[#This Row],[autoSpeakerScore]])</f>
        <v/>
      </c>
    </row>
    <row r="358" spans="1:8" x14ac:dyDescent="0.45">
      <c r="A358" t="str">
        <f>IF(ISBLANK([1]!ScoutingData[[#This Row],[teamNumber]]),"",[1]!ScoutingData[[#This Row],[teamNumber]])</f>
        <v/>
      </c>
      <c r="B358" t="str">
        <f>IF(ISBLANK([1]!ScoutingData[[#This Row],[matchLevel]]),"",[1]!ScoutingData[[#This Row],[matchLevel]])</f>
        <v/>
      </c>
      <c r="C358" t="str">
        <f>IF(ISBLANK([1]!ScoutingData[[#This Row],[matchNumber]]),"",[1]!ScoutingData[[#This Row],[matchNumber]])</f>
        <v/>
      </c>
      <c r="D358" t="str">
        <f>IF(ISBLANK([1]!ScoutingData[[#This Row],[event]]),"",[1]!ScoutingData[[#This Row],[event]])</f>
        <v/>
      </c>
      <c r="E358" t="str">
        <f>IF(ISBLANK([1]!ScoutingData[[#This Row],[position]]),"",[1]!ScoutingData[[#This Row],[position]])</f>
        <v/>
      </c>
      <c r="F358" t="str">
        <f>IF(ISBLANK([1]!ScoutingData[[#This Row],[leaveStartingZone]]),"",[1]!ScoutingData[[#This Row],[leaveStartingZone]])</f>
        <v/>
      </c>
      <c r="G358" t="str">
        <f>IF(ISBLANK([1]!ScoutingData[[#This Row],[autoAmpScore]]),"",[1]!ScoutingData[[#This Row],[autoAmpScore]])</f>
        <v/>
      </c>
      <c r="H358" t="str">
        <f>IF(ISBLANK([1]!ScoutingData[[#This Row],[autoSpeakerScore]]),"",[1]!ScoutingData[[#This Row],[autoSpeakerScore]])</f>
        <v/>
      </c>
    </row>
    <row r="359" spans="1:8" x14ac:dyDescent="0.45">
      <c r="A359" t="str">
        <f>IF(ISBLANK([1]!ScoutingData[[#This Row],[teamNumber]]),"",[1]!ScoutingData[[#This Row],[teamNumber]])</f>
        <v/>
      </c>
      <c r="B359" t="str">
        <f>IF(ISBLANK([1]!ScoutingData[[#This Row],[matchLevel]]),"",[1]!ScoutingData[[#This Row],[matchLevel]])</f>
        <v/>
      </c>
      <c r="C359" t="str">
        <f>IF(ISBLANK([1]!ScoutingData[[#This Row],[matchNumber]]),"",[1]!ScoutingData[[#This Row],[matchNumber]])</f>
        <v/>
      </c>
      <c r="D359" t="str">
        <f>IF(ISBLANK([1]!ScoutingData[[#This Row],[event]]),"",[1]!ScoutingData[[#This Row],[event]])</f>
        <v/>
      </c>
      <c r="E359" t="str">
        <f>IF(ISBLANK([1]!ScoutingData[[#This Row],[position]]),"",[1]!ScoutingData[[#This Row],[position]])</f>
        <v/>
      </c>
      <c r="F359" t="str">
        <f>IF(ISBLANK([1]!ScoutingData[[#This Row],[leaveStartingZone]]),"",[1]!ScoutingData[[#This Row],[leaveStartingZone]])</f>
        <v/>
      </c>
      <c r="G359" t="str">
        <f>IF(ISBLANK([1]!ScoutingData[[#This Row],[autoAmpScore]]),"",[1]!ScoutingData[[#This Row],[autoAmpScore]])</f>
        <v/>
      </c>
      <c r="H359" t="str">
        <f>IF(ISBLANK([1]!ScoutingData[[#This Row],[autoSpeakerScore]]),"",[1]!ScoutingData[[#This Row],[autoSpeakerScore]])</f>
        <v/>
      </c>
    </row>
    <row r="360" spans="1:8" x14ac:dyDescent="0.45">
      <c r="A360" t="str">
        <f>IF(ISBLANK([1]!ScoutingData[[#This Row],[teamNumber]]),"",[1]!ScoutingData[[#This Row],[teamNumber]])</f>
        <v/>
      </c>
      <c r="B360" t="str">
        <f>IF(ISBLANK([1]!ScoutingData[[#This Row],[matchLevel]]),"",[1]!ScoutingData[[#This Row],[matchLevel]])</f>
        <v/>
      </c>
      <c r="C360" t="str">
        <f>IF(ISBLANK([1]!ScoutingData[[#This Row],[matchNumber]]),"",[1]!ScoutingData[[#This Row],[matchNumber]])</f>
        <v/>
      </c>
      <c r="D360" t="str">
        <f>IF(ISBLANK([1]!ScoutingData[[#This Row],[event]]),"",[1]!ScoutingData[[#This Row],[event]])</f>
        <v/>
      </c>
      <c r="E360" t="str">
        <f>IF(ISBLANK([1]!ScoutingData[[#This Row],[position]]),"",[1]!ScoutingData[[#This Row],[position]])</f>
        <v/>
      </c>
      <c r="F360" t="str">
        <f>IF(ISBLANK([1]!ScoutingData[[#This Row],[leaveStartingZone]]),"",[1]!ScoutingData[[#This Row],[leaveStartingZone]])</f>
        <v/>
      </c>
      <c r="G360" t="str">
        <f>IF(ISBLANK([1]!ScoutingData[[#This Row],[autoAmpScore]]),"",[1]!ScoutingData[[#This Row],[autoAmpScore]])</f>
        <v/>
      </c>
      <c r="H360" t="str">
        <f>IF(ISBLANK([1]!ScoutingData[[#This Row],[autoSpeakerScore]]),"",[1]!ScoutingData[[#This Row],[autoSpeakerScore]])</f>
        <v/>
      </c>
    </row>
    <row r="361" spans="1:8" x14ac:dyDescent="0.45">
      <c r="A361" t="str">
        <f>IF(ISBLANK([1]!ScoutingData[[#This Row],[teamNumber]]),"",[1]!ScoutingData[[#This Row],[teamNumber]])</f>
        <v/>
      </c>
      <c r="B361" t="str">
        <f>IF(ISBLANK([1]!ScoutingData[[#This Row],[matchLevel]]),"",[1]!ScoutingData[[#This Row],[matchLevel]])</f>
        <v/>
      </c>
      <c r="C361" t="str">
        <f>IF(ISBLANK([1]!ScoutingData[[#This Row],[matchNumber]]),"",[1]!ScoutingData[[#This Row],[matchNumber]])</f>
        <v/>
      </c>
      <c r="D361" t="str">
        <f>IF(ISBLANK([1]!ScoutingData[[#This Row],[event]]),"",[1]!ScoutingData[[#This Row],[event]])</f>
        <v/>
      </c>
      <c r="E361" t="str">
        <f>IF(ISBLANK([1]!ScoutingData[[#This Row],[position]]),"",[1]!ScoutingData[[#This Row],[position]])</f>
        <v/>
      </c>
      <c r="F361" t="str">
        <f>IF(ISBLANK([1]!ScoutingData[[#This Row],[leaveStartingZone]]),"",[1]!ScoutingData[[#This Row],[leaveStartingZone]])</f>
        <v/>
      </c>
      <c r="G361" t="str">
        <f>IF(ISBLANK([1]!ScoutingData[[#This Row],[autoAmpScore]]),"",[1]!ScoutingData[[#This Row],[autoAmpScore]])</f>
        <v/>
      </c>
      <c r="H361" t="str">
        <f>IF(ISBLANK([1]!ScoutingData[[#This Row],[autoSpeakerScore]]),"",[1]!ScoutingData[[#This Row],[autoSpeakerScore]])</f>
        <v/>
      </c>
    </row>
    <row r="362" spans="1:8" x14ac:dyDescent="0.45">
      <c r="A362" t="str">
        <f>IF(ISBLANK([1]!ScoutingData[[#This Row],[teamNumber]]),"",[1]!ScoutingData[[#This Row],[teamNumber]])</f>
        <v/>
      </c>
      <c r="B362" t="str">
        <f>IF(ISBLANK([1]!ScoutingData[[#This Row],[matchLevel]]),"",[1]!ScoutingData[[#This Row],[matchLevel]])</f>
        <v/>
      </c>
      <c r="C362" t="str">
        <f>IF(ISBLANK([1]!ScoutingData[[#This Row],[matchNumber]]),"",[1]!ScoutingData[[#This Row],[matchNumber]])</f>
        <v/>
      </c>
      <c r="D362" t="str">
        <f>IF(ISBLANK([1]!ScoutingData[[#This Row],[event]]),"",[1]!ScoutingData[[#This Row],[event]])</f>
        <v/>
      </c>
      <c r="E362" t="str">
        <f>IF(ISBLANK([1]!ScoutingData[[#This Row],[position]]),"",[1]!ScoutingData[[#This Row],[position]])</f>
        <v/>
      </c>
      <c r="F362" t="str">
        <f>IF(ISBLANK([1]!ScoutingData[[#This Row],[leaveStartingZone]]),"",[1]!ScoutingData[[#This Row],[leaveStartingZone]])</f>
        <v/>
      </c>
      <c r="G362" t="str">
        <f>IF(ISBLANK([1]!ScoutingData[[#This Row],[autoAmpScore]]),"",[1]!ScoutingData[[#This Row],[autoAmpScore]])</f>
        <v/>
      </c>
      <c r="H362" t="str">
        <f>IF(ISBLANK([1]!ScoutingData[[#This Row],[autoSpeakerScore]]),"",[1]!ScoutingData[[#This Row],[autoSpeakerScore]])</f>
        <v/>
      </c>
    </row>
    <row r="363" spans="1:8" x14ac:dyDescent="0.45">
      <c r="A363" t="str">
        <f>IF(ISBLANK([1]!ScoutingData[[#This Row],[teamNumber]]),"",[1]!ScoutingData[[#This Row],[teamNumber]])</f>
        <v/>
      </c>
      <c r="B363" t="str">
        <f>IF(ISBLANK([1]!ScoutingData[[#This Row],[matchLevel]]),"",[1]!ScoutingData[[#This Row],[matchLevel]])</f>
        <v/>
      </c>
      <c r="C363" t="str">
        <f>IF(ISBLANK([1]!ScoutingData[[#This Row],[matchNumber]]),"",[1]!ScoutingData[[#This Row],[matchNumber]])</f>
        <v/>
      </c>
      <c r="D363" t="str">
        <f>IF(ISBLANK([1]!ScoutingData[[#This Row],[event]]),"",[1]!ScoutingData[[#This Row],[event]])</f>
        <v/>
      </c>
      <c r="E363" t="str">
        <f>IF(ISBLANK([1]!ScoutingData[[#This Row],[position]]),"",[1]!ScoutingData[[#This Row],[position]])</f>
        <v/>
      </c>
      <c r="F363" t="str">
        <f>IF(ISBLANK([1]!ScoutingData[[#This Row],[leaveStartingZone]]),"",[1]!ScoutingData[[#This Row],[leaveStartingZone]])</f>
        <v/>
      </c>
      <c r="G363" t="str">
        <f>IF(ISBLANK([1]!ScoutingData[[#This Row],[autoAmpScore]]),"",[1]!ScoutingData[[#This Row],[autoAmpScore]])</f>
        <v/>
      </c>
      <c r="H363" t="str">
        <f>IF(ISBLANK([1]!ScoutingData[[#This Row],[autoSpeakerScore]]),"",[1]!ScoutingData[[#This Row],[autoSpeakerScore]])</f>
        <v/>
      </c>
    </row>
    <row r="364" spans="1:8" x14ac:dyDescent="0.45">
      <c r="A364" t="str">
        <f>IF(ISBLANK([1]!ScoutingData[[#This Row],[teamNumber]]),"",[1]!ScoutingData[[#This Row],[teamNumber]])</f>
        <v/>
      </c>
      <c r="B364" t="str">
        <f>IF(ISBLANK([1]!ScoutingData[[#This Row],[matchLevel]]),"",[1]!ScoutingData[[#This Row],[matchLevel]])</f>
        <v/>
      </c>
      <c r="C364" t="str">
        <f>IF(ISBLANK([1]!ScoutingData[[#This Row],[matchNumber]]),"",[1]!ScoutingData[[#This Row],[matchNumber]])</f>
        <v/>
      </c>
      <c r="D364" t="str">
        <f>IF(ISBLANK([1]!ScoutingData[[#This Row],[event]]),"",[1]!ScoutingData[[#This Row],[event]])</f>
        <v/>
      </c>
      <c r="E364" t="str">
        <f>IF(ISBLANK([1]!ScoutingData[[#This Row],[position]]),"",[1]!ScoutingData[[#This Row],[position]])</f>
        <v/>
      </c>
      <c r="F364" t="str">
        <f>IF(ISBLANK([1]!ScoutingData[[#This Row],[leaveStartingZone]]),"",[1]!ScoutingData[[#This Row],[leaveStartingZone]])</f>
        <v/>
      </c>
      <c r="G364" t="str">
        <f>IF(ISBLANK([1]!ScoutingData[[#This Row],[autoAmpScore]]),"",[1]!ScoutingData[[#This Row],[autoAmpScore]])</f>
        <v/>
      </c>
      <c r="H364" t="str">
        <f>IF(ISBLANK([1]!ScoutingData[[#This Row],[autoSpeakerScore]]),"",[1]!ScoutingData[[#This Row],[autoSpeakerScore]])</f>
        <v/>
      </c>
    </row>
    <row r="365" spans="1:8" x14ac:dyDescent="0.45">
      <c r="A365" t="str">
        <f>IF(ISBLANK([1]!ScoutingData[[#This Row],[teamNumber]]),"",[1]!ScoutingData[[#This Row],[teamNumber]])</f>
        <v/>
      </c>
      <c r="B365" t="str">
        <f>IF(ISBLANK([1]!ScoutingData[[#This Row],[matchLevel]]),"",[1]!ScoutingData[[#This Row],[matchLevel]])</f>
        <v/>
      </c>
      <c r="C365" t="str">
        <f>IF(ISBLANK([1]!ScoutingData[[#This Row],[matchNumber]]),"",[1]!ScoutingData[[#This Row],[matchNumber]])</f>
        <v/>
      </c>
      <c r="D365" t="str">
        <f>IF(ISBLANK([1]!ScoutingData[[#This Row],[event]]),"",[1]!ScoutingData[[#This Row],[event]])</f>
        <v/>
      </c>
      <c r="E365" t="str">
        <f>IF(ISBLANK([1]!ScoutingData[[#This Row],[position]]),"",[1]!ScoutingData[[#This Row],[position]])</f>
        <v/>
      </c>
      <c r="F365" t="str">
        <f>IF(ISBLANK([1]!ScoutingData[[#This Row],[leaveStartingZone]]),"",[1]!ScoutingData[[#This Row],[leaveStartingZone]])</f>
        <v/>
      </c>
      <c r="G365" t="str">
        <f>IF(ISBLANK([1]!ScoutingData[[#This Row],[autoAmpScore]]),"",[1]!ScoutingData[[#This Row],[autoAmpScore]])</f>
        <v/>
      </c>
      <c r="H365" t="str">
        <f>IF(ISBLANK([1]!ScoutingData[[#This Row],[autoSpeakerScore]]),"",[1]!ScoutingData[[#This Row],[autoSpeakerScore]])</f>
        <v/>
      </c>
    </row>
    <row r="366" spans="1:8" x14ac:dyDescent="0.45">
      <c r="A366" t="str">
        <f>IF(ISBLANK([1]!ScoutingData[[#This Row],[teamNumber]]),"",[1]!ScoutingData[[#This Row],[teamNumber]])</f>
        <v/>
      </c>
      <c r="B366" t="str">
        <f>IF(ISBLANK([1]!ScoutingData[[#This Row],[matchLevel]]),"",[1]!ScoutingData[[#This Row],[matchLevel]])</f>
        <v/>
      </c>
      <c r="C366" t="str">
        <f>IF(ISBLANK([1]!ScoutingData[[#This Row],[matchNumber]]),"",[1]!ScoutingData[[#This Row],[matchNumber]])</f>
        <v/>
      </c>
      <c r="D366" t="str">
        <f>IF(ISBLANK([1]!ScoutingData[[#This Row],[event]]),"",[1]!ScoutingData[[#This Row],[event]])</f>
        <v/>
      </c>
      <c r="E366" t="str">
        <f>IF(ISBLANK([1]!ScoutingData[[#This Row],[position]]),"",[1]!ScoutingData[[#This Row],[position]])</f>
        <v/>
      </c>
      <c r="F366" t="str">
        <f>IF(ISBLANK([1]!ScoutingData[[#This Row],[leaveStartingZone]]),"",[1]!ScoutingData[[#This Row],[leaveStartingZone]])</f>
        <v/>
      </c>
      <c r="G366" t="str">
        <f>IF(ISBLANK([1]!ScoutingData[[#This Row],[autoAmpScore]]),"",[1]!ScoutingData[[#This Row],[autoAmpScore]])</f>
        <v/>
      </c>
      <c r="H366" t="str">
        <f>IF(ISBLANK([1]!ScoutingData[[#This Row],[autoSpeakerScore]]),"",[1]!ScoutingData[[#This Row],[autoSpeakerScore]])</f>
        <v/>
      </c>
    </row>
    <row r="367" spans="1:8" x14ac:dyDescent="0.45">
      <c r="A367" t="str">
        <f>IF(ISBLANK([1]!ScoutingData[[#This Row],[teamNumber]]),"",[1]!ScoutingData[[#This Row],[teamNumber]])</f>
        <v/>
      </c>
      <c r="B367" t="str">
        <f>IF(ISBLANK([1]!ScoutingData[[#This Row],[matchLevel]]),"",[1]!ScoutingData[[#This Row],[matchLevel]])</f>
        <v/>
      </c>
      <c r="C367" t="str">
        <f>IF(ISBLANK([1]!ScoutingData[[#This Row],[matchNumber]]),"",[1]!ScoutingData[[#This Row],[matchNumber]])</f>
        <v/>
      </c>
      <c r="D367" t="str">
        <f>IF(ISBLANK([1]!ScoutingData[[#This Row],[event]]),"",[1]!ScoutingData[[#This Row],[event]])</f>
        <v/>
      </c>
      <c r="E367" t="str">
        <f>IF(ISBLANK([1]!ScoutingData[[#This Row],[position]]),"",[1]!ScoutingData[[#This Row],[position]])</f>
        <v/>
      </c>
      <c r="F367" t="str">
        <f>IF(ISBLANK([1]!ScoutingData[[#This Row],[leaveStartingZone]]),"",[1]!ScoutingData[[#This Row],[leaveStartingZone]])</f>
        <v/>
      </c>
      <c r="G367" t="str">
        <f>IF(ISBLANK([1]!ScoutingData[[#This Row],[autoAmpScore]]),"",[1]!ScoutingData[[#This Row],[autoAmpScore]])</f>
        <v/>
      </c>
      <c r="H367" t="str">
        <f>IF(ISBLANK([1]!ScoutingData[[#This Row],[autoSpeakerScore]]),"",[1]!ScoutingData[[#This Row],[autoSpeakerScore]])</f>
        <v/>
      </c>
    </row>
    <row r="368" spans="1:8" x14ac:dyDescent="0.45">
      <c r="A368" t="str">
        <f>IF(ISBLANK([1]!ScoutingData[[#This Row],[teamNumber]]),"",[1]!ScoutingData[[#This Row],[teamNumber]])</f>
        <v/>
      </c>
      <c r="B368" t="str">
        <f>IF(ISBLANK([1]!ScoutingData[[#This Row],[matchLevel]]),"",[1]!ScoutingData[[#This Row],[matchLevel]])</f>
        <v/>
      </c>
      <c r="C368" t="str">
        <f>IF(ISBLANK([1]!ScoutingData[[#This Row],[matchNumber]]),"",[1]!ScoutingData[[#This Row],[matchNumber]])</f>
        <v/>
      </c>
      <c r="D368" t="str">
        <f>IF(ISBLANK([1]!ScoutingData[[#This Row],[event]]),"",[1]!ScoutingData[[#This Row],[event]])</f>
        <v/>
      </c>
      <c r="E368" t="str">
        <f>IF(ISBLANK([1]!ScoutingData[[#This Row],[position]]),"",[1]!ScoutingData[[#This Row],[position]])</f>
        <v/>
      </c>
      <c r="F368" t="str">
        <f>IF(ISBLANK([1]!ScoutingData[[#This Row],[leaveStartingZone]]),"",[1]!ScoutingData[[#This Row],[leaveStartingZone]])</f>
        <v/>
      </c>
      <c r="G368" t="str">
        <f>IF(ISBLANK([1]!ScoutingData[[#This Row],[autoAmpScore]]),"",[1]!ScoutingData[[#This Row],[autoAmpScore]])</f>
        <v/>
      </c>
      <c r="H368" t="str">
        <f>IF(ISBLANK([1]!ScoutingData[[#This Row],[autoSpeakerScore]]),"",[1]!ScoutingData[[#This Row],[autoSpeakerScore]])</f>
        <v/>
      </c>
    </row>
    <row r="369" spans="1:8" x14ac:dyDescent="0.45">
      <c r="A369" t="str">
        <f>IF(ISBLANK([1]!ScoutingData[[#This Row],[teamNumber]]),"",[1]!ScoutingData[[#This Row],[teamNumber]])</f>
        <v/>
      </c>
      <c r="B369" t="str">
        <f>IF(ISBLANK([1]!ScoutingData[[#This Row],[matchLevel]]),"",[1]!ScoutingData[[#This Row],[matchLevel]])</f>
        <v/>
      </c>
      <c r="C369" t="str">
        <f>IF(ISBLANK([1]!ScoutingData[[#This Row],[matchNumber]]),"",[1]!ScoutingData[[#This Row],[matchNumber]])</f>
        <v/>
      </c>
      <c r="D369" t="str">
        <f>IF(ISBLANK([1]!ScoutingData[[#This Row],[event]]),"",[1]!ScoutingData[[#This Row],[event]])</f>
        <v/>
      </c>
      <c r="E369" t="str">
        <f>IF(ISBLANK([1]!ScoutingData[[#This Row],[position]]),"",[1]!ScoutingData[[#This Row],[position]])</f>
        <v/>
      </c>
      <c r="F369" t="str">
        <f>IF(ISBLANK([1]!ScoutingData[[#This Row],[leaveStartingZone]]),"",[1]!ScoutingData[[#This Row],[leaveStartingZone]])</f>
        <v/>
      </c>
      <c r="G369" t="str">
        <f>IF(ISBLANK([1]!ScoutingData[[#This Row],[autoAmpScore]]),"",[1]!ScoutingData[[#This Row],[autoAmpScore]])</f>
        <v/>
      </c>
      <c r="H369" t="str">
        <f>IF(ISBLANK([1]!ScoutingData[[#This Row],[autoSpeakerScore]]),"",[1]!ScoutingData[[#This Row],[autoSpeakerScore]])</f>
        <v/>
      </c>
    </row>
    <row r="370" spans="1:8" x14ac:dyDescent="0.45">
      <c r="A370" t="str">
        <f>IF(ISBLANK([1]!ScoutingData[[#This Row],[teamNumber]]),"",[1]!ScoutingData[[#This Row],[teamNumber]])</f>
        <v/>
      </c>
      <c r="B370" t="str">
        <f>IF(ISBLANK([1]!ScoutingData[[#This Row],[matchLevel]]),"",[1]!ScoutingData[[#This Row],[matchLevel]])</f>
        <v/>
      </c>
      <c r="C370" t="str">
        <f>IF(ISBLANK([1]!ScoutingData[[#This Row],[matchNumber]]),"",[1]!ScoutingData[[#This Row],[matchNumber]])</f>
        <v/>
      </c>
      <c r="D370" t="str">
        <f>IF(ISBLANK([1]!ScoutingData[[#This Row],[event]]),"",[1]!ScoutingData[[#This Row],[event]])</f>
        <v/>
      </c>
      <c r="E370" t="str">
        <f>IF(ISBLANK([1]!ScoutingData[[#This Row],[position]]),"",[1]!ScoutingData[[#This Row],[position]])</f>
        <v/>
      </c>
      <c r="F370" t="str">
        <f>IF(ISBLANK([1]!ScoutingData[[#This Row],[leaveStartingZone]]),"",[1]!ScoutingData[[#This Row],[leaveStartingZone]])</f>
        <v/>
      </c>
      <c r="G370" t="str">
        <f>IF(ISBLANK([1]!ScoutingData[[#This Row],[autoAmpScore]]),"",[1]!ScoutingData[[#This Row],[autoAmpScore]])</f>
        <v/>
      </c>
      <c r="H370" t="str">
        <f>IF(ISBLANK([1]!ScoutingData[[#This Row],[autoSpeakerScore]]),"",[1]!ScoutingData[[#This Row],[autoSpeakerScore]])</f>
        <v/>
      </c>
    </row>
    <row r="371" spans="1:8" x14ac:dyDescent="0.45">
      <c r="A371" t="str">
        <f>IF(ISBLANK([1]!ScoutingData[[#This Row],[teamNumber]]),"",[1]!ScoutingData[[#This Row],[teamNumber]])</f>
        <v/>
      </c>
      <c r="B371" t="str">
        <f>IF(ISBLANK([1]!ScoutingData[[#This Row],[matchLevel]]),"",[1]!ScoutingData[[#This Row],[matchLevel]])</f>
        <v/>
      </c>
      <c r="C371" t="str">
        <f>IF(ISBLANK([1]!ScoutingData[[#This Row],[matchNumber]]),"",[1]!ScoutingData[[#This Row],[matchNumber]])</f>
        <v/>
      </c>
      <c r="D371" t="str">
        <f>IF(ISBLANK([1]!ScoutingData[[#This Row],[event]]),"",[1]!ScoutingData[[#This Row],[event]])</f>
        <v/>
      </c>
      <c r="E371" t="str">
        <f>IF(ISBLANK([1]!ScoutingData[[#This Row],[position]]),"",[1]!ScoutingData[[#This Row],[position]])</f>
        <v/>
      </c>
      <c r="F371" t="str">
        <f>IF(ISBLANK([1]!ScoutingData[[#This Row],[leaveStartingZone]]),"",[1]!ScoutingData[[#This Row],[leaveStartingZone]])</f>
        <v/>
      </c>
      <c r="G371" t="str">
        <f>IF(ISBLANK([1]!ScoutingData[[#This Row],[autoAmpScore]]),"",[1]!ScoutingData[[#This Row],[autoAmpScore]])</f>
        <v/>
      </c>
      <c r="H371" t="str">
        <f>IF(ISBLANK([1]!ScoutingData[[#This Row],[autoSpeakerScore]]),"",[1]!ScoutingData[[#This Row],[autoSpeakerScore]])</f>
        <v/>
      </c>
    </row>
    <row r="372" spans="1:8" x14ac:dyDescent="0.45">
      <c r="A372" t="str">
        <f>IF(ISBLANK([1]!ScoutingData[[#This Row],[teamNumber]]),"",[1]!ScoutingData[[#This Row],[teamNumber]])</f>
        <v/>
      </c>
      <c r="B372" t="str">
        <f>IF(ISBLANK([1]!ScoutingData[[#This Row],[matchLevel]]),"",[1]!ScoutingData[[#This Row],[matchLevel]])</f>
        <v/>
      </c>
      <c r="C372" t="str">
        <f>IF(ISBLANK([1]!ScoutingData[[#This Row],[matchNumber]]),"",[1]!ScoutingData[[#This Row],[matchNumber]])</f>
        <v/>
      </c>
      <c r="D372" t="str">
        <f>IF(ISBLANK([1]!ScoutingData[[#This Row],[event]]),"",[1]!ScoutingData[[#This Row],[event]])</f>
        <v/>
      </c>
      <c r="E372" t="str">
        <f>IF(ISBLANK([1]!ScoutingData[[#This Row],[position]]),"",[1]!ScoutingData[[#This Row],[position]])</f>
        <v/>
      </c>
      <c r="F372" t="str">
        <f>IF(ISBLANK([1]!ScoutingData[[#This Row],[leaveStartingZone]]),"",[1]!ScoutingData[[#This Row],[leaveStartingZone]])</f>
        <v/>
      </c>
      <c r="G372" t="str">
        <f>IF(ISBLANK([1]!ScoutingData[[#This Row],[autoAmpScore]]),"",[1]!ScoutingData[[#This Row],[autoAmpScore]])</f>
        <v/>
      </c>
      <c r="H372" t="str">
        <f>IF(ISBLANK([1]!ScoutingData[[#This Row],[autoSpeakerScore]]),"",[1]!ScoutingData[[#This Row],[autoSpeakerScore]])</f>
        <v/>
      </c>
    </row>
    <row r="373" spans="1:8" x14ac:dyDescent="0.45">
      <c r="A373" t="str">
        <f>IF(ISBLANK([1]!ScoutingData[[#This Row],[teamNumber]]),"",[1]!ScoutingData[[#This Row],[teamNumber]])</f>
        <v/>
      </c>
      <c r="B373" t="str">
        <f>IF(ISBLANK([1]!ScoutingData[[#This Row],[matchLevel]]),"",[1]!ScoutingData[[#This Row],[matchLevel]])</f>
        <v/>
      </c>
      <c r="C373" t="str">
        <f>IF(ISBLANK([1]!ScoutingData[[#This Row],[matchNumber]]),"",[1]!ScoutingData[[#This Row],[matchNumber]])</f>
        <v/>
      </c>
      <c r="D373" t="str">
        <f>IF(ISBLANK([1]!ScoutingData[[#This Row],[event]]),"",[1]!ScoutingData[[#This Row],[event]])</f>
        <v/>
      </c>
      <c r="E373" t="str">
        <f>IF(ISBLANK([1]!ScoutingData[[#This Row],[position]]),"",[1]!ScoutingData[[#This Row],[position]])</f>
        <v/>
      </c>
      <c r="F373" t="str">
        <f>IF(ISBLANK([1]!ScoutingData[[#This Row],[leaveStartingZone]]),"",[1]!ScoutingData[[#This Row],[leaveStartingZone]])</f>
        <v/>
      </c>
      <c r="G373" t="str">
        <f>IF(ISBLANK([1]!ScoutingData[[#This Row],[autoAmpScore]]),"",[1]!ScoutingData[[#This Row],[autoAmpScore]])</f>
        <v/>
      </c>
      <c r="H373" t="str">
        <f>IF(ISBLANK([1]!ScoutingData[[#This Row],[autoSpeakerScore]]),"",[1]!ScoutingData[[#This Row],[autoSpeakerScore]])</f>
        <v/>
      </c>
    </row>
    <row r="374" spans="1:8" x14ac:dyDescent="0.45">
      <c r="A374" t="str">
        <f>IF(ISBLANK([1]!ScoutingData[[#This Row],[teamNumber]]),"",[1]!ScoutingData[[#This Row],[teamNumber]])</f>
        <v/>
      </c>
      <c r="B374" t="str">
        <f>IF(ISBLANK([1]!ScoutingData[[#This Row],[matchLevel]]),"",[1]!ScoutingData[[#This Row],[matchLevel]])</f>
        <v/>
      </c>
      <c r="C374" t="str">
        <f>IF(ISBLANK([1]!ScoutingData[[#This Row],[matchNumber]]),"",[1]!ScoutingData[[#This Row],[matchNumber]])</f>
        <v/>
      </c>
      <c r="D374" t="str">
        <f>IF(ISBLANK([1]!ScoutingData[[#This Row],[event]]),"",[1]!ScoutingData[[#This Row],[event]])</f>
        <v/>
      </c>
      <c r="E374" t="str">
        <f>IF(ISBLANK([1]!ScoutingData[[#This Row],[position]]),"",[1]!ScoutingData[[#This Row],[position]])</f>
        <v/>
      </c>
      <c r="F374" t="str">
        <f>IF(ISBLANK([1]!ScoutingData[[#This Row],[leaveStartingZone]]),"",[1]!ScoutingData[[#This Row],[leaveStartingZone]])</f>
        <v/>
      </c>
      <c r="G374" t="str">
        <f>IF(ISBLANK([1]!ScoutingData[[#This Row],[autoAmpScore]]),"",[1]!ScoutingData[[#This Row],[autoAmpScore]])</f>
        <v/>
      </c>
      <c r="H374" t="str">
        <f>IF(ISBLANK([1]!ScoutingData[[#This Row],[autoSpeakerScore]]),"",[1]!ScoutingData[[#This Row],[autoSpeakerScore]])</f>
        <v/>
      </c>
    </row>
    <row r="375" spans="1:8" x14ac:dyDescent="0.45">
      <c r="A375" t="str">
        <f>IF(ISBLANK([1]!ScoutingData[[#This Row],[teamNumber]]),"",[1]!ScoutingData[[#This Row],[teamNumber]])</f>
        <v/>
      </c>
      <c r="B375" t="str">
        <f>IF(ISBLANK([1]!ScoutingData[[#This Row],[matchLevel]]),"",[1]!ScoutingData[[#This Row],[matchLevel]])</f>
        <v/>
      </c>
      <c r="C375" t="str">
        <f>IF(ISBLANK([1]!ScoutingData[[#This Row],[matchNumber]]),"",[1]!ScoutingData[[#This Row],[matchNumber]])</f>
        <v/>
      </c>
      <c r="D375" t="str">
        <f>IF(ISBLANK([1]!ScoutingData[[#This Row],[event]]),"",[1]!ScoutingData[[#This Row],[event]])</f>
        <v/>
      </c>
      <c r="E375" t="str">
        <f>IF(ISBLANK([1]!ScoutingData[[#This Row],[position]]),"",[1]!ScoutingData[[#This Row],[position]])</f>
        <v/>
      </c>
      <c r="F375" t="str">
        <f>IF(ISBLANK([1]!ScoutingData[[#This Row],[leaveStartingZone]]),"",[1]!ScoutingData[[#This Row],[leaveStartingZone]])</f>
        <v/>
      </c>
      <c r="G375" t="str">
        <f>IF(ISBLANK([1]!ScoutingData[[#This Row],[autoAmpScore]]),"",[1]!ScoutingData[[#This Row],[autoAmpScore]])</f>
        <v/>
      </c>
      <c r="H375" t="str">
        <f>IF(ISBLANK([1]!ScoutingData[[#This Row],[autoSpeakerScore]]),"",[1]!ScoutingData[[#This Row],[autoSpeakerScore]])</f>
        <v/>
      </c>
    </row>
    <row r="376" spans="1:8" x14ac:dyDescent="0.45">
      <c r="A376" t="str">
        <f>IF(ISBLANK([1]!ScoutingData[[#This Row],[teamNumber]]),"",[1]!ScoutingData[[#This Row],[teamNumber]])</f>
        <v/>
      </c>
      <c r="B376" t="str">
        <f>IF(ISBLANK([1]!ScoutingData[[#This Row],[matchLevel]]),"",[1]!ScoutingData[[#This Row],[matchLevel]])</f>
        <v/>
      </c>
      <c r="C376" t="str">
        <f>IF(ISBLANK([1]!ScoutingData[[#This Row],[matchNumber]]),"",[1]!ScoutingData[[#This Row],[matchNumber]])</f>
        <v/>
      </c>
      <c r="D376" t="str">
        <f>IF(ISBLANK([1]!ScoutingData[[#This Row],[event]]),"",[1]!ScoutingData[[#This Row],[event]])</f>
        <v/>
      </c>
      <c r="E376" t="str">
        <f>IF(ISBLANK([1]!ScoutingData[[#This Row],[position]]),"",[1]!ScoutingData[[#This Row],[position]])</f>
        <v/>
      </c>
      <c r="F376" t="str">
        <f>IF(ISBLANK([1]!ScoutingData[[#This Row],[leaveStartingZone]]),"",[1]!ScoutingData[[#This Row],[leaveStartingZone]])</f>
        <v/>
      </c>
      <c r="G376" t="str">
        <f>IF(ISBLANK([1]!ScoutingData[[#This Row],[autoAmpScore]]),"",[1]!ScoutingData[[#This Row],[autoAmpScore]])</f>
        <v/>
      </c>
      <c r="H376" t="str">
        <f>IF(ISBLANK([1]!ScoutingData[[#This Row],[autoSpeakerScore]]),"",[1]!ScoutingData[[#This Row],[autoSpeakerScore]])</f>
        <v/>
      </c>
    </row>
    <row r="377" spans="1:8" x14ac:dyDescent="0.45">
      <c r="A377" t="str">
        <f>IF(ISBLANK([1]!ScoutingData[[#This Row],[teamNumber]]),"",[1]!ScoutingData[[#This Row],[teamNumber]])</f>
        <v/>
      </c>
      <c r="B377" t="str">
        <f>IF(ISBLANK([1]!ScoutingData[[#This Row],[matchLevel]]),"",[1]!ScoutingData[[#This Row],[matchLevel]])</f>
        <v/>
      </c>
      <c r="C377" t="str">
        <f>IF(ISBLANK([1]!ScoutingData[[#This Row],[matchNumber]]),"",[1]!ScoutingData[[#This Row],[matchNumber]])</f>
        <v/>
      </c>
      <c r="D377" t="str">
        <f>IF(ISBLANK([1]!ScoutingData[[#This Row],[event]]),"",[1]!ScoutingData[[#This Row],[event]])</f>
        <v/>
      </c>
      <c r="E377" t="str">
        <f>IF(ISBLANK([1]!ScoutingData[[#This Row],[position]]),"",[1]!ScoutingData[[#This Row],[position]])</f>
        <v/>
      </c>
      <c r="F377" t="str">
        <f>IF(ISBLANK([1]!ScoutingData[[#This Row],[leaveStartingZone]]),"",[1]!ScoutingData[[#This Row],[leaveStartingZone]])</f>
        <v/>
      </c>
      <c r="G377" t="str">
        <f>IF(ISBLANK([1]!ScoutingData[[#This Row],[autoAmpScore]]),"",[1]!ScoutingData[[#This Row],[autoAmpScore]])</f>
        <v/>
      </c>
      <c r="H377" t="str">
        <f>IF(ISBLANK([1]!ScoutingData[[#This Row],[autoSpeakerScore]]),"",[1]!ScoutingData[[#This Row],[autoSpeakerScore]])</f>
        <v/>
      </c>
    </row>
    <row r="378" spans="1:8" x14ac:dyDescent="0.45">
      <c r="A378" t="str">
        <f>IF(ISBLANK([1]!ScoutingData[[#This Row],[teamNumber]]),"",[1]!ScoutingData[[#This Row],[teamNumber]])</f>
        <v/>
      </c>
      <c r="B378" t="str">
        <f>IF(ISBLANK([1]!ScoutingData[[#This Row],[matchLevel]]),"",[1]!ScoutingData[[#This Row],[matchLevel]])</f>
        <v/>
      </c>
      <c r="C378" t="str">
        <f>IF(ISBLANK([1]!ScoutingData[[#This Row],[matchNumber]]),"",[1]!ScoutingData[[#This Row],[matchNumber]])</f>
        <v/>
      </c>
      <c r="D378" t="str">
        <f>IF(ISBLANK([1]!ScoutingData[[#This Row],[event]]),"",[1]!ScoutingData[[#This Row],[event]])</f>
        <v/>
      </c>
      <c r="E378" t="str">
        <f>IF(ISBLANK([1]!ScoutingData[[#This Row],[position]]),"",[1]!ScoutingData[[#This Row],[position]])</f>
        <v/>
      </c>
      <c r="F378" t="str">
        <f>IF(ISBLANK([1]!ScoutingData[[#This Row],[leaveStartingZone]]),"",[1]!ScoutingData[[#This Row],[leaveStartingZone]])</f>
        <v/>
      </c>
      <c r="G378" t="str">
        <f>IF(ISBLANK([1]!ScoutingData[[#This Row],[autoAmpScore]]),"",[1]!ScoutingData[[#This Row],[autoAmpScore]])</f>
        <v/>
      </c>
      <c r="H378" t="str">
        <f>IF(ISBLANK([1]!ScoutingData[[#This Row],[autoSpeakerScore]]),"",[1]!ScoutingData[[#This Row],[autoSpeakerScore]])</f>
        <v/>
      </c>
    </row>
    <row r="379" spans="1:8" x14ac:dyDescent="0.45">
      <c r="A379" t="str">
        <f>IF(ISBLANK([1]!ScoutingData[[#This Row],[teamNumber]]),"",[1]!ScoutingData[[#This Row],[teamNumber]])</f>
        <v/>
      </c>
      <c r="B379" t="str">
        <f>IF(ISBLANK([1]!ScoutingData[[#This Row],[matchLevel]]),"",[1]!ScoutingData[[#This Row],[matchLevel]])</f>
        <v/>
      </c>
      <c r="C379" t="str">
        <f>IF(ISBLANK([1]!ScoutingData[[#This Row],[matchNumber]]),"",[1]!ScoutingData[[#This Row],[matchNumber]])</f>
        <v/>
      </c>
      <c r="D379" t="str">
        <f>IF(ISBLANK([1]!ScoutingData[[#This Row],[event]]),"",[1]!ScoutingData[[#This Row],[event]])</f>
        <v/>
      </c>
      <c r="E379" t="str">
        <f>IF(ISBLANK([1]!ScoutingData[[#This Row],[position]]),"",[1]!ScoutingData[[#This Row],[position]])</f>
        <v/>
      </c>
      <c r="F379" t="str">
        <f>IF(ISBLANK([1]!ScoutingData[[#This Row],[leaveStartingZone]]),"",[1]!ScoutingData[[#This Row],[leaveStartingZone]])</f>
        <v/>
      </c>
      <c r="G379" t="str">
        <f>IF(ISBLANK([1]!ScoutingData[[#This Row],[autoAmpScore]]),"",[1]!ScoutingData[[#This Row],[autoAmpScore]])</f>
        <v/>
      </c>
      <c r="H379" t="str">
        <f>IF(ISBLANK([1]!ScoutingData[[#This Row],[autoSpeakerScore]]),"",[1]!ScoutingData[[#This Row],[autoSpeakerScore]])</f>
        <v/>
      </c>
    </row>
    <row r="380" spans="1:8" x14ac:dyDescent="0.45">
      <c r="A380" t="str">
        <f>IF(ISBLANK([1]!ScoutingData[[#This Row],[teamNumber]]),"",[1]!ScoutingData[[#This Row],[teamNumber]])</f>
        <v/>
      </c>
      <c r="B380" t="str">
        <f>IF(ISBLANK([1]!ScoutingData[[#This Row],[matchLevel]]),"",[1]!ScoutingData[[#This Row],[matchLevel]])</f>
        <v/>
      </c>
      <c r="C380" t="str">
        <f>IF(ISBLANK([1]!ScoutingData[[#This Row],[matchNumber]]),"",[1]!ScoutingData[[#This Row],[matchNumber]])</f>
        <v/>
      </c>
      <c r="D380" t="str">
        <f>IF(ISBLANK([1]!ScoutingData[[#This Row],[event]]),"",[1]!ScoutingData[[#This Row],[event]])</f>
        <v/>
      </c>
      <c r="E380" t="str">
        <f>IF(ISBLANK([1]!ScoutingData[[#This Row],[position]]),"",[1]!ScoutingData[[#This Row],[position]])</f>
        <v/>
      </c>
      <c r="F380" t="str">
        <f>IF(ISBLANK([1]!ScoutingData[[#This Row],[leaveStartingZone]]),"",[1]!ScoutingData[[#This Row],[leaveStartingZone]])</f>
        <v/>
      </c>
      <c r="G380" t="str">
        <f>IF(ISBLANK([1]!ScoutingData[[#This Row],[autoAmpScore]]),"",[1]!ScoutingData[[#This Row],[autoAmpScore]])</f>
        <v/>
      </c>
      <c r="H380" t="str">
        <f>IF(ISBLANK([1]!ScoutingData[[#This Row],[autoSpeakerScore]]),"",[1]!ScoutingData[[#This Row],[autoSpeakerScore]])</f>
        <v/>
      </c>
    </row>
    <row r="381" spans="1:8" x14ac:dyDescent="0.45">
      <c r="A381" t="str">
        <f>IF(ISBLANK([1]!ScoutingData[[#This Row],[teamNumber]]),"",[1]!ScoutingData[[#This Row],[teamNumber]])</f>
        <v/>
      </c>
      <c r="B381" t="str">
        <f>IF(ISBLANK([1]!ScoutingData[[#This Row],[matchLevel]]),"",[1]!ScoutingData[[#This Row],[matchLevel]])</f>
        <v/>
      </c>
      <c r="C381" t="str">
        <f>IF(ISBLANK([1]!ScoutingData[[#This Row],[matchNumber]]),"",[1]!ScoutingData[[#This Row],[matchNumber]])</f>
        <v/>
      </c>
      <c r="D381" t="str">
        <f>IF(ISBLANK([1]!ScoutingData[[#This Row],[event]]),"",[1]!ScoutingData[[#This Row],[event]])</f>
        <v/>
      </c>
      <c r="E381" t="str">
        <f>IF(ISBLANK([1]!ScoutingData[[#This Row],[position]]),"",[1]!ScoutingData[[#This Row],[position]])</f>
        <v/>
      </c>
      <c r="F381" t="str">
        <f>IF(ISBLANK([1]!ScoutingData[[#This Row],[leaveStartingZone]]),"",[1]!ScoutingData[[#This Row],[leaveStartingZone]])</f>
        <v/>
      </c>
      <c r="G381" t="str">
        <f>IF(ISBLANK([1]!ScoutingData[[#This Row],[autoAmpScore]]),"",[1]!ScoutingData[[#This Row],[autoAmpScore]])</f>
        <v/>
      </c>
      <c r="H381" t="str">
        <f>IF(ISBLANK([1]!ScoutingData[[#This Row],[autoSpeakerScore]]),"",[1]!ScoutingData[[#This Row],[autoSpeakerScore]])</f>
        <v/>
      </c>
    </row>
    <row r="382" spans="1:8" x14ac:dyDescent="0.45">
      <c r="A382" t="str">
        <f>IF(ISBLANK([1]!ScoutingData[[#This Row],[teamNumber]]),"",[1]!ScoutingData[[#This Row],[teamNumber]])</f>
        <v/>
      </c>
      <c r="B382" t="str">
        <f>IF(ISBLANK([1]!ScoutingData[[#This Row],[matchLevel]]),"",[1]!ScoutingData[[#This Row],[matchLevel]])</f>
        <v/>
      </c>
      <c r="C382" t="str">
        <f>IF(ISBLANK([1]!ScoutingData[[#This Row],[matchNumber]]),"",[1]!ScoutingData[[#This Row],[matchNumber]])</f>
        <v/>
      </c>
      <c r="D382" t="str">
        <f>IF(ISBLANK([1]!ScoutingData[[#This Row],[event]]),"",[1]!ScoutingData[[#This Row],[event]])</f>
        <v/>
      </c>
      <c r="E382" t="str">
        <f>IF(ISBLANK([1]!ScoutingData[[#This Row],[position]]),"",[1]!ScoutingData[[#This Row],[position]])</f>
        <v/>
      </c>
      <c r="F382" t="str">
        <f>IF(ISBLANK([1]!ScoutingData[[#This Row],[leaveStartingZone]]),"",[1]!ScoutingData[[#This Row],[leaveStartingZone]])</f>
        <v/>
      </c>
      <c r="G382" t="str">
        <f>IF(ISBLANK([1]!ScoutingData[[#This Row],[autoAmpScore]]),"",[1]!ScoutingData[[#This Row],[autoAmpScore]])</f>
        <v/>
      </c>
      <c r="H382" t="str">
        <f>IF(ISBLANK([1]!ScoutingData[[#This Row],[autoSpeakerScore]]),"",[1]!ScoutingData[[#This Row],[autoSpeakerScore]])</f>
        <v/>
      </c>
    </row>
    <row r="383" spans="1:8" x14ac:dyDescent="0.45">
      <c r="A383" t="str">
        <f>IF(ISBLANK([1]!ScoutingData[[#This Row],[teamNumber]]),"",[1]!ScoutingData[[#This Row],[teamNumber]])</f>
        <v/>
      </c>
      <c r="B383" t="str">
        <f>IF(ISBLANK([1]!ScoutingData[[#This Row],[matchLevel]]),"",[1]!ScoutingData[[#This Row],[matchLevel]])</f>
        <v/>
      </c>
      <c r="C383" t="str">
        <f>IF(ISBLANK([1]!ScoutingData[[#This Row],[matchNumber]]),"",[1]!ScoutingData[[#This Row],[matchNumber]])</f>
        <v/>
      </c>
      <c r="D383" t="str">
        <f>IF(ISBLANK([1]!ScoutingData[[#This Row],[event]]),"",[1]!ScoutingData[[#This Row],[event]])</f>
        <v/>
      </c>
      <c r="E383" t="str">
        <f>IF(ISBLANK([1]!ScoutingData[[#This Row],[position]]),"",[1]!ScoutingData[[#This Row],[position]])</f>
        <v/>
      </c>
      <c r="F383" t="str">
        <f>IF(ISBLANK([1]!ScoutingData[[#This Row],[leaveStartingZone]]),"",[1]!ScoutingData[[#This Row],[leaveStartingZone]])</f>
        <v/>
      </c>
      <c r="G383" t="str">
        <f>IF(ISBLANK([1]!ScoutingData[[#This Row],[autoAmpScore]]),"",[1]!ScoutingData[[#This Row],[autoAmpScore]])</f>
        <v/>
      </c>
      <c r="H383" t="str">
        <f>IF(ISBLANK([1]!ScoutingData[[#This Row],[autoSpeakerScore]]),"",[1]!ScoutingData[[#This Row],[autoSpeakerScore]])</f>
        <v/>
      </c>
    </row>
    <row r="384" spans="1:8" x14ac:dyDescent="0.45">
      <c r="A384" t="str">
        <f>IF(ISBLANK([1]!ScoutingData[[#This Row],[teamNumber]]),"",[1]!ScoutingData[[#This Row],[teamNumber]])</f>
        <v/>
      </c>
      <c r="B384" t="str">
        <f>IF(ISBLANK([1]!ScoutingData[[#This Row],[matchLevel]]),"",[1]!ScoutingData[[#This Row],[matchLevel]])</f>
        <v/>
      </c>
      <c r="C384" t="str">
        <f>IF(ISBLANK([1]!ScoutingData[[#This Row],[matchNumber]]),"",[1]!ScoutingData[[#This Row],[matchNumber]])</f>
        <v/>
      </c>
      <c r="D384" t="str">
        <f>IF(ISBLANK([1]!ScoutingData[[#This Row],[event]]),"",[1]!ScoutingData[[#This Row],[event]])</f>
        <v/>
      </c>
      <c r="E384" t="str">
        <f>IF(ISBLANK([1]!ScoutingData[[#This Row],[position]]),"",[1]!ScoutingData[[#This Row],[position]])</f>
        <v/>
      </c>
      <c r="F384" t="str">
        <f>IF(ISBLANK([1]!ScoutingData[[#This Row],[leaveStartingZone]]),"",[1]!ScoutingData[[#This Row],[leaveStartingZone]])</f>
        <v/>
      </c>
      <c r="G384" t="str">
        <f>IF(ISBLANK([1]!ScoutingData[[#This Row],[autoAmpScore]]),"",[1]!ScoutingData[[#This Row],[autoAmpScore]])</f>
        <v/>
      </c>
      <c r="H384" t="str">
        <f>IF(ISBLANK([1]!ScoutingData[[#This Row],[autoSpeakerScore]]),"",[1]!ScoutingData[[#This Row],[autoSpeakerScore]])</f>
        <v/>
      </c>
    </row>
    <row r="385" spans="1:8" x14ac:dyDescent="0.45">
      <c r="A385" t="str">
        <f>IF(ISBLANK([1]!ScoutingData[[#This Row],[teamNumber]]),"",[1]!ScoutingData[[#This Row],[teamNumber]])</f>
        <v/>
      </c>
      <c r="B385" t="str">
        <f>IF(ISBLANK([1]!ScoutingData[[#This Row],[matchLevel]]),"",[1]!ScoutingData[[#This Row],[matchLevel]])</f>
        <v/>
      </c>
      <c r="C385" t="str">
        <f>IF(ISBLANK([1]!ScoutingData[[#This Row],[matchNumber]]),"",[1]!ScoutingData[[#This Row],[matchNumber]])</f>
        <v/>
      </c>
      <c r="D385" t="str">
        <f>IF(ISBLANK([1]!ScoutingData[[#This Row],[event]]),"",[1]!ScoutingData[[#This Row],[event]])</f>
        <v/>
      </c>
      <c r="E385" t="str">
        <f>IF(ISBLANK([1]!ScoutingData[[#This Row],[position]]),"",[1]!ScoutingData[[#This Row],[position]])</f>
        <v/>
      </c>
      <c r="F385" t="str">
        <f>IF(ISBLANK([1]!ScoutingData[[#This Row],[leaveStartingZone]]),"",[1]!ScoutingData[[#This Row],[leaveStartingZone]])</f>
        <v/>
      </c>
      <c r="G385" t="str">
        <f>IF(ISBLANK([1]!ScoutingData[[#This Row],[autoAmpScore]]),"",[1]!ScoutingData[[#This Row],[autoAmpScore]])</f>
        <v/>
      </c>
      <c r="H385" t="str">
        <f>IF(ISBLANK([1]!ScoutingData[[#This Row],[autoSpeakerScore]]),"",[1]!ScoutingData[[#This Row],[autoSpeakerScore]])</f>
        <v/>
      </c>
    </row>
    <row r="386" spans="1:8" x14ac:dyDescent="0.45">
      <c r="A386" t="str">
        <f>IF(ISBLANK([1]!ScoutingData[[#This Row],[teamNumber]]),"",[1]!ScoutingData[[#This Row],[teamNumber]])</f>
        <v/>
      </c>
      <c r="B386" t="str">
        <f>IF(ISBLANK([1]!ScoutingData[[#This Row],[matchLevel]]),"",[1]!ScoutingData[[#This Row],[matchLevel]])</f>
        <v/>
      </c>
      <c r="C386" t="str">
        <f>IF(ISBLANK([1]!ScoutingData[[#This Row],[matchNumber]]),"",[1]!ScoutingData[[#This Row],[matchNumber]])</f>
        <v/>
      </c>
      <c r="D386" t="str">
        <f>IF(ISBLANK([1]!ScoutingData[[#This Row],[event]]),"",[1]!ScoutingData[[#This Row],[event]])</f>
        <v/>
      </c>
      <c r="E386" t="str">
        <f>IF(ISBLANK([1]!ScoutingData[[#This Row],[position]]),"",[1]!ScoutingData[[#This Row],[position]])</f>
        <v/>
      </c>
      <c r="F386" t="str">
        <f>IF(ISBLANK([1]!ScoutingData[[#This Row],[leaveStartingZone]]),"",[1]!ScoutingData[[#This Row],[leaveStartingZone]])</f>
        <v/>
      </c>
      <c r="G386" t="str">
        <f>IF(ISBLANK([1]!ScoutingData[[#This Row],[autoAmpScore]]),"",[1]!ScoutingData[[#This Row],[autoAmpScore]])</f>
        <v/>
      </c>
      <c r="H386" t="str">
        <f>IF(ISBLANK([1]!ScoutingData[[#This Row],[autoSpeakerScore]]),"",[1]!ScoutingData[[#This Row],[autoSpeakerScore]])</f>
        <v/>
      </c>
    </row>
    <row r="387" spans="1:8" x14ac:dyDescent="0.45">
      <c r="A387" t="str">
        <f>IF(ISBLANK([1]!ScoutingData[[#This Row],[teamNumber]]),"",[1]!ScoutingData[[#This Row],[teamNumber]])</f>
        <v/>
      </c>
      <c r="B387" t="str">
        <f>IF(ISBLANK([1]!ScoutingData[[#This Row],[matchLevel]]),"",[1]!ScoutingData[[#This Row],[matchLevel]])</f>
        <v/>
      </c>
      <c r="C387" t="str">
        <f>IF(ISBLANK([1]!ScoutingData[[#This Row],[matchNumber]]),"",[1]!ScoutingData[[#This Row],[matchNumber]])</f>
        <v/>
      </c>
      <c r="D387" t="str">
        <f>IF(ISBLANK([1]!ScoutingData[[#This Row],[event]]),"",[1]!ScoutingData[[#This Row],[event]])</f>
        <v/>
      </c>
      <c r="E387" t="str">
        <f>IF(ISBLANK([1]!ScoutingData[[#This Row],[position]]),"",[1]!ScoutingData[[#This Row],[position]])</f>
        <v/>
      </c>
      <c r="F387" t="str">
        <f>IF(ISBLANK([1]!ScoutingData[[#This Row],[leaveStartingZone]]),"",[1]!ScoutingData[[#This Row],[leaveStartingZone]])</f>
        <v/>
      </c>
      <c r="G387" t="str">
        <f>IF(ISBLANK([1]!ScoutingData[[#This Row],[autoAmpScore]]),"",[1]!ScoutingData[[#This Row],[autoAmpScore]])</f>
        <v/>
      </c>
      <c r="H387" t="str">
        <f>IF(ISBLANK([1]!ScoutingData[[#This Row],[autoSpeakerScore]]),"",[1]!ScoutingData[[#This Row],[autoSpeakerScore]])</f>
        <v/>
      </c>
    </row>
    <row r="388" spans="1:8" x14ac:dyDescent="0.45">
      <c r="A388" t="str">
        <f>IF(ISBLANK([1]!ScoutingData[[#This Row],[teamNumber]]),"",[1]!ScoutingData[[#This Row],[teamNumber]])</f>
        <v/>
      </c>
      <c r="B388" t="str">
        <f>IF(ISBLANK([1]!ScoutingData[[#This Row],[matchLevel]]),"",[1]!ScoutingData[[#This Row],[matchLevel]])</f>
        <v/>
      </c>
      <c r="C388" t="str">
        <f>IF(ISBLANK([1]!ScoutingData[[#This Row],[matchNumber]]),"",[1]!ScoutingData[[#This Row],[matchNumber]])</f>
        <v/>
      </c>
      <c r="D388" t="str">
        <f>IF(ISBLANK([1]!ScoutingData[[#This Row],[event]]),"",[1]!ScoutingData[[#This Row],[event]])</f>
        <v/>
      </c>
      <c r="E388" t="str">
        <f>IF(ISBLANK([1]!ScoutingData[[#This Row],[position]]),"",[1]!ScoutingData[[#This Row],[position]])</f>
        <v/>
      </c>
      <c r="F388" t="str">
        <f>IF(ISBLANK([1]!ScoutingData[[#This Row],[leaveStartingZone]]),"",[1]!ScoutingData[[#This Row],[leaveStartingZone]])</f>
        <v/>
      </c>
      <c r="G388" t="str">
        <f>IF(ISBLANK([1]!ScoutingData[[#This Row],[autoAmpScore]]),"",[1]!ScoutingData[[#This Row],[autoAmpScore]])</f>
        <v/>
      </c>
      <c r="H388" t="str">
        <f>IF(ISBLANK([1]!ScoutingData[[#This Row],[autoSpeakerScore]]),"",[1]!ScoutingData[[#This Row],[autoSpeakerScore]])</f>
        <v/>
      </c>
    </row>
    <row r="389" spans="1:8" x14ac:dyDescent="0.45">
      <c r="A389" t="str">
        <f>IF(ISBLANK([1]!ScoutingData[[#This Row],[teamNumber]]),"",[1]!ScoutingData[[#This Row],[teamNumber]])</f>
        <v/>
      </c>
      <c r="B389" t="str">
        <f>IF(ISBLANK([1]!ScoutingData[[#This Row],[matchLevel]]),"",[1]!ScoutingData[[#This Row],[matchLevel]])</f>
        <v/>
      </c>
      <c r="C389" t="str">
        <f>IF(ISBLANK([1]!ScoutingData[[#This Row],[matchNumber]]),"",[1]!ScoutingData[[#This Row],[matchNumber]])</f>
        <v/>
      </c>
      <c r="D389" t="str">
        <f>IF(ISBLANK([1]!ScoutingData[[#This Row],[event]]),"",[1]!ScoutingData[[#This Row],[event]])</f>
        <v/>
      </c>
      <c r="E389" t="str">
        <f>IF(ISBLANK([1]!ScoutingData[[#This Row],[position]]),"",[1]!ScoutingData[[#This Row],[position]])</f>
        <v/>
      </c>
      <c r="F389" t="str">
        <f>IF(ISBLANK([1]!ScoutingData[[#This Row],[leaveStartingZone]]),"",[1]!ScoutingData[[#This Row],[leaveStartingZone]])</f>
        <v/>
      </c>
      <c r="G389" t="str">
        <f>IF(ISBLANK([1]!ScoutingData[[#This Row],[autoAmpScore]]),"",[1]!ScoutingData[[#This Row],[autoAmpScore]])</f>
        <v/>
      </c>
      <c r="H389" t="str">
        <f>IF(ISBLANK([1]!ScoutingData[[#This Row],[autoSpeakerScore]]),"",[1]!ScoutingData[[#This Row],[autoSpeakerScore]])</f>
        <v/>
      </c>
    </row>
    <row r="390" spans="1:8" x14ac:dyDescent="0.45">
      <c r="A390" t="str">
        <f>IF(ISBLANK([1]!ScoutingData[[#This Row],[teamNumber]]),"",[1]!ScoutingData[[#This Row],[teamNumber]])</f>
        <v/>
      </c>
      <c r="B390" t="str">
        <f>IF(ISBLANK([1]!ScoutingData[[#This Row],[matchLevel]]),"",[1]!ScoutingData[[#This Row],[matchLevel]])</f>
        <v/>
      </c>
      <c r="C390" t="str">
        <f>IF(ISBLANK([1]!ScoutingData[[#This Row],[matchNumber]]),"",[1]!ScoutingData[[#This Row],[matchNumber]])</f>
        <v/>
      </c>
      <c r="D390" t="str">
        <f>IF(ISBLANK([1]!ScoutingData[[#This Row],[event]]),"",[1]!ScoutingData[[#This Row],[event]])</f>
        <v/>
      </c>
      <c r="E390" t="str">
        <f>IF(ISBLANK([1]!ScoutingData[[#This Row],[position]]),"",[1]!ScoutingData[[#This Row],[position]])</f>
        <v/>
      </c>
      <c r="F390" t="str">
        <f>IF(ISBLANK([1]!ScoutingData[[#This Row],[leaveStartingZone]]),"",[1]!ScoutingData[[#This Row],[leaveStartingZone]])</f>
        <v/>
      </c>
      <c r="G390" t="str">
        <f>IF(ISBLANK([1]!ScoutingData[[#This Row],[autoAmpScore]]),"",[1]!ScoutingData[[#This Row],[autoAmpScore]])</f>
        <v/>
      </c>
      <c r="H390" t="str">
        <f>IF(ISBLANK([1]!ScoutingData[[#This Row],[autoSpeakerScore]]),"",[1]!ScoutingData[[#This Row],[autoSpeakerScore]])</f>
        <v/>
      </c>
    </row>
    <row r="391" spans="1:8" x14ac:dyDescent="0.45">
      <c r="A391" t="str">
        <f>IF(ISBLANK([1]!ScoutingData[[#This Row],[teamNumber]]),"",[1]!ScoutingData[[#This Row],[teamNumber]])</f>
        <v/>
      </c>
      <c r="B391" t="str">
        <f>IF(ISBLANK([1]!ScoutingData[[#This Row],[matchLevel]]),"",[1]!ScoutingData[[#This Row],[matchLevel]])</f>
        <v/>
      </c>
      <c r="C391" t="str">
        <f>IF(ISBLANK([1]!ScoutingData[[#This Row],[matchNumber]]),"",[1]!ScoutingData[[#This Row],[matchNumber]])</f>
        <v/>
      </c>
      <c r="D391" t="str">
        <f>IF(ISBLANK([1]!ScoutingData[[#This Row],[event]]),"",[1]!ScoutingData[[#This Row],[event]])</f>
        <v/>
      </c>
      <c r="E391" t="str">
        <f>IF(ISBLANK([1]!ScoutingData[[#This Row],[position]]),"",[1]!ScoutingData[[#This Row],[position]])</f>
        <v/>
      </c>
      <c r="F391" t="str">
        <f>IF(ISBLANK([1]!ScoutingData[[#This Row],[leaveStartingZone]]),"",[1]!ScoutingData[[#This Row],[leaveStartingZone]])</f>
        <v/>
      </c>
      <c r="G391" t="str">
        <f>IF(ISBLANK([1]!ScoutingData[[#This Row],[autoAmpScore]]),"",[1]!ScoutingData[[#This Row],[autoAmpScore]])</f>
        <v/>
      </c>
      <c r="H391" t="str">
        <f>IF(ISBLANK([1]!ScoutingData[[#This Row],[autoSpeakerScore]]),"",[1]!ScoutingData[[#This Row],[autoSpeakerScore]])</f>
        <v/>
      </c>
    </row>
    <row r="392" spans="1:8" x14ac:dyDescent="0.45">
      <c r="A392" t="str">
        <f>IF(ISBLANK([1]!ScoutingData[[#This Row],[teamNumber]]),"",[1]!ScoutingData[[#This Row],[teamNumber]])</f>
        <v/>
      </c>
      <c r="B392" t="str">
        <f>IF(ISBLANK([1]!ScoutingData[[#This Row],[matchLevel]]),"",[1]!ScoutingData[[#This Row],[matchLevel]])</f>
        <v/>
      </c>
      <c r="C392" t="str">
        <f>IF(ISBLANK([1]!ScoutingData[[#This Row],[matchNumber]]),"",[1]!ScoutingData[[#This Row],[matchNumber]])</f>
        <v/>
      </c>
      <c r="D392" t="str">
        <f>IF(ISBLANK([1]!ScoutingData[[#This Row],[event]]),"",[1]!ScoutingData[[#This Row],[event]])</f>
        <v/>
      </c>
      <c r="E392" t="str">
        <f>IF(ISBLANK([1]!ScoutingData[[#This Row],[position]]),"",[1]!ScoutingData[[#This Row],[position]])</f>
        <v/>
      </c>
      <c r="F392" t="str">
        <f>IF(ISBLANK([1]!ScoutingData[[#This Row],[leaveStartingZone]]),"",[1]!ScoutingData[[#This Row],[leaveStartingZone]])</f>
        <v/>
      </c>
      <c r="G392" t="str">
        <f>IF(ISBLANK([1]!ScoutingData[[#This Row],[autoAmpScore]]),"",[1]!ScoutingData[[#This Row],[autoAmpScore]])</f>
        <v/>
      </c>
      <c r="H392" t="str">
        <f>IF(ISBLANK([1]!ScoutingData[[#This Row],[autoSpeakerScore]]),"",[1]!ScoutingData[[#This Row],[autoSpeakerScore]])</f>
        <v/>
      </c>
    </row>
    <row r="393" spans="1:8" x14ac:dyDescent="0.45">
      <c r="A393" t="str">
        <f>IF(ISBLANK([1]!ScoutingData[[#This Row],[teamNumber]]),"",[1]!ScoutingData[[#This Row],[teamNumber]])</f>
        <v/>
      </c>
      <c r="B393" t="str">
        <f>IF(ISBLANK([1]!ScoutingData[[#This Row],[matchLevel]]),"",[1]!ScoutingData[[#This Row],[matchLevel]])</f>
        <v/>
      </c>
      <c r="C393" t="str">
        <f>IF(ISBLANK([1]!ScoutingData[[#This Row],[matchNumber]]),"",[1]!ScoutingData[[#This Row],[matchNumber]])</f>
        <v/>
      </c>
      <c r="D393" t="str">
        <f>IF(ISBLANK([1]!ScoutingData[[#This Row],[event]]),"",[1]!ScoutingData[[#This Row],[event]])</f>
        <v/>
      </c>
      <c r="E393" t="str">
        <f>IF(ISBLANK([1]!ScoutingData[[#This Row],[position]]),"",[1]!ScoutingData[[#This Row],[position]])</f>
        <v/>
      </c>
      <c r="F393" t="str">
        <f>IF(ISBLANK([1]!ScoutingData[[#This Row],[leaveStartingZone]]),"",[1]!ScoutingData[[#This Row],[leaveStartingZone]])</f>
        <v/>
      </c>
      <c r="G393" t="str">
        <f>IF(ISBLANK([1]!ScoutingData[[#This Row],[autoAmpScore]]),"",[1]!ScoutingData[[#This Row],[autoAmpScore]])</f>
        <v/>
      </c>
      <c r="H393" t="str">
        <f>IF(ISBLANK([1]!ScoutingData[[#This Row],[autoSpeakerScore]]),"",[1]!ScoutingData[[#This Row],[autoSpeakerScore]])</f>
        <v/>
      </c>
    </row>
    <row r="394" spans="1:8" x14ac:dyDescent="0.45">
      <c r="A394" t="str">
        <f>IF(ISBLANK([1]!ScoutingData[[#This Row],[teamNumber]]),"",[1]!ScoutingData[[#This Row],[teamNumber]])</f>
        <v/>
      </c>
      <c r="B394" t="str">
        <f>IF(ISBLANK([1]!ScoutingData[[#This Row],[matchLevel]]),"",[1]!ScoutingData[[#This Row],[matchLevel]])</f>
        <v/>
      </c>
      <c r="C394" t="str">
        <f>IF(ISBLANK([1]!ScoutingData[[#This Row],[matchNumber]]),"",[1]!ScoutingData[[#This Row],[matchNumber]])</f>
        <v/>
      </c>
      <c r="D394" t="str">
        <f>IF(ISBLANK([1]!ScoutingData[[#This Row],[event]]),"",[1]!ScoutingData[[#This Row],[event]])</f>
        <v/>
      </c>
      <c r="E394" t="str">
        <f>IF(ISBLANK([1]!ScoutingData[[#This Row],[position]]),"",[1]!ScoutingData[[#This Row],[position]])</f>
        <v/>
      </c>
      <c r="F394" t="str">
        <f>IF(ISBLANK([1]!ScoutingData[[#This Row],[leaveStartingZone]]),"",[1]!ScoutingData[[#This Row],[leaveStartingZone]])</f>
        <v/>
      </c>
      <c r="G394" t="str">
        <f>IF(ISBLANK([1]!ScoutingData[[#This Row],[autoAmpScore]]),"",[1]!ScoutingData[[#This Row],[autoAmpScore]])</f>
        <v/>
      </c>
      <c r="H394" t="str">
        <f>IF(ISBLANK([1]!ScoutingData[[#This Row],[autoSpeakerScore]]),"",[1]!ScoutingData[[#This Row],[autoSpeakerScore]])</f>
        <v/>
      </c>
    </row>
    <row r="395" spans="1:8" x14ac:dyDescent="0.45">
      <c r="A395" t="str">
        <f>IF(ISBLANK([1]!ScoutingData[[#This Row],[teamNumber]]),"",[1]!ScoutingData[[#This Row],[teamNumber]])</f>
        <v/>
      </c>
      <c r="B395" t="str">
        <f>IF(ISBLANK([1]!ScoutingData[[#This Row],[matchLevel]]),"",[1]!ScoutingData[[#This Row],[matchLevel]])</f>
        <v/>
      </c>
      <c r="C395" t="str">
        <f>IF(ISBLANK([1]!ScoutingData[[#This Row],[matchNumber]]),"",[1]!ScoutingData[[#This Row],[matchNumber]])</f>
        <v/>
      </c>
      <c r="D395" t="str">
        <f>IF(ISBLANK([1]!ScoutingData[[#This Row],[event]]),"",[1]!ScoutingData[[#This Row],[event]])</f>
        <v/>
      </c>
      <c r="E395" t="str">
        <f>IF(ISBLANK([1]!ScoutingData[[#This Row],[position]]),"",[1]!ScoutingData[[#This Row],[position]])</f>
        <v/>
      </c>
      <c r="F395" t="str">
        <f>IF(ISBLANK([1]!ScoutingData[[#This Row],[leaveStartingZone]]),"",[1]!ScoutingData[[#This Row],[leaveStartingZone]])</f>
        <v/>
      </c>
      <c r="G395" t="str">
        <f>IF(ISBLANK([1]!ScoutingData[[#This Row],[autoAmpScore]]),"",[1]!ScoutingData[[#This Row],[autoAmpScore]])</f>
        <v/>
      </c>
      <c r="H395" t="str">
        <f>IF(ISBLANK([1]!ScoutingData[[#This Row],[autoSpeakerScore]]),"",[1]!ScoutingData[[#This Row],[autoSpeakerScore]])</f>
        <v/>
      </c>
    </row>
    <row r="396" spans="1:8" x14ac:dyDescent="0.45">
      <c r="A396" t="str">
        <f>IF(ISBLANK([1]!ScoutingData[[#This Row],[teamNumber]]),"",[1]!ScoutingData[[#This Row],[teamNumber]])</f>
        <v/>
      </c>
      <c r="B396" t="str">
        <f>IF(ISBLANK([1]!ScoutingData[[#This Row],[matchLevel]]),"",[1]!ScoutingData[[#This Row],[matchLevel]])</f>
        <v/>
      </c>
      <c r="C396" t="str">
        <f>IF(ISBLANK([1]!ScoutingData[[#This Row],[matchNumber]]),"",[1]!ScoutingData[[#This Row],[matchNumber]])</f>
        <v/>
      </c>
      <c r="D396" t="str">
        <f>IF(ISBLANK([1]!ScoutingData[[#This Row],[event]]),"",[1]!ScoutingData[[#This Row],[event]])</f>
        <v/>
      </c>
      <c r="E396" t="str">
        <f>IF(ISBLANK([1]!ScoutingData[[#This Row],[position]]),"",[1]!ScoutingData[[#This Row],[position]])</f>
        <v/>
      </c>
      <c r="F396" t="str">
        <f>IF(ISBLANK([1]!ScoutingData[[#This Row],[leaveStartingZone]]),"",[1]!ScoutingData[[#This Row],[leaveStartingZone]])</f>
        <v/>
      </c>
      <c r="G396" t="str">
        <f>IF(ISBLANK([1]!ScoutingData[[#This Row],[autoAmpScore]]),"",[1]!ScoutingData[[#This Row],[autoAmpScore]])</f>
        <v/>
      </c>
      <c r="H396" t="str">
        <f>IF(ISBLANK([1]!ScoutingData[[#This Row],[autoSpeakerScore]]),"",[1]!ScoutingData[[#This Row],[autoSpeakerScore]])</f>
        <v/>
      </c>
    </row>
    <row r="397" spans="1:8" x14ac:dyDescent="0.45">
      <c r="A397" t="str">
        <f>IF(ISBLANK([1]!ScoutingData[[#This Row],[teamNumber]]),"",[1]!ScoutingData[[#This Row],[teamNumber]])</f>
        <v/>
      </c>
      <c r="B397" t="str">
        <f>IF(ISBLANK([1]!ScoutingData[[#This Row],[matchLevel]]),"",[1]!ScoutingData[[#This Row],[matchLevel]])</f>
        <v/>
      </c>
      <c r="C397" t="str">
        <f>IF(ISBLANK([1]!ScoutingData[[#This Row],[matchNumber]]),"",[1]!ScoutingData[[#This Row],[matchNumber]])</f>
        <v/>
      </c>
      <c r="D397" t="str">
        <f>IF(ISBLANK([1]!ScoutingData[[#This Row],[event]]),"",[1]!ScoutingData[[#This Row],[event]])</f>
        <v/>
      </c>
      <c r="E397" t="str">
        <f>IF(ISBLANK([1]!ScoutingData[[#This Row],[position]]),"",[1]!ScoutingData[[#This Row],[position]])</f>
        <v/>
      </c>
      <c r="F397" t="str">
        <f>IF(ISBLANK([1]!ScoutingData[[#This Row],[leaveStartingZone]]),"",[1]!ScoutingData[[#This Row],[leaveStartingZone]])</f>
        <v/>
      </c>
      <c r="G397" t="str">
        <f>IF(ISBLANK([1]!ScoutingData[[#This Row],[autoAmpScore]]),"",[1]!ScoutingData[[#This Row],[autoAmpScore]])</f>
        <v/>
      </c>
      <c r="H397" t="str">
        <f>IF(ISBLANK([1]!ScoutingData[[#This Row],[autoSpeakerScore]]),"",[1]!ScoutingData[[#This Row],[autoSpeakerScore]])</f>
        <v/>
      </c>
    </row>
    <row r="398" spans="1:8" x14ac:dyDescent="0.45">
      <c r="A398" t="str">
        <f>IF(ISBLANK([1]!ScoutingData[[#This Row],[teamNumber]]),"",[1]!ScoutingData[[#This Row],[teamNumber]])</f>
        <v/>
      </c>
      <c r="B398" t="str">
        <f>IF(ISBLANK([1]!ScoutingData[[#This Row],[matchLevel]]),"",[1]!ScoutingData[[#This Row],[matchLevel]])</f>
        <v/>
      </c>
      <c r="C398" t="str">
        <f>IF(ISBLANK([1]!ScoutingData[[#This Row],[matchNumber]]),"",[1]!ScoutingData[[#This Row],[matchNumber]])</f>
        <v/>
      </c>
      <c r="D398" t="str">
        <f>IF(ISBLANK([1]!ScoutingData[[#This Row],[event]]),"",[1]!ScoutingData[[#This Row],[event]])</f>
        <v/>
      </c>
      <c r="E398" t="str">
        <f>IF(ISBLANK([1]!ScoutingData[[#This Row],[position]]),"",[1]!ScoutingData[[#This Row],[position]])</f>
        <v/>
      </c>
      <c r="F398" t="str">
        <f>IF(ISBLANK([1]!ScoutingData[[#This Row],[leaveStartingZone]]),"",[1]!ScoutingData[[#This Row],[leaveStartingZone]])</f>
        <v/>
      </c>
      <c r="G398" t="str">
        <f>IF(ISBLANK([1]!ScoutingData[[#This Row],[autoAmpScore]]),"",[1]!ScoutingData[[#This Row],[autoAmpScore]])</f>
        <v/>
      </c>
      <c r="H398" t="str">
        <f>IF(ISBLANK([1]!ScoutingData[[#This Row],[autoSpeakerScore]]),"",[1]!ScoutingData[[#This Row],[autoSpeakerScore]])</f>
        <v/>
      </c>
    </row>
    <row r="399" spans="1:8" x14ac:dyDescent="0.45">
      <c r="A399" t="str">
        <f>IF(ISBLANK([1]!ScoutingData[[#This Row],[teamNumber]]),"",[1]!ScoutingData[[#This Row],[teamNumber]])</f>
        <v/>
      </c>
      <c r="B399" t="str">
        <f>IF(ISBLANK([1]!ScoutingData[[#This Row],[matchLevel]]),"",[1]!ScoutingData[[#This Row],[matchLevel]])</f>
        <v/>
      </c>
      <c r="C399" t="str">
        <f>IF(ISBLANK([1]!ScoutingData[[#This Row],[matchNumber]]),"",[1]!ScoutingData[[#This Row],[matchNumber]])</f>
        <v/>
      </c>
      <c r="D399" t="str">
        <f>IF(ISBLANK([1]!ScoutingData[[#This Row],[event]]),"",[1]!ScoutingData[[#This Row],[event]])</f>
        <v/>
      </c>
      <c r="E399" t="str">
        <f>IF(ISBLANK([1]!ScoutingData[[#This Row],[position]]),"",[1]!ScoutingData[[#This Row],[position]])</f>
        <v/>
      </c>
      <c r="F399" t="str">
        <f>IF(ISBLANK([1]!ScoutingData[[#This Row],[leaveStartingZone]]),"",[1]!ScoutingData[[#This Row],[leaveStartingZone]])</f>
        <v/>
      </c>
      <c r="G399" t="str">
        <f>IF(ISBLANK([1]!ScoutingData[[#This Row],[autoAmpScore]]),"",[1]!ScoutingData[[#This Row],[autoAmpScore]])</f>
        <v/>
      </c>
      <c r="H399" t="str">
        <f>IF(ISBLANK([1]!ScoutingData[[#This Row],[autoSpeakerScore]]),"",[1]!ScoutingData[[#This Row],[autoSpeakerScore]])</f>
        <v/>
      </c>
    </row>
    <row r="400" spans="1:8" x14ac:dyDescent="0.45">
      <c r="A400" t="str">
        <f>IF(ISBLANK([1]!ScoutingData[[#This Row],[teamNumber]]),"",[1]!ScoutingData[[#This Row],[teamNumber]])</f>
        <v/>
      </c>
      <c r="B400" t="str">
        <f>IF(ISBLANK([1]!ScoutingData[[#This Row],[matchLevel]]),"",[1]!ScoutingData[[#This Row],[matchLevel]])</f>
        <v/>
      </c>
      <c r="C400" t="str">
        <f>IF(ISBLANK([1]!ScoutingData[[#This Row],[matchNumber]]),"",[1]!ScoutingData[[#This Row],[matchNumber]])</f>
        <v/>
      </c>
      <c r="D400" t="str">
        <f>IF(ISBLANK([1]!ScoutingData[[#This Row],[event]]),"",[1]!ScoutingData[[#This Row],[event]])</f>
        <v/>
      </c>
      <c r="E400" t="str">
        <f>IF(ISBLANK([1]!ScoutingData[[#This Row],[position]]),"",[1]!ScoutingData[[#This Row],[position]])</f>
        <v/>
      </c>
      <c r="F400" t="str">
        <f>IF(ISBLANK([1]!ScoutingData[[#This Row],[leaveStartingZone]]),"",[1]!ScoutingData[[#This Row],[leaveStartingZone]])</f>
        <v/>
      </c>
      <c r="G400" t="str">
        <f>IF(ISBLANK([1]!ScoutingData[[#This Row],[autoAmpScore]]),"",[1]!ScoutingData[[#This Row],[autoAmpScore]])</f>
        <v/>
      </c>
      <c r="H400" t="str">
        <f>IF(ISBLANK([1]!ScoutingData[[#This Row],[autoSpeakerScore]]),"",[1]!ScoutingData[[#This Row],[autoSpeakerScore]])</f>
        <v/>
      </c>
    </row>
    <row r="401" spans="1:8" x14ac:dyDescent="0.45">
      <c r="A401" t="str">
        <f>IF(ISBLANK([1]!ScoutingData[[#This Row],[teamNumber]]),"",[1]!ScoutingData[[#This Row],[teamNumber]])</f>
        <v/>
      </c>
      <c r="B401" t="str">
        <f>IF(ISBLANK([1]!ScoutingData[[#This Row],[matchLevel]]),"",[1]!ScoutingData[[#This Row],[matchLevel]])</f>
        <v/>
      </c>
      <c r="C401" t="str">
        <f>IF(ISBLANK([1]!ScoutingData[[#This Row],[matchNumber]]),"",[1]!ScoutingData[[#This Row],[matchNumber]])</f>
        <v/>
      </c>
      <c r="D401" t="str">
        <f>IF(ISBLANK([1]!ScoutingData[[#This Row],[event]]),"",[1]!ScoutingData[[#This Row],[event]])</f>
        <v/>
      </c>
      <c r="E401" t="str">
        <f>IF(ISBLANK([1]!ScoutingData[[#This Row],[position]]),"",[1]!ScoutingData[[#This Row],[position]])</f>
        <v/>
      </c>
      <c r="F401" t="str">
        <f>IF(ISBLANK([1]!ScoutingData[[#This Row],[leaveStartingZone]]),"",[1]!ScoutingData[[#This Row],[leaveStartingZone]])</f>
        <v/>
      </c>
      <c r="G401" t="str">
        <f>IF(ISBLANK([1]!ScoutingData[[#This Row],[autoAmpScore]]),"",[1]!ScoutingData[[#This Row],[autoAmpScore]])</f>
        <v/>
      </c>
      <c r="H401" t="str">
        <f>IF(ISBLANK([1]!ScoutingData[[#This Row],[autoSpeakerScore]]),"",[1]!ScoutingData[[#This Row],[autoSpeakerScore]])</f>
        <v/>
      </c>
    </row>
    <row r="402" spans="1:8" x14ac:dyDescent="0.45">
      <c r="A402" t="str">
        <f>IF(ISBLANK([1]!ScoutingData[[#This Row],[teamNumber]]),"",[1]!ScoutingData[[#This Row],[teamNumber]])</f>
        <v/>
      </c>
      <c r="B402" t="str">
        <f>IF(ISBLANK([1]!ScoutingData[[#This Row],[matchLevel]]),"",[1]!ScoutingData[[#This Row],[matchLevel]])</f>
        <v/>
      </c>
      <c r="C402" t="str">
        <f>IF(ISBLANK([1]!ScoutingData[[#This Row],[matchNumber]]),"",[1]!ScoutingData[[#This Row],[matchNumber]])</f>
        <v/>
      </c>
      <c r="D402" t="str">
        <f>IF(ISBLANK([1]!ScoutingData[[#This Row],[event]]),"",[1]!ScoutingData[[#This Row],[event]])</f>
        <v/>
      </c>
      <c r="E402" t="str">
        <f>IF(ISBLANK([1]!ScoutingData[[#This Row],[position]]),"",[1]!ScoutingData[[#This Row],[position]])</f>
        <v/>
      </c>
      <c r="F402" t="str">
        <f>IF(ISBLANK([1]!ScoutingData[[#This Row],[leaveStartingZone]]),"",[1]!ScoutingData[[#This Row],[leaveStartingZone]])</f>
        <v/>
      </c>
      <c r="G402" t="str">
        <f>IF(ISBLANK([1]!ScoutingData[[#This Row],[autoAmpScore]]),"",[1]!ScoutingData[[#This Row],[autoAmpScore]])</f>
        <v/>
      </c>
      <c r="H402" t="str">
        <f>IF(ISBLANK([1]!ScoutingData[[#This Row],[autoSpeakerScore]]),"",[1]!ScoutingData[[#This Row],[autoSpeakerScore]])</f>
        <v/>
      </c>
    </row>
    <row r="403" spans="1:8" x14ac:dyDescent="0.45">
      <c r="A403" t="str">
        <f>IF(ISBLANK([1]!ScoutingData[[#This Row],[teamNumber]]),"",[1]!ScoutingData[[#This Row],[teamNumber]])</f>
        <v/>
      </c>
      <c r="B403" t="str">
        <f>IF(ISBLANK([1]!ScoutingData[[#This Row],[matchLevel]]),"",[1]!ScoutingData[[#This Row],[matchLevel]])</f>
        <v/>
      </c>
      <c r="C403" t="str">
        <f>IF(ISBLANK([1]!ScoutingData[[#This Row],[matchNumber]]),"",[1]!ScoutingData[[#This Row],[matchNumber]])</f>
        <v/>
      </c>
      <c r="D403" t="str">
        <f>IF(ISBLANK([1]!ScoutingData[[#This Row],[event]]),"",[1]!ScoutingData[[#This Row],[event]])</f>
        <v/>
      </c>
      <c r="E403" t="str">
        <f>IF(ISBLANK([1]!ScoutingData[[#This Row],[position]]),"",[1]!ScoutingData[[#This Row],[position]])</f>
        <v/>
      </c>
      <c r="F403" t="str">
        <f>IF(ISBLANK([1]!ScoutingData[[#This Row],[leaveStartingZone]]),"",[1]!ScoutingData[[#This Row],[leaveStartingZone]])</f>
        <v/>
      </c>
      <c r="G403" t="str">
        <f>IF(ISBLANK([1]!ScoutingData[[#This Row],[autoAmpScore]]),"",[1]!ScoutingData[[#This Row],[autoAmpScore]])</f>
        <v/>
      </c>
      <c r="H403" t="str">
        <f>IF(ISBLANK([1]!ScoutingData[[#This Row],[autoSpeakerScore]]),"",[1]!ScoutingData[[#This Row],[autoSpeakerScore]])</f>
        <v/>
      </c>
    </row>
    <row r="404" spans="1:8" x14ac:dyDescent="0.45">
      <c r="A404" t="str">
        <f>IF(ISBLANK([1]!ScoutingData[[#This Row],[teamNumber]]),"",[1]!ScoutingData[[#This Row],[teamNumber]])</f>
        <v/>
      </c>
      <c r="B404" t="str">
        <f>IF(ISBLANK([1]!ScoutingData[[#This Row],[matchLevel]]),"",[1]!ScoutingData[[#This Row],[matchLevel]])</f>
        <v/>
      </c>
      <c r="C404" t="str">
        <f>IF(ISBLANK([1]!ScoutingData[[#This Row],[matchNumber]]),"",[1]!ScoutingData[[#This Row],[matchNumber]])</f>
        <v/>
      </c>
      <c r="D404" t="str">
        <f>IF(ISBLANK([1]!ScoutingData[[#This Row],[event]]),"",[1]!ScoutingData[[#This Row],[event]])</f>
        <v/>
      </c>
      <c r="E404" t="str">
        <f>IF(ISBLANK([1]!ScoutingData[[#This Row],[position]]),"",[1]!ScoutingData[[#This Row],[position]])</f>
        <v/>
      </c>
      <c r="F404" t="str">
        <f>IF(ISBLANK([1]!ScoutingData[[#This Row],[leaveStartingZone]]),"",[1]!ScoutingData[[#This Row],[leaveStartingZone]])</f>
        <v/>
      </c>
      <c r="G404" t="str">
        <f>IF(ISBLANK([1]!ScoutingData[[#This Row],[autoAmpScore]]),"",[1]!ScoutingData[[#This Row],[autoAmpScore]])</f>
        <v/>
      </c>
      <c r="H404" t="str">
        <f>IF(ISBLANK([1]!ScoutingData[[#This Row],[autoSpeakerScore]]),"",[1]!ScoutingData[[#This Row],[autoSpeakerScore]])</f>
        <v/>
      </c>
    </row>
    <row r="405" spans="1:8" x14ac:dyDescent="0.45">
      <c r="A405" t="str">
        <f>IF(ISBLANK([1]!ScoutingData[[#This Row],[teamNumber]]),"",[1]!ScoutingData[[#This Row],[teamNumber]])</f>
        <v/>
      </c>
      <c r="B405" t="str">
        <f>IF(ISBLANK([1]!ScoutingData[[#This Row],[matchLevel]]),"",[1]!ScoutingData[[#This Row],[matchLevel]])</f>
        <v/>
      </c>
      <c r="C405" t="str">
        <f>IF(ISBLANK([1]!ScoutingData[[#This Row],[matchNumber]]),"",[1]!ScoutingData[[#This Row],[matchNumber]])</f>
        <v/>
      </c>
      <c r="D405" t="str">
        <f>IF(ISBLANK([1]!ScoutingData[[#This Row],[event]]),"",[1]!ScoutingData[[#This Row],[event]])</f>
        <v/>
      </c>
      <c r="E405" t="str">
        <f>IF(ISBLANK([1]!ScoutingData[[#This Row],[position]]),"",[1]!ScoutingData[[#This Row],[position]])</f>
        <v/>
      </c>
      <c r="F405" t="str">
        <f>IF(ISBLANK([1]!ScoutingData[[#This Row],[leaveStartingZone]]),"",[1]!ScoutingData[[#This Row],[leaveStartingZone]])</f>
        <v/>
      </c>
      <c r="G405" t="str">
        <f>IF(ISBLANK([1]!ScoutingData[[#This Row],[autoAmpScore]]),"",[1]!ScoutingData[[#This Row],[autoAmpScore]])</f>
        <v/>
      </c>
      <c r="H405" t="str">
        <f>IF(ISBLANK([1]!ScoutingData[[#This Row],[autoSpeakerScore]]),"",[1]!ScoutingData[[#This Row],[autoSpeakerScore]])</f>
        <v/>
      </c>
    </row>
    <row r="406" spans="1:8" x14ac:dyDescent="0.45">
      <c r="A406" t="str">
        <f>IF(ISBLANK([1]!ScoutingData[[#This Row],[teamNumber]]),"",[1]!ScoutingData[[#This Row],[teamNumber]])</f>
        <v/>
      </c>
      <c r="B406" t="str">
        <f>IF(ISBLANK([1]!ScoutingData[[#This Row],[matchLevel]]),"",[1]!ScoutingData[[#This Row],[matchLevel]])</f>
        <v/>
      </c>
      <c r="C406" t="str">
        <f>IF(ISBLANK([1]!ScoutingData[[#This Row],[matchNumber]]),"",[1]!ScoutingData[[#This Row],[matchNumber]])</f>
        <v/>
      </c>
      <c r="D406" t="str">
        <f>IF(ISBLANK([1]!ScoutingData[[#This Row],[event]]),"",[1]!ScoutingData[[#This Row],[event]])</f>
        <v/>
      </c>
      <c r="E406" t="str">
        <f>IF(ISBLANK([1]!ScoutingData[[#This Row],[position]]),"",[1]!ScoutingData[[#This Row],[position]])</f>
        <v/>
      </c>
      <c r="F406" t="str">
        <f>IF(ISBLANK([1]!ScoutingData[[#This Row],[leaveStartingZone]]),"",[1]!ScoutingData[[#This Row],[leaveStartingZone]])</f>
        <v/>
      </c>
      <c r="G406" t="str">
        <f>IF(ISBLANK([1]!ScoutingData[[#This Row],[autoAmpScore]]),"",[1]!ScoutingData[[#This Row],[autoAmpScore]])</f>
        <v/>
      </c>
      <c r="H406" t="str">
        <f>IF(ISBLANK([1]!ScoutingData[[#This Row],[autoSpeakerScore]]),"",[1]!ScoutingData[[#This Row],[autoSpeakerScore]])</f>
        <v/>
      </c>
    </row>
    <row r="407" spans="1:8" x14ac:dyDescent="0.45">
      <c r="A407" t="str">
        <f>IF(ISBLANK([1]!ScoutingData[[#This Row],[teamNumber]]),"",[1]!ScoutingData[[#This Row],[teamNumber]])</f>
        <v/>
      </c>
      <c r="B407" t="str">
        <f>IF(ISBLANK([1]!ScoutingData[[#This Row],[matchLevel]]),"",[1]!ScoutingData[[#This Row],[matchLevel]])</f>
        <v/>
      </c>
      <c r="C407" t="str">
        <f>IF(ISBLANK([1]!ScoutingData[[#This Row],[matchNumber]]),"",[1]!ScoutingData[[#This Row],[matchNumber]])</f>
        <v/>
      </c>
      <c r="D407" t="str">
        <f>IF(ISBLANK([1]!ScoutingData[[#This Row],[event]]),"",[1]!ScoutingData[[#This Row],[event]])</f>
        <v/>
      </c>
      <c r="E407" t="str">
        <f>IF(ISBLANK([1]!ScoutingData[[#This Row],[position]]),"",[1]!ScoutingData[[#This Row],[position]])</f>
        <v/>
      </c>
      <c r="F407" t="str">
        <f>IF(ISBLANK([1]!ScoutingData[[#This Row],[leaveStartingZone]]),"",[1]!ScoutingData[[#This Row],[leaveStartingZone]])</f>
        <v/>
      </c>
      <c r="G407" t="str">
        <f>IF(ISBLANK([1]!ScoutingData[[#This Row],[autoAmpScore]]),"",[1]!ScoutingData[[#This Row],[autoAmpScore]])</f>
        <v/>
      </c>
      <c r="H407" t="str">
        <f>IF(ISBLANK([1]!ScoutingData[[#This Row],[autoSpeakerScore]]),"",[1]!ScoutingData[[#This Row],[autoSpeakerScore]])</f>
        <v/>
      </c>
    </row>
    <row r="408" spans="1:8" x14ac:dyDescent="0.45">
      <c r="A408" t="str">
        <f>IF(ISBLANK([1]!ScoutingData[[#This Row],[teamNumber]]),"",[1]!ScoutingData[[#This Row],[teamNumber]])</f>
        <v/>
      </c>
      <c r="B408" t="str">
        <f>IF(ISBLANK([1]!ScoutingData[[#This Row],[matchLevel]]),"",[1]!ScoutingData[[#This Row],[matchLevel]])</f>
        <v/>
      </c>
      <c r="C408" t="str">
        <f>IF(ISBLANK([1]!ScoutingData[[#This Row],[matchNumber]]),"",[1]!ScoutingData[[#This Row],[matchNumber]])</f>
        <v/>
      </c>
      <c r="D408" t="str">
        <f>IF(ISBLANK([1]!ScoutingData[[#This Row],[event]]),"",[1]!ScoutingData[[#This Row],[event]])</f>
        <v/>
      </c>
      <c r="E408" t="str">
        <f>IF(ISBLANK([1]!ScoutingData[[#This Row],[position]]),"",[1]!ScoutingData[[#This Row],[position]])</f>
        <v/>
      </c>
      <c r="F408" t="str">
        <f>IF(ISBLANK([1]!ScoutingData[[#This Row],[leaveStartingZone]]),"",[1]!ScoutingData[[#This Row],[leaveStartingZone]])</f>
        <v/>
      </c>
      <c r="G408" t="str">
        <f>IF(ISBLANK([1]!ScoutingData[[#This Row],[autoAmpScore]]),"",[1]!ScoutingData[[#This Row],[autoAmpScore]])</f>
        <v/>
      </c>
      <c r="H408" t="str">
        <f>IF(ISBLANK([1]!ScoutingData[[#This Row],[autoSpeakerScore]]),"",[1]!ScoutingData[[#This Row],[autoSpeakerScore]])</f>
        <v/>
      </c>
    </row>
    <row r="409" spans="1:8" x14ac:dyDescent="0.45">
      <c r="A409" t="str">
        <f>IF(ISBLANK([1]!ScoutingData[[#This Row],[teamNumber]]),"",[1]!ScoutingData[[#This Row],[teamNumber]])</f>
        <v/>
      </c>
      <c r="B409" t="str">
        <f>IF(ISBLANK([1]!ScoutingData[[#This Row],[matchLevel]]),"",[1]!ScoutingData[[#This Row],[matchLevel]])</f>
        <v/>
      </c>
      <c r="C409" t="str">
        <f>IF(ISBLANK([1]!ScoutingData[[#This Row],[matchNumber]]),"",[1]!ScoutingData[[#This Row],[matchNumber]])</f>
        <v/>
      </c>
      <c r="D409" t="str">
        <f>IF(ISBLANK([1]!ScoutingData[[#This Row],[event]]),"",[1]!ScoutingData[[#This Row],[event]])</f>
        <v/>
      </c>
      <c r="E409" t="str">
        <f>IF(ISBLANK([1]!ScoutingData[[#This Row],[position]]),"",[1]!ScoutingData[[#This Row],[position]])</f>
        <v/>
      </c>
      <c r="F409" t="str">
        <f>IF(ISBLANK([1]!ScoutingData[[#This Row],[leaveStartingZone]]),"",[1]!ScoutingData[[#This Row],[leaveStartingZone]])</f>
        <v/>
      </c>
      <c r="G409" t="str">
        <f>IF(ISBLANK([1]!ScoutingData[[#This Row],[autoAmpScore]]),"",[1]!ScoutingData[[#This Row],[autoAmpScore]])</f>
        <v/>
      </c>
      <c r="H409" t="str">
        <f>IF(ISBLANK([1]!ScoutingData[[#This Row],[autoSpeakerScore]]),"",[1]!ScoutingData[[#This Row],[autoSpeakerScore]])</f>
        <v/>
      </c>
    </row>
    <row r="410" spans="1:8" x14ac:dyDescent="0.45">
      <c r="A410" t="str">
        <f>IF(ISBLANK([1]!ScoutingData[[#This Row],[teamNumber]]),"",[1]!ScoutingData[[#This Row],[teamNumber]])</f>
        <v/>
      </c>
      <c r="B410" t="str">
        <f>IF(ISBLANK([1]!ScoutingData[[#This Row],[matchLevel]]),"",[1]!ScoutingData[[#This Row],[matchLevel]])</f>
        <v/>
      </c>
      <c r="C410" t="str">
        <f>IF(ISBLANK([1]!ScoutingData[[#This Row],[matchNumber]]),"",[1]!ScoutingData[[#This Row],[matchNumber]])</f>
        <v/>
      </c>
      <c r="D410" t="str">
        <f>IF(ISBLANK([1]!ScoutingData[[#This Row],[event]]),"",[1]!ScoutingData[[#This Row],[event]])</f>
        <v/>
      </c>
      <c r="E410" t="str">
        <f>IF(ISBLANK([1]!ScoutingData[[#This Row],[position]]),"",[1]!ScoutingData[[#This Row],[position]])</f>
        <v/>
      </c>
      <c r="F410" t="str">
        <f>IF(ISBLANK([1]!ScoutingData[[#This Row],[leaveStartingZone]]),"",[1]!ScoutingData[[#This Row],[leaveStartingZone]])</f>
        <v/>
      </c>
      <c r="G410" t="str">
        <f>IF(ISBLANK([1]!ScoutingData[[#This Row],[autoAmpScore]]),"",[1]!ScoutingData[[#This Row],[autoAmpScore]])</f>
        <v/>
      </c>
      <c r="H410" t="str">
        <f>IF(ISBLANK([1]!ScoutingData[[#This Row],[autoSpeakerScore]]),"",[1]!ScoutingData[[#This Row],[autoSpeakerScore]])</f>
        <v/>
      </c>
    </row>
    <row r="411" spans="1:8" x14ac:dyDescent="0.45">
      <c r="A411" t="str">
        <f>IF(ISBLANK([1]!ScoutingData[[#This Row],[teamNumber]]),"",[1]!ScoutingData[[#This Row],[teamNumber]])</f>
        <v/>
      </c>
      <c r="B411" t="str">
        <f>IF(ISBLANK([1]!ScoutingData[[#This Row],[matchLevel]]),"",[1]!ScoutingData[[#This Row],[matchLevel]])</f>
        <v/>
      </c>
      <c r="C411" t="str">
        <f>IF(ISBLANK([1]!ScoutingData[[#This Row],[matchNumber]]),"",[1]!ScoutingData[[#This Row],[matchNumber]])</f>
        <v/>
      </c>
      <c r="D411" t="str">
        <f>IF(ISBLANK([1]!ScoutingData[[#This Row],[event]]),"",[1]!ScoutingData[[#This Row],[event]])</f>
        <v/>
      </c>
      <c r="E411" t="str">
        <f>IF(ISBLANK([1]!ScoutingData[[#This Row],[position]]),"",[1]!ScoutingData[[#This Row],[position]])</f>
        <v/>
      </c>
      <c r="F411" t="str">
        <f>IF(ISBLANK([1]!ScoutingData[[#This Row],[leaveStartingZone]]),"",[1]!ScoutingData[[#This Row],[leaveStartingZone]])</f>
        <v/>
      </c>
      <c r="G411" t="str">
        <f>IF(ISBLANK([1]!ScoutingData[[#This Row],[autoAmpScore]]),"",[1]!ScoutingData[[#This Row],[autoAmpScore]])</f>
        <v/>
      </c>
      <c r="H411" t="str">
        <f>IF(ISBLANK([1]!ScoutingData[[#This Row],[autoSpeakerScore]]),"",[1]!ScoutingData[[#This Row],[autoSpeakerScore]])</f>
        <v/>
      </c>
    </row>
    <row r="412" spans="1:8" x14ac:dyDescent="0.45">
      <c r="A412" t="str">
        <f>IF(ISBLANK([1]!ScoutingData[[#This Row],[teamNumber]]),"",[1]!ScoutingData[[#This Row],[teamNumber]])</f>
        <v/>
      </c>
      <c r="B412" t="str">
        <f>IF(ISBLANK([1]!ScoutingData[[#This Row],[matchLevel]]),"",[1]!ScoutingData[[#This Row],[matchLevel]])</f>
        <v/>
      </c>
      <c r="C412" t="str">
        <f>IF(ISBLANK([1]!ScoutingData[[#This Row],[matchNumber]]),"",[1]!ScoutingData[[#This Row],[matchNumber]])</f>
        <v/>
      </c>
      <c r="D412" t="str">
        <f>IF(ISBLANK([1]!ScoutingData[[#This Row],[event]]),"",[1]!ScoutingData[[#This Row],[event]])</f>
        <v/>
      </c>
      <c r="E412" t="str">
        <f>IF(ISBLANK([1]!ScoutingData[[#This Row],[position]]),"",[1]!ScoutingData[[#This Row],[position]])</f>
        <v/>
      </c>
      <c r="F412" t="str">
        <f>IF(ISBLANK([1]!ScoutingData[[#This Row],[leaveStartingZone]]),"",[1]!ScoutingData[[#This Row],[leaveStartingZone]])</f>
        <v/>
      </c>
      <c r="G412" t="str">
        <f>IF(ISBLANK([1]!ScoutingData[[#This Row],[autoAmpScore]]),"",[1]!ScoutingData[[#This Row],[autoAmpScore]])</f>
        <v/>
      </c>
      <c r="H412" t="str">
        <f>IF(ISBLANK([1]!ScoutingData[[#This Row],[autoSpeakerScore]]),"",[1]!ScoutingData[[#This Row],[autoSpeakerScore]])</f>
        <v/>
      </c>
    </row>
    <row r="413" spans="1:8" x14ac:dyDescent="0.45">
      <c r="A413" t="str">
        <f>IF(ISBLANK([1]!ScoutingData[[#This Row],[teamNumber]]),"",[1]!ScoutingData[[#This Row],[teamNumber]])</f>
        <v/>
      </c>
      <c r="B413" t="str">
        <f>IF(ISBLANK([1]!ScoutingData[[#This Row],[matchLevel]]),"",[1]!ScoutingData[[#This Row],[matchLevel]])</f>
        <v/>
      </c>
      <c r="C413" t="str">
        <f>IF(ISBLANK([1]!ScoutingData[[#This Row],[matchNumber]]),"",[1]!ScoutingData[[#This Row],[matchNumber]])</f>
        <v/>
      </c>
      <c r="D413" t="str">
        <f>IF(ISBLANK([1]!ScoutingData[[#This Row],[event]]),"",[1]!ScoutingData[[#This Row],[event]])</f>
        <v/>
      </c>
      <c r="E413" t="str">
        <f>IF(ISBLANK([1]!ScoutingData[[#This Row],[position]]),"",[1]!ScoutingData[[#This Row],[position]])</f>
        <v/>
      </c>
      <c r="F413" t="str">
        <f>IF(ISBLANK([1]!ScoutingData[[#This Row],[leaveStartingZone]]),"",[1]!ScoutingData[[#This Row],[leaveStartingZone]])</f>
        <v/>
      </c>
      <c r="G413" t="str">
        <f>IF(ISBLANK([1]!ScoutingData[[#This Row],[autoAmpScore]]),"",[1]!ScoutingData[[#This Row],[autoAmpScore]])</f>
        <v/>
      </c>
      <c r="H413" t="str">
        <f>IF(ISBLANK([1]!ScoutingData[[#This Row],[autoSpeakerScore]]),"",[1]!ScoutingData[[#This Row],[autoSpeakerScore]])</f>
        <v/>
      </c>
    </row>
    <row r="414" spans="1:8" x14ac:dyDescent="0.45">
      <c r="A414" t="str">
        <f>IF(ISBLANK([1]!ScoutingData[[#This Row],[teamNumber]]),"",[1]!ScoutingData[[#This Row],[teamNumber]])</f>
        <v/>
      </c>
      <c r="B414" t="str">
        <f>IF(ISBLANK([1]!ScoutingData[[#This Row],[matchLevel]]),"",[1]!ScoutingData[[#This Row],[matchLevel]])</f>
        <v/>
      </c>
      <c r="C414" t="str">
        <f>IF(ISBLANK([1]!ScoutingData[[#This Row],[matchNumber]]),"",[1]!ScoutingData[[#This Row],[matchNumber]])</f>
        <v/>
      </c>
      <c r="D414" t="str">
        <f>IF(ISBLANK([1]!ScoutingData[[#This Row],[event]]),"",[1]!ScoutingData[[#This Row],[event]])</f>
        <v/>
      </c>
      <c r="E414" t="str">
        <f>IF(ISBLANK([1]!ScoutingData[[#This Row],[position]]),"",[1]!ScoutingData[[#This Row],[position]])</f>
        <v/>
      </c>
      <c r="F414" t="str">
        <f>IF(ISBLANK([1]!ScoutingData[[#This Row],[leaveStartingZone]]),"",[1]!ScoutingData[[#This Row],[leaveStartingZone]])</f>
        <v/>
      </c>
      <c r="G414" t="str">
        <f>IF(ISBLANK([1]!ScoutingData[[#This Row],[autoAmpScore]]),"",[1]!ScoutingData[[#This Row],[autoAmpScore]])</f>
        <v/>
      </c>
      <c r="H414" t="str">
        <f>IF(ISBLANK([1]!ScoutingData[[#This Row],[autoSpeakerScore]]),"",[1]!ScoutingData[[#This Row],[autoSpeakerScore]])</f>
        <v/>
      </c>
    </row>
    <row r="415" spans="1:8" x14ac:dyDescent="0.45">
      <c r="A415" t="str">
        <f>IF(ISBLANK([1]!ScoutingData[[#This Row],[teamNumber]]),"",[1]!ScoutingData[[#This Row],[teamNumber]])</f>
        <v/>
      </c>
      <c r="B415" t="str">
        <f>IF(ISBLANK([1]!ScoutingData[[#This Row],[matchLevel]]),"",[1]!ScoutingData[[#This Row],[matchLevel]])</f>
        <v/>
      </c>
      <c r="C415" t="str">
        <f>IF(ISBLANK([1]!ScoutingData[[#This Row],[matchNumber]]),"",[1]!ScoutingData[[#This Row],[matchNumber]])</f>
        <v/>
      </c>
      <c r="D415" t="str">
        <f>IF(ISBLANK([1]!ScoutingData[[#This Row],[event]]),"",[1]!ScoutingData[[#This Row],[event]])</f>
        <v/>
      </c>
      <c r="E415" t="str">
        <f>IF(ISBLANK([1]!ScoutingData[[#This Row],[position]]),"",[1]!ScoutingData[[#This Row],[position]])</f>
        <v/>
      </c>
      <c r="F415" t="str">
        <f>IF(ISBLANK([1]!ScoutingData[[#This Row],[leaveStartingZone]]),"",[1]!ScoutingData[[#This Row],[leaveStartingZone]])</f>
        <v/>
      </c>
      <c r="G415" t="str">
        <f>IF(ISBLANK([1]!ScoutingData[[#This Row],[autoAmpScore]]),"",[1]!ScoutingData[[#This Row],[autoAmpScore]])</f>
        <v/>
      </c>
      <c r="H415" t="str">
        <f>IF(ISBLANK([1]!ScoutingData[[#This Row],[autoSpeakerScore]]),"",[1]!ScoutingData[[#This Row],[autoSpeakerScore]])</f>
        <v/>
      </c>
    </row>
    <row r="416" spans="1:8" x14ac:dyDescent="0.45">
      <c r="A416" t="str">
        <f>IF(ISBLANK([1]!ScoutingData[[#This Row],[teamNumber]]),"",[1]!ScoutingData[[#This Row],[teamNumber]])</f>
        <v/>
      </c>
      <c r="B416" t="str">
        <f>IF(ISBLANK([1]!ScoutingData[[#This Row],[matchLevel]]),"",[1]!ScoutingData[[#This Row],[matchLevel]])</f>
        <v/>
      </c>
      <c r="C416" t="str">
        <f>IF(ISBLANK([1]!ScoutingData[[#This Row],[matchNumber]]),"",[1]!ScoutingData[[#This Row],[matchNumber]])</f>
        <v/>
      </c>
      <c r="D416" t="str">
        <f>IF(ISBLANK([1]!ScoutingData[[#This Row],[event]]),"",[1]!ScoutingData[[#This Row],[event]])</f>
        <v/>
      </c>
      <c r="E416" t="str">
        <f>IF(ISBLANK([1]!ScoutingData[[#This Row],[position]]),"",[1]!ScoutingData[[#This Row],[position]])</f>
        <v/>
      </c>
      <c r="F416" t="str">
        <f>IF(ISBLANK([1]!ScoutingData[[#This Row],[leaveStartingZone]]),"",[1]!ScoutingData[[#This Row],[leaveStartingZone]])</f>
        <v/>
      </c>
      <c r="G416" t="str">
        <f>IF(ISBLANK([1]!ScoutingData[[#This Row],[autoAmpScore]]),"",[1]!ScoutingData[[#This Row],[autoAmpScore]])</f>
        <v/>
      </c>
      <c r="H416" t="str">
        <f>IF(ISBLANK([1]!ScoutingData[[#This Row],[autoSpeakerScore]]),"",[1]!ScoutingData[[#This Row],[autoSpeakerScore]])</f>
        <v/>
      </c>
    </row>
    <row r="417" spans="1:8" x14ac:dyDescent="0.45">
      <c r="A417" t="str">
        <f>IF(ISBLANK([1]!ScoutingData[[#This Row],[teamNumber]]),"",[1]!ScoutingData[[#This Row],[teamNumber]])</f>
        <v/>
      </c>
      <c r="B417" t="str">
        <f>IF(ISBLANK([1]!ScoutingData[[#This Row],[matchLevel]]),"",[1]!ScoutingData[[#This Row],[matchLevel]])</f>
        <v/>
      </c>
      <c r="C417" t="str">
        <f>IF(ISBLANK([1]!ScoutingData[[#This Row],[matchNumber]]),"",[1]!ScoutingData[[#This Row],[matchNumber]])</f>
        <v/>
      </c>
      <c r="D417" t="str">
        <f>IF(ISBLANK([1]!ScoutingData[[#This Row],[event]]),"",[1]!ScoutingData[[#This Row],[event]])</f>
        <v/>
      </c>
      <c r="E417" t="str">
        <f>IF(ISBLANK([1]!ScoutingData[[#This Row],[position]]),"",[1]!ScoutingData[[#This Row],[position]])</f>
        <v/>
      </c>
      <c r="F417" t="str">
        <f>IF(ISBLANK([1]!ScoutingData[[#This Row],[leaveStartingZone]]),"",[1]!ScoutingData[[#This Row],[leaveStartingZone]])</f>
        <v/>
      </c>
      <c r="G417" t="str">
        <f>IF(ISBLANK([1]!ScoutingData[[#This Row],[autoAmpScore]]),"",[1]!ScoutingData[[#This Row],[autoAmpScore]])</f>
        <v/>
      </c>
      <c r="H417" t="str">
        <f>IF(ISBLANK([1]!ScoutingData[[#This Row],[autoSpeakerScore]]),"",[1]!ScoutingData[[#This Row],[autoSpeakerScore]])</f>
        <v/>
      </c>
    </row>
    <row r="418" spans="1:8" x14ac:dyDescent="0.45">
      <c r="A418" t="str">
        <f>IF(ISBLANK([1]!ScoutingData[[#This Row],[teamNumber]]),"",[1]!ScoutingData[[#This Row],[teamNumber]])</f>
        <v/>
      </c>
      <c r="B418" t="str">
        <f>IF(ISBLANK([1]!ScoutingData[[#This Row],[matchLevel]]),"",[1]!ScoutingData[[#This Row],[matchLevel]])</f>
        <v/>
      </c>
      <c r="C418" t="str">
        <f>IF(ISBLANK([1]!ScoutingData[[#This Row],[matchNumber]]),"",[1]!ScoutingData[[#This Row],[matchNumber]])</f>
        <v/>
      </c>
      <c r="D418" t="str">
        <f>IF(ISBLANK([1]!ScoutingData[[#This Row],[event]]),"",[1]!ScoutingData[[#This Row],[event]])</f>
        <v/>
      </c>
      <c r="E418" t="str">
        <f>IF(ISBLANK([1]!ScoutingData[[#This Row],[position]]),"",[1]!ScoutingData[[#This Row],[position]])</f>
        <v/>
      </c>
      <c r="F418" t="str">
        <f>IF(ISBLANK([1]!ScoutingData[[#This Row],[leaveStartingZone]]),"",[1]!ScoutingData[[#This Row],[leaveStartingZone]])</f>
        <v/>
      </c>
      <c r="G418" t="str">
        <f>IF(ISBLANK([1]!ScoutingData[[#This Row],[autoAmpScore]]),"",[1]!ScoutingData[[#This Row],[autoAmpScore]])</f>
        <v/>
      </c>
      <c r="H418" t="str">
        <f>IF(ISBLANK([1]!ScoutingData[[#This Row],[autoSpeakerScore]]),"",[1]!ScoutingData[[#This Row],[autoSpeakerScore]])</f>
        <v/>
      </c>
    </row>
    <row r="419" spans="1:8" x14ac:dyDescent="0.45">
      <c r="A419" t="str">
        <f>IF(ISBLANK([1]!ScoutingData[[#This Row],[teamNumber]]),"",[1]!ScoutingData[[#This Row],[teamNumber]])</f>
        <v/>
      </c>
      <c r="B419" t="str">
        <f>IF(ISBLANK([1]!ScoutingData[[#This Row],[matchLevel]]),"",[1]!ScoutingData[[#This Row],[matchLevel]])</f>
        <v/>
      </c>
      <c r="C419" t="str">
        <f>IF(ISBLANK([1]!ScoutingData[[#This Row],[matchNumber]]),"",[1]!ScoutingData[[#This Row],[matchNumber]])</f>
        <v/>
      </c>
      <c r="D419" t="str">
        <f>IF(ISBLANK([1]!ScoutingData[[#This Row],[event]]),"",[1]!ScoutingData[[#This Row],[event]])</f>
        <v/>
      </c>
      <c r="E419" t="str">
        <f>IF(ISBLANK([1]!ScoutingData[[#This Row],[position]]),"",[1]!ScoutingData[[#This Row],[position]])</f>
        <v/>
      </c>
      <c r="F419" t="str">
        <f>IF(ISBLANK([1]!ScoutingData[[#This Row],[leaveStartingZone]]),"",[1]!ScoutingData[[#This Row],[leaveStartingZone]])</f>
        <v/>
      </c>
      <c r="G419" t="str">
        <f>IF(ISBLANK([1]!ScoutingData[[#This Row],[autoAmpScore]]),"",[1]!ScoutingData[[#This Row],[autoAmpScore]])</f>
        <v/>
      </c>
      <c r="H419" t="str">
        <f>IF(ISBLANK([1]!ScoutingData[[#This Row],[autoSpeakerScore]]),"",[1]!ScoutingData[[#This Row],[autoSpeakerScore]])</f>
        <v/>
      </c>
    </row>
    <row r="420" spans="1:8" x14ac:dyDescent="0.45">
      <c r="A420" t="str">
        <f>IF(ISBLANK([1]!ScoutingData[[#This Row],[teamNumber]]),"",[1]!ScoutingData[[#This Row],[teamNumber]])</f>
        <v/>
      </c>
      <c r="B420" t="str">
        <f>IF(ISBLANK([1]!ScoutingData[[#This Row],[matchLevel]]),"",[1]!ScoutingData[[#This Row],[matchLevel]])</f>
        <v/>
      </c>
      <c r="C420" t="str">
        <f>IF(ISBLANK([1]!ScoutingData[[#This Row],[matchNumber]]),"",[1]!ScoutingData[[#This Row],[matchNumber]])</f>
        <v/>
      </c>
      <c r="D420" t="str">
        <f>IF(ISBLANK([1]!ScoutingData[[#This Row],[event]]),"",[1]!ScoutingData[[#This Row],[event]])</f>
        <v/>
      </c>
      <c r="E420" t="str">
        <f>IF(ISBLANK([1]!ScoutingData[[#This Row],[position]]),"",[1]!ScoutingData[[#This Row],[position]])</f>
        <v/>
      </c>
      <c r="F420" t="str">
        <f>IF(ISBLANK([1]!ScoutingData[[#This Row],[leaveStartingZone]]),"",[1]!ScoutingData[[#This Row],[leaveStartingZone]])</f>
        <v/>
      </c>
      <c r="G420" t="str">
        <f>IF(ISBLANK([1]!ScoutingData[[#This Row],[autoAmpScore]]),"",[1]!ScoutingData[[#This Row],[autoAmpScore]])</f>
        <v/>
      </c>
      <c r="H420" t="str">
        <f>IF(ISBLANK([1]!ScoutingData[[#This Row],[autoSpeakerScore]]),"",[1]!ScoutingData[[#This Row],[autoSpeakerScore]])</f>
        <v/>
      </c>
    </row>
    <row r="421" spans="1:8" x14ac:dyDescent="0.45">
      <c r="A421" t="str">
        <f>IF(ISBLANK([1]!ScoutingData[[#This Row],[teamNumber]]),"",[1]!ScoutingData[[#This Row],[teamNumber]])</f>
        <v/>
      </c>
      <c r="B421" t="str">
        <f>IF(ISBLANK([1]!ScoutingData[[#This Row],[matchLevel]]),"",[1]!ScoutingData[[#This Row],[matchLevel]])</f>
        <v/>
      </c>
      <c r="C421" t="str">
        <f>IF(ISBLANK([1]!ScoutingData[[#This Row],[matchNumber]]),"",[1]!ScoutingData[[#This Row],[matchNumber]])</f>
        <v/>
      </c>
      <c r="D421" t="str">
        <f>IF(ISBLANK([1]!ScoutingData[[#This Row],[event]]),"",[1]!ScoutingData[[#This Row],[event]])</f>
        <v/>
      </c>
      <c r="E421" t="str">
        <f>IF(ISBLANK([1]!ScoutingData[[#This Row],[position]]),"",[1]!ScoutingData[[#This Row],[position]])</f>
        <v/>
      </c>
      <c r="F421" t="str">
        <f>IF(ISBLANK([1]!ScoutingData[[#This Row],[leaveStartingZone]]),"",[1]!ScoutingData[[#This Row],[leaveStartingZone]])</f>
        <v/>
      </c>
      <c r="G421" t="str">
        <f>IF(ISBLANK([1]!ScoutingData[[#This Row],[autoAmpScore]]),"",[1]!ScoutingData[[#This Row],[autoAmpScore]])</f>
        <v/>
      </c>
      <c r="H421" t="str">
        <f>IF(ISBLANK([1]!ScoutingData[[#This Row],[autoSpeakerScore]]),"",[1]!ScoutingData[[#This Row],[autoSpeakerScore]])</f>
        <v/>
      </c>
    </row>
    <row r="422" spans="1:8" x14ac:dyDescent="0.45">
      <c r="A422" t="str">
        <f>IF(ISBLANK([1]!ScoutingData[[#This Row],[teamNumber]]),"",[1]!ScoutingData[[#This Row],[teamNumber]])</f>
        <v/>
      </c>
      <c r="B422" t="str">
        <f>IF(ISBLANK([1]!ScoutingData[[#This Row],[matchLevel]]),"",[1]!ScoutingData[[#This Row],[matchLevel]])</f>
        <v/>
      </c>
      <c r="C422" t="str">
        <f>IF(ISBLANK([1]!ScoutingData[[#This Row],[matchNumber]]),"",[1]!ScoutingData[[#This Row],[matchNumber]])</f>
        <v/>
      </c>
      <c r="D422" t="str">
        <f>IF(ISBLANK([1]!ScoutingData[[#This Row],[event]]),"",[1]!ScoutingData[[#This Row],[event]])</f>
        <v/>
      </c>
      <c r="E422" t="str">
        <f>IF(ISBLANK([1]!ScoutingData[[#This Row],[position]]),"",[1]!ScoutingData[[#This Row],[position]])</f>
        <v/>
      </c>
      <c r="F422" t="str">
        <f>IF(ISBLANK([1]!ScoutingData[[#This Row],[leaveStartingZone]]),"",[1]!ScoutingData[[#This Row],[leaveStartingZone]])</f>
        <v/>
      </c>
      <c r="G422" t="str">
        <f>IF(ISBLANK([1]!ScoutingData[[#This Row],[autoAmpScore]]),"",[1]!ScoutingData[[#This Row],[autoAmpScore]])</f>
        <v/>
      </c>
      <c r="H422" t="str">
        <f>IF(ISBLANK([1]!ScoutingData[[#This Row],[autoSpeakerScore]]),"",[1]!ScoutingData[[#This Row],[autoSpeakerScore]])</f>
        <v/>
      </c>
    </row>
    <row r="423" spans="1:8" x14ac:dyDescent="0.45">
      <c r="A423" t="str">
        <f>IF(ISBLANK([1]!ScoutingData[[#This Row],[teamNumber]]),"",[1]!ScoutingData[[#This Row],[teamNumber]])</f>
        <v/>
      </c>
      <c r="B423" t="str">
        <f>IF(ISBLANK([1]!ScoutingData[[#This Row],[matchLevel]]),"",[1]!ScoutingData[[#This Row],[matchLevel]])</f>
        <v/>
      </c>
      <c r="C423" t="str">
        <f>IF(ISBLANK([1]!ScoutingData[[#This Row],[matchNumber]]),"",[1]!ScoutingData[[#This Row],[matchNumber]])</f>
        <v/>
      </c>
      <c r="D423" t="str">
        <f>IF(ISBLANK([1]!ScoutingData[[#This Row],[event]]),"",[1]!ScoutingData[[#This Row],[event]])</f>
        <v/>
      </c>
      <c r="E423" t="str">
        <f>IF(ISBLANK([1]!ScoutingData[[#This Row],[position]]),"",[1]!ScoutingData[[#This Row],[position]])</f>
        <v/>
      </c>
      <c r="F423" t="str">
        <f>IF(ISBLANK([1]!ScoutingData[[#This Row],[leaveStartingZone]]),"",[1]!ScoutingData[[#This Row],[leaveStartingZone]])</f>
        <v/>
      </c>
      <c r="G423" t="str">
        <f>IF(ISBLANK([1]!ScoutingData[[#This Row],[autoAmpScore]]),"",[1]!ScoutingData[[#This Row],[autoAmpScore]])</f>
        <v/>
      </c>
      <c r="H423" t="str">
        <f>IF(ISBLANK([1]!ScoutingData[[#This Row],[autoSpeakerScore]]),"",[1]!ScoutingData[[#This Row],[autoSpeakerScore]])</f>
        <v/>
      </c>
    </row>
    <row r="424" spans="1:8" x14ac:dyDescent="0.45">
      <c r="A424" t="str">
        <f>IF(ISBLANK([1]!ScoutingData[[#This Row],[teamNumber]]),"",[1]!ScoutingData[[#This Row],[teamNumber]])</f>
        <v/>
      </c>
      <c r="B424" t="str">
        <f>IF(ISBLANK([1]!ScoutingData[[#This Row],[matchLevel]]),"",[1]!ScoutingData[[#This Row],[matchLevel]])</f>
        <v/>
      </c>
      <c r="C424" t="str">
        <f>IF(ISBLANK([1]!ScoutingData[[#This Row],[matchNumber]]),"",[1]!ScoutingData[[#This Row],[matchNumber]])</f>
        <v/>
      </c>
      <c r="D424" t="str">
        <f>IF(ISBLANK([1]!ScoutingData[[#This Row],[event]]),"",[1]!ScoutingData[[#This Row],[event]])</f>
        <v/>
      </c>
      <c r="E424" t="str">
        <f>IF(ISBLANK([1]!ScoutingData[[#This Row],[position]]),"",[1]!ScoutingData[[#This Row],[position]])</f>
        <v/>
      </c>
      <c r="F424" t="str">
        <f>IF(ISBLANK([1]!ScoutingData[[#This Row],[leaveStartingZone]]),"",[1]!ScoutingData[[#This Row],[leaveStartingZone]])</f>
        <v/>
      </c>
      <c r="G424" t="str">
        <f>IF(ISBLANK([1]!ScoutingData[[#This Row],[autoAmpScore]]),"",[1]!ScoutingData[[#This Row],[autoAmpScore]])</f>
        <v/>
      </c>
      <c r="H424" t="str">
        <f>IF(ISBLANK([1]!ScoutingData[[#This Row],[autoSpeakerScore]]),"",[1]!ScoutingData[[#This Row],[autoSpeakerScore]])</f>
        <v/>
      </c>
    </row>
    <row r="425" spans="1:8" x14ac:dyDescent="0.45">
      <c r="A425" t="str">
        <f>IF(ISBLANK([1]!ScoutingData[[#This Row],[teamNumber]]),"",[1]!ScoutingData[[#This Row],[teamNumber]])</f>
        <v/>
      </c>
      <c r="B425" t="str">
        <f>IF(ISBLANK([1]!ScoutingData[[#This Row],[matchLevel]]),"",[1]!ScoutingData[[#This Row],[matchLevel]])</f>
        <v/>
      </c>
      <c r="C425" t="str">
        <f>IF(ISBLANK([1]!ScoutingData[[#This Row],[matchNumber]]),"",[1]!ScoutingData[[#This Row],[matchNumber]])</f>
        <v/>
      </c>
      <c r="D425" t="str">
        <f>IF(ISBLANK([1]!ScoutingData[[#This Row],[event]]),"",[1]!ScoutingData[[#This Row],[event]])</f>
        <v/>
      </c>
      <c r="E425" t="str">
        <f>IF(ISBLANK([1]!ScoutingData[[#This Row],[position]]),"",[1]!ScoutingData[[#This Row],[position]])</f>
        <v/>
      </c>
      <c r="F425" t="str">
        <f>IF(ISBLANK([1]!ScoutingData[[#This Row],[leaveStartingZone]]),"",[1]!ScoutingData[[#This Row],[leaveStartingZone]])</f>
        <v/>
      </c>
      <c r="G425" t="str">
        <f>IF(ISBLANK([1]!ScoutingData[[#This Row],[autoAmpScore]]),"",[1]!ScoutingData[[#This Row],[autoAmpScore]])</f>
        <v/>
      </c>
      <c r="H425" t="str">
        <f>IF(ISBLANK([1]!ScoutingData[[#This Row],[autoSpeakerScore]]),"",[1]!ScoutingData[[#This Row],[autoSpeakerScore]])</f>
        <v/>
      </c>
    </row>
    <row r="426" spans="1:8" x14ac:dyDescent="0.45">
      <c r="A426" t="str">
        <f>IF(ISBLANK([1]!ScoutingData[[#This Row],[teamNumber]]),"",[1]!ScoutingData[[#This Row],[teamNumber]])</f>
        <v/>
      </c>
      <c r="B426" t="str">
        <f>IF(ISBLANK([1]!ScoutingData[[#This Row],[matchLevel]]),"",[1]!ScoutingData[[#This Row],[matchLevel]])</f>
        <v/>
      </c>
      <c r="C426" t="str">
        <f>IF(ISBLANK([1]!ScoutingData[[#This Row],[matchNumber]]),"",[1]!ScoutingData[[#This Row],[matchNumber]])</f>
        <v/>
      </c>
      <c r="D426" t="str">
        <f>IF(ISBLANK([1]!ScoutingData[[#This Row],[event]]),"",[1]!ScoutingData[[#This Row],[event]])</f>
        <v/>
      </c>
      <c r="E426" t="str">
        <f>IF(ISBLANK([1]!ScoutingData[[#This Row],[position]]),"",[1]!ScoutingData[[#This Row],[position]])</f>
        <v/>
      </c>
      <c r="F426" t="str">
        <f>IF(ISBLANK([1]!ScoutingData[[#This Row],[leaveStartingZone]]),"",[1]!ScoutingData[[#This Row],[leaveStartingZone]])</f>
        <v/>
      </c>
      <c r="G426" t="str">
        <f>IF(ISBLANK([1]!ScoutingData[[#This Row],[autoAmpScore]]),"",[1]!ScoutingData[[#This Row],[autoAmpScore]])</f>
        <v/>
      </c>
      <c r="H426" t="str">
        <f>IF(ISBLANK([1]!ScoutingData[[#This Row],[autoSpeakerScore]]),"",[1]!ScoutingData[[#This Row],[autoSpeakerScore]])</f>
        <v/>
      </c>
    </row>
    <row r="427" spans="1:8" x14ac:dyDescent="0.45">
      <c r="A427" t="str">
        <f>IF(ISBLANK([1]!ScoutingData[[#This Row],[teamNumber]]),"",[1]!ScoutingData[[#This Row],[teamNumber]])</f>
        <v/>
      </c>
      <c r="B427" t="str">
        <f>IF(ISBLANK([1]!ScoutingData[[#This Row],[matchLevel]]),"",[1]!ScoutingData[[#This Row],[matchLevel]])</f>
        <v/>
      </c>
      <c r="C427" t="str">
        <f>IF(ISBLANK([1]!ScoutingData[[#This Row],[matchNumber]]),"",[1]!ScoutingData[[#This Row],[matchNumber]])</f>
        <v/>
      </c>
      <c r="D427" t="str">
        <f>IF(ISBLANK([1]!ScoutingData[[#This Row],[event]]),"",[1]!ScoutingData[[#This Row],[event]])</f>
        <v/>
      </c>
      <c r="E427" t="str">
        <f>IF(ISBLANK([1]!ScoutingData[[#This Row],[position]]),"",[1]!ScoutingData[[#This Row],[position]])</f>
        <v/>
      </c>
      <c r="F427" t="str">
        <f>IF(ISBLANK([1]!ScoutingData[[#This Row],[leaveStartingZone]]),"",[1]!ScoutingData[[#This Row],[leaveStartingZone]])</f>
        <v/>
      </c>
      <c r="G427" t="str">
        <f>IF(ISBLANK([1]!ScoutingData[[#This Row],[autoAmpScore]]),"",[1]!ScoutingData[[#This Row],[autoAmpScore]])</f>
        <v/>
      </c>
      <c r="H427" t="str">
        <f>IF(ISBLANK([1]!ScoutingData[[#This Row],[autoSpeakerScore]]),"",[1]!ScoutingData[[#This Row],[autoSpeakerScore]])</f>
        <v/>
      </c>
    </row>
    <row r="428" spans="1:8" x14ac:dyDescent="0.45">
      <c r="A428" t="str">
        <f>IF(ISBLANK([1]!ScoutingData[[#This Row],[teamNumber]]),"",[1]!ScoutingData[[#This Row],[teamNumber]])</f>
        <v/>
      </c>
      <c r="B428" t="str">
        <f>IF(ISBLANK([1]!ScoutingData[[#This Row],[matchLevel]]),"",[1]!ScoutingData[[#This Row],[matchLevel]])</f>
        <v/>
      </c>
      <c r="C428" t="str">
        <f>IF(ISBLANK([1]!ScoutingData[[#This Row],[matchNumber]]),"",[1]!ScoutingData[[#This Row],[matchNumber]])</f>
        <v/>
      </c>
      <c r="D428" t="str">
        <f>IF(ISBLANK([1]!ScoutingData[[#This Row],[event]]),"",[1]!ScoutingData[[#This Row],[event]])</f>
        <v/>
      </c>
      <c r="E428" t="str">
        <f>IF(ISBLANK([1]!ScoutingData[[#This Row],[position]]),"",[1]!ScoutingData[[#This Row],[position]])</f>
        <v/>
      </c>
      <c r="F428" t="str">
        <f>IF(ISBLANK([1]!ScoutingData[[#This Row],[leaveStartingZone]]),"",[1]!ScoutingData[[#This Row],[leaveStartingZone]])</f>
        <v/>
      </c>
      <c r="G428" t="str">
        <f>IF(ISBLANK([1]!ScoutingData[[#This Row],[autoAmpScore]]),"",[1]!ScoutingData[[#This Row],[autoAmpScore]])</f>
        <v/>
      </c>
      <c r="H428" t="str">
        <f>IF(ISBLANK([1]!ScoutingData[[#This Row],[autoSpeakerScore]]),"",[1]!ScoutingData[[#This Row],[autoSpeakerScore]])</f>
        <v/>
      </c>
    </row>
    <row r="429" spans="1:8" x14ac:dyDescent="0.45">
      <c r="A429" t="str">
        <f>IF(ISBLANK([1]!ScoutingData[[#This Row],[teamNumber]]),"",[1]!ScoutingData[[#This Row],[teamNumber]])</f>
        <v/>
      </c>
      <c r="B429" t="str">
        <f>IF(ISBLANK([1]!ScoutingData[[#This Row],[matchLevel]]),"",[1]!ScoutingData[[#This Row],[matchLevel]])</f>
        <v/>
      </c>
      <c r="C429" t="str">
        <f>IF(ISBLANK([1]!ScoutingData[[#This Row],[matchNumber]]),"",[1]!ScoutingData[[#This Row],[matchNumber]])</f>
        <v/>
      </c>
      <c r="D429" t="str">
        <f>IF(ISBLANK([1]!ScoutingData[[#This Row],[event]]),"",[1]!ScoutingData[[#This Row],[event]])</f>
        <v/>
      </c>
      <c r="E429" t="str">
        <f>IF(ISBLANK([1]!ScoutingData[[#This Row],[position]]),"",[1]!ScoutingData[[#This Row],[position]])</f>
        <v/>
      </c>
      <c r="F429" t="str">
        <f>IF(ISBLANK([1]!ScoutingData[[#This Row],[leaveStartingZone]]),"",[1]!ScoutingData[[#This Row],[leaveStartingZone]])</f>
        <v/>
      </c>
      <c r="G429" t="str">
        <f>IF(ISBLANK([1]!ScoutingData[[#This Row],[autoAmpScore]]),"",[1]!ScoutingData[[#This Row],[autoAmpScore]])</f>
        <v/>
      </c>
      <c r="H429" t="str">
        <f>IF(ISBLANK([1]!ScoutingData[[#This Row],[autoSpeakerScore]]),"",[1]!ScoutingData[[#This Row],[autoSpeakerScore]])</f>
        <v/>
      </c>
    </row>
    <row r="430" spans="1:8" x14ac:dyDescent="0.45">
      <c r="A430" t="str">
        <f>IF(ISBLANK([1]!ScoutingData[[#This Row],[teamNumber]]),"",[1]!ScoutingData[[#This Row],[teamNumber]])</f>
        <v/>
      </c>
      <c r="B430" t="str">
        <f>IF(ISBLANK([1]!ScoutingData[[#This Row],[matchLevel]]),"",[1]!ScoutingData[[#This Row],[matchLevel]])</f>
        <v/>
      </c>
      <c r="C430" t="str">
        <f>IF(ISBLANK([1]!ScoutingData[[#This Row],[matchNumber]]),"",[1]!ScoutingData[[#This Row],[matchNumber]])</f>
        <v/>
      </c>
      <c r="D430" t="str">
        <f>IF(ISBLANK([1]!ScoutingData[[#This Row],[event]]),"",[1]!ScoutingData[[#This Row],[event]])</f>
        <v/>
      </c>
      <c r="E430" t="str">
        <f>IF(ISBLANK([1]!ScoutingData[[#This Row],[position]]),"",[1]!ScoutingData[[#This Row],[position]])</f>
        <v/>
      </c>
      <c r="F430" t="str">
        <f>IF(ISBLANK([1]!ScoutingData[[#This Row],[leaveStartingZone]]),"",[1]!ScoutingData[[#This Row],[leaveStartingZone]])</f>
        <v/>
      </c>
      <c r="G430" t="str">
        <f>IF(ISBLANK([1]!ScoutingData[[#This Row],[autoAmpScore]]),"",[1]!ScoutingData[[#This Row],[autoAmpScore]])</f>
        <v/>
      </c>
      <c r="H430" t="str">
        <f>IF(ISBLANK([1]!ScoutingData[[#This Row],[autoSpeakerScore]]),"",[1]!ScoutingData[[#This Row],[autoSpeakerScore]])</f>
        <v/>
      </c>
    </row>
    <row r="431" spans="1:8" x14ac:dyDescent="0.45">
      <c r="A431" t="str">
        <f>IF(ISBLANK([1]!ScoutingData[[#This Row],[teamNumber]]),"",[1]!ScoutingData[[#This Row],[teamNumber]])</f>
        <v/>
      </c>
      <c r="B431" t="str">
        <f>IF(ISBLANK([1]!ScoutingData[[#This Row],[matchLevel]]),"",[1]!ScoutingData[[#This Row],[matchLevel]])</f>
        <v/>
      </c>
      <c r="C431" t="str">
        <f>IF(ISBLANK([1]!ScoutingData[[#This Row],[matchNumber]]),"",[1]!ScoutingData[[#This Row],[matchNumber]])</f>
        <v/>
      </c>
      <c r="D431" t="str">
        <f>IF(ISBLANK([1]!ScoutingData[[#This Row],[event]]),"",[1]!ScoutingData[[#This Row],[event]])</f>
        <v/>
      </c>
      <c r="E431" t="str">
        <f>IF(ISBLANK([1]!ScoutingData[[#This Row],[position]]),"",[1]!ScoutingData[[#This Row],[position]])</f>
        <v/>
      </c>
      <c r="F431" t="str">
        <f>IF(ISBLANK([1]!ScoutingData[[#This Row],[leaveStartingZone]]),"",[1]!ScoutingData[[#This Row],[leaveStartingZone]])</f>
        <v/>
      </c>
      <c r="G431" t="str">
        <f>IF(ISBLANK([1]!ScoutingData[[#This Row],[autoAmpScore]]),"",[1]!ScoutingData[[#This Row],[autoAmpScore]])</f>
        <v/>
      </c>
      <c r="H431" t="str">
        <f>IF(ISBLANK([1]!ScoutingData[[#This Row],[autoSpeakerScore]]),"",[1]!ScoutingData[[#This Row],[autoSpeakerScore]])</f>
        <v/>
      </c>
    </row>
    <row r="432" spans="1:8" x14ac:dyDescent="0.45">
      <c r="A432" t="str">
        <f>IF(ISBLANK([1]!ScoutingData[[#This Row],[teamNumber]]),"",[1]!ScoutingData[[#This Row],[teamNumber]])</f>
        <v/>
      </c>
      <c r="B432" t="str">
        <f>IF(ISBLANK([1]!ScoutingData[[#This Row],[matchLevel]]),"",[1]!ScoutingData[[#This Row],[matchLevel]])</f>
        <v/>
      </c>
      <c r="C432" t="str">
        <f>IF(ISBLANK([1]!ScoutingData[[#This Row],[matchNumber]]),"",[1]!ScoutingData[[#This Row],[matchNumber]])</f>
        <v/>
      </c>
      <c r="D432" t="str">
        <f>IF(ISBLANK([1]!ScoutingData[[#This Row],[event]]),"",[1]!ScoutingData[[#This Row],[event]])</f>
        <v/>
      </c>
      <c r="E432" t="str">
        <f>IF(ISBLANK([1]!ScoutingData[[#This Row],[position]]),"",[1]!ScoutingData[[#This Row],[position]])</f>
        <v/>
      </c>
      <c r="F432" t="str">
        <f>IF(ISBLANK([1]!ScoutingData[[#This Row],[leaveStartingZone]]),"",[1]!ScoutingData[[#This Row],[leaveStartingZone]])</f>
        <v/>
      </c>
      <c r="G432" t="str">
        <f>IF(ISBLANK([1]!ScoutingData[[#This Row],[autoAmpScore]]),"",[1]!ScoutingData[[#This Row],[autoAmpScore]])</f>
        <v/>
      </c>
      <c r="H432" t="str">
        <f>IF(ISBLANK([1]!ScoutingData[[#This Row],[autoSpeakerScore]]),"",[1]!ScoutingData[[#This Row],[autoSpeakerScore]])</f>
        <v/>
      </c>
    </row>
    <row r="433" spans="1:8" x14ac:dyDescent="0.45">
      <c r="A433" t="str">
        <f>IF(ISBLANK([1]!ScoutingData[[#This Row],[teamNumber]]),"",[1]!ScoutingData[[#This Row],[teamNumber]])</f>
        <v/>
      </c>
      <c r="B433" t="str">
        <f>IF(ISBLANK([1]!ScoutingData[[#This Row],[matchLevel]]),"",[1]!ScoutingData[[#This Row],[matchLevel]])</f>
        <v/>
      </c>
      <c r="C433" t="str">
        <f>IF(ISBLANK([1]!ScoutingData[[#This Row],[matchNumber]]),"",[1]!ScoutingData[[#This Row],[matchNumber]])</f>
        <v/>
      </c>
      <c r="D433" t="str">
        <f>IF(ISBLANK([1]!ScoutingData[[#This Row],[event]]),"",[1]!ScoutingData[[#This Row],[event]])</f>
        <v/>
      </c>
      <c r="E433" t="str">
        <f>IF(ISBLANK([1]!ScoutingData[[#This Row],[position]]),"",[1]!ScoutingData[[#This Row],[position]])</f>
        <v/>
      </c>
      <c r="F433" t="str">
        <f>IF(ISBLANK([1]!ScoutingData[[#This Row],[leaveStartingZone]]),"",[1]!ScoutingData[[#This Row],[leaveStartingZone]])</f>
        <v/>
      </c>
      <c r="G433" t="str">
        <f>IF(ISBLANK([1]!ScoutingData[[#This Row],[autoAmpScore]]),"",[1]!ScoutingData[[#This Row],[autoAmpScore]])</f>
        <v/>
      </c>
      <c r="H433" t="str">
        <f>IF(ISBLANK([1]!ScoutingData[[#This Row],[autoSpeakerScore]]),"",[1]!ScoutingData[[#This Row],[autoSpeakerScore]])</f>
        <v/>
      </c>
    </row>
    <row r="434" spans="1:8" x14ac:dyDescent="0.45">
      <c r="A434" t="str">
        <f>IF(ISBLANK([1]!ScoutingData[[#This Row],[teamNumber]]),"",[1]!ScoutingData[[#This Row],[teamNumber]])</f>
        <v/>
      </c>
      <c r="B434" t="str">
        <f>IF(ISBLANK([1]!ScoutingData[[#This Row],[matchLevel]]),"",[1]!ScoutingData[[#This Row],[matchLevel]])</f>
        <v/>
      </c>
      <c r="C434" t="str">
        <f>IF(ISBLANK([1]!ScoutingData[[#This Row],[matchNumber]]),"",[1]!ScoutingData[[#This Row],[matchNumber]])</f>
        <v/>
      </c>
      <c r="D434" t="str">
        <f>IF(ISBLANK([1]!ScoutingData[[#This Row],[event]]),"",[1]!ScoutingData[[#This Row],[event]])</f>
        <v/>
      </c>
      <c r="E434" t="str">
        <f>IF(ISBLANK([1]!ScoutingData[[#This Row],[position]]),"",[1]!ScoutingData[[#This Row],[position]])</f>
        <v/>
      </c>
      <c r="F434" t="str">
        <f>IF(ISBLANK([1]!ScoutingData[[#This Row],[leaveStartingZone]]),"",[1]!ScoutingData[[#This Row],[leaveStartingZone]])</f>
        <v/>
      </c>
      <c r="G434" t="str">
        <f>IF(ISBLANK([1]!ScoutingData[[#This Row],[autoAmpScore]]),"",[1]!ScoutingData[[#This Row],[autoAmpScore]])</f>
        <v/>
      </c>
      <c r="H434" t="str">
        <f>IF(ISBLANK([1]!ScoutingData[[#This Row],[autoSpeakerScore]]),"",[1]!ScoutingData[[#This Row],[autoSpeakerScore]])</f>
        <v/>
      </c>
    </row>
    <row r="435" spans="1:8" x14ac:dyDescent="0.45">
      <c r="A435" t="str">
        <f>IF(ISBLANK([1]!ScoutingData[[#This Row],[teamNumber]]),"",[1]!ScoutingData[[#This Row],[teamNumber]])</f>
        <v/>
      </c>
      <c r="B435" t="str">
        <f>IF(ISBLANK([1]!ScoutingData[[#This Row],[matchLevel]]),"",[1]!ScoutingData[[#This Row],[matchLevel]])</f>
        <v/>
      </c>
      <c r="C435" t="str">
        <f>IF(ISBLANK([1]!ScoutingData[[#This Row],[matchNumber]]),"",[1]!ScoutingData[[#This Row],[matchNumber]])</f>
        <v/>
      </c>
      <c r="D435" t="str">
        <f>IF(ISBLANK([1]!ScoutingData[[#This Row],[event]]),"",[1]!ScoutingData[[#This Row],[event]])</f>
        <v/>
      </c>
      <c r="E435" t="str">
        <f>IF(ISBLANK([1]!ScoutingData[[#This Row],[position]]),"",[1]!ScoutingData[[#This Row],[position]])</f>
        <v/>
      </c>
      <c r="F435" t="str">
        <f>IF(ISBLANK([1]!ScoutingData[[#This Row],[leaveStartingZone]]),"",[1]!ScoutingData[[#This Row],[leaveStartingZone]])</f>
        <v/>
      </c>
      <c r="G435" t="str">
        <f>IF(ISBLANK([1]!ScoutingData[[#This Row],[autoAmpScore]]),"",[1]!ScoutingData[[#This Row],[autoAmpScore]])</f>
        <v/>
      </c>
      <c r="H435" t="str">
        <f>IF(ISBLANK([1]!ScoutingData[[#This Row],[autoSpeakerScore]]),"",[1]!ScoutingData[[#This Row],[autoSpeakerScore]])</f>
        <v/>
      </c>
    </row>
    <row r="436" spans="1:8" x14ac:dyDescent="0.45">
      <c r="A436" t="str">
        <f>IF(ISBLANK([1]!ScoutingData[[#This Row],[teamNumber]]),"",[1]!ScoutingData[[#This Row],[teamNumber]])</f>
        <v/>
      </c>
      <c r="B436" t="str">
        <f>IF(ISBLANK([1]!ScoutingData[[#This Row],[matchLevel]]),"",[1]!ScoutingData[[#This Row],[matchLevel]])</f>
        <v/>
      </c>
      <c r="C436" t="str">
        <f>IF(ISBLANK([1]!ScoutingData[[#This Row],[matchNumber]]),"",[1]!ScoutingData[[#This Row],[matchNumber]])</f>
        <v/>
      </c>
      <c r="D436" t="str">
        <f>IF(ISBLANK([1]!ScoutingData[[#This Row],[event]]),"",[1]!ScoutingData[[#This Row],[event]])</f>
        <v/>
      </c>
      <c r="E436" t="str">
        <f>IF(ISBLANK([1]!ScoutingData[[#This Row],[position]]),"",[1]!ScoutingData[[#This Row],[position]])</f>
        <v/>
      </c>
      <c r="F436" t="str">
        <f>IF(ISBLANK([1]!ScoutingData[[#This Row],[leaveStartingZone]]),"",[1]!ScoutingData[[#This Row],[leaveStartingZone]])</f>
        <v/>
      </c>
      <c r="G436" t="str">
        <f>IF(ISBLANK([1]!ScoutingData[[#This Row],[autoAmpScore]]),"",[1]!ScoutingData[[#This Row],[autoAmpScore]])</f>
        <v/>
      </c>
      <c r="H436" t="str">
        <f>IF(ISBLANK([1]!ScoutingData[[#This Row],[autoSpeakerScore]]),"",[1]!ScoutingData[[#This Row],[autoSpeakerScore]])</f>
        <v/>
      </c>
    </row>
    <row r="437" spans="1:8" x14ac:dyDescent="0.45">
      <c r="A437" t="str">
        <f>IF(ISBLANK([1]!ScoutingData[[#This Row],[teamNumber]]),"",[1]!ScoutingData[[#This Row],[teamNumber]])</f>
        <v/>
      </c>
      <c r="B437" t="str">
        <f>IF(ISBLANK([1]!ScoutingData[[#This Row],[matchLevel]]),"",[1]!ScoutingData[[#This Row],[matchLevel]])</f>
        <v/>
      </c>
      <c r="C437" t="str">
        <f>IF(ISBLANK([1]!ScoutingData[[#This Row],[matchNumber]]),"",[1]!ScoutingData[[#This Row],[matchNumber]])</f>
        <v/>
      </c>
      <c r="D437" t="str">
        <f>IF(ISBLANK([1]!ScoutingData[[#This Row],[event]]),"",[1]!ScoutingData[[#This Row],[event]])</f>
        <v/>
      </c>
      <c r="E437" t="str">
        <f>IF(ISBLANK([1]!ScoutingData[[#This Row],[position]]),"",[1]!ScoutingData[[#This Row],[position]])</f>
        <v/>
      </c>
      <c r="F437" t="str">
        <f>IF(ISBLANK([1]!ScoutingData[[#This Row],[leaveStartingZone]]),"",[1]!ScoutingData[[#This Row],[leaveStartingZone]])</f>
        <v/>
      </c>
      <c r="G437" t="str">
        <f>IF(ISBLANK([1]!ScoutingData[[#This Row],[autoAmpScore]]),"",[1]!ScoutingData[[#This Row],[autoAmpScore]])</f>
        <v/>
      </c>
      <c r="H437" t="str">
        <f>IF(ISBLANK([1]!ScoutingData[[#This Row],[autoSpeakerScore]]),"",[1]!ScoutingData[[#This Row],[autoSpeakerScore]])</f>
        <v/>
      </c>
    </row>
    <row r="438" spans="1:8" x14ac:dyDescent="0.45">
      <c r="A438" t="str">
        <f>IF(ISBLANK([1]!ScoutingData[[#This Row],[teamNumber]]),"",[1]!ScoutingData[[#This Row],[teamNumber]])</f>
        <v/>
      </c>
      <c r="B438" t="str">
        <f>IF(ISBLANK([1]!ScoutingData[[#This Row],[matchLevel]]),"",[1]!ScoutingData[[#This Row],[matchLevel]])</f>
        <v/>
      </c>
      <c r="C438" t="str">
        <f>IF(ISBLANK([1]!ScoutingData[[#This Row],[matchNumber]]),"",[1]!ScoutingData[[#This Row],[matchNumber]])</f>
        <v/>
      </c>
      <c r="D438" t="str">
        <f>IF(ISBLANK([1]!ScoutingData[[#This Row],[event]]),"",[1]!ScoutingData[[#This Row],[event]])</f>
        <v/>
      </c>
      <c r="E438" t="str">
        <f>IF(ISBLANK([1]!ScoutingData[[#This Row],[position]]),"",[1]!ScoutingData[[#This Row],[position]])</f>
        <v/>
      </c>
      <c r="F438" t="str">
        <f>IF(ISBLANK([1]!ScoutingData[[#This Row],[leaveStartingZone]]),"",[1]!ScoutingData[[#This Row],[leaveStartingZone]])</f>
        <v/>
      </c>
      <c r="G438" t="str">
        <f>IF(ISBLANK([1]!ScoutingData[[#This Row],[autoAmpScore]]),"",[1]!ScoutingData[[#This Row],[autoAmpScore]])</f>
        <v/>
      </c>
      <c r="H438" t="str">
        <f>IF(ISBLANK([1]!ScoutingData[[#This Row],[autoSpeakerScore]]),"",[1]!ScoutingData[[#This Row],[autoSpeakerScore]])</f>
        <v/>
      </c>
    </row>
    <row r="439" spans="1:8" x14ac:dyDescent="0.45">
      <c r="A439" t="str">
        <f>IF(ISBLANK([1]!ScoutingData[[#This Row],[teamNumber]]),"",[1]!ScoutingData[[#This Row],[teamNumber]])</f>
        <v/>
      </c>
      <c r="B439" t="str">
        <f>IF(ISBLANK([1]!ScoutingData[[#This Row],[matchLevel]]),"",[1]!ScoutingData[[#This Row],[matchLevel]])</f>
        <v/>
      </c>
      <c r="C439" t="str">
        <f>IF(ISBLANK([1]!ScoutingData[[#This Row],[matchNumber]]),"",[1]!ScoutingData[[#This Row],[matchNumber]])</f>
        <v/>
      </c>
      <c r="D439" t="str">
        <f>IF(ISBLANK([1]!ScoutingData[[#This Row],[event]]),"",[1]!ScoutingData[[#This Row],[event]])</f>
        <v/>
      </c>
      <c r="E439" t="str">
        <f>IF(ISBLANK([1]!ScoutingData[[#This Row],[position]]),"",[1]!ScoutingData[[#This Row],[position]])</f>
        <v/>
      </c>
      <c r="F439" t="str">
        <f>IF(ISBLANK([1]!ScoutingData[[#This Row],[leaveStartingZone]]),"",[1]!ScoutingData[[#This Row],[leaveStartingZone]])</f>
        <v/>
      </c>
      <c r="G439" t="str">
        <f>IF(ISBLANK([1]!ScoutingData[[#This Row],[autoAmpScore]]),"",[1]!ScoutingData[[#This Row],[autoAmpScore]])</f>
        <v/>
      </c>
      <c r="H439" t="str">
        <f>IF(ISBLANK([1]!ScoutingData[[#This Row],[autoSpeakerScore]]),"",[1]!ScoutingData[[#This Row],[autoSpeakerScore]])</f>
        <v/>
      </c>
    </row>
    <row r="440" spans="1:8" x14ac:dyDescent="0.45">
      <c r="A440" t="str">
        <f>IF(ISBLANK([1]!ScoutingData[[#This Row],[teamNumber]]),"",[1]!ScoutingData[[#This Row],[teamNumber]])</f>
        <v/>
      </c>
      <c r="B440" t="str">
        <f>IF(ISBLANK([1]!ScoutingData[[#This Row],[matchLevel]]),"",[1]!ScoutingData[[#This Row],[matchLevel]])</f>
        <v/>
      </c>
      <c r="C440" t="str">
        <f>IF(ISBLANK([1]!ScoutingData[[#This Row],[matchNumber]]),"",[1]!ScoutingData[[#This Row],[matchNumber]])</f>
        <v/>
      </c>
      <c r="D440" t="str">
        <f>IF(ISBLANK([1]!ScoutingData[[#This Row],[event]]),"",[1]!ScoutingData[[#This Row],[event]])</f>
        <v/>
      </c>
      <c r="E440" t="str">
        <f>IF(ISBLANK([1]!ScoutingData[[#This Row],[position]]),"",[1]!ScoutingData[[#This Row],[position]])</f>
        <v/>
      </c>
      <c r="F440" t="str">
        <f>IF(ISBLANK([1]!ScoutingData[[#This Row],[leaveStartingZone]]),"",[1]!ScoutingData[[#This Row],[leaveStartingZone]])</f>
        <v/>
      </c>
      <c r="G440" t="str">
        <f>IF(ISBLANK([1]!ScoutingData[[#This Row],[autoAmpScore]]),"",[1]!ScoutingData[[#This Row],[autoAmpScore]])</f>
        <v/>
      </c>
      <c r="H440" t="str">
        <f>IF(ISBLANK([1]!ScoutingData[[#This Row],[autoSpeakerScore]]),"",[1]!ScoutingData[[#This Row],[autoSpeakerScore]])</f>
        <v/>
      </c>
    </row>
    <row r="441" spans="1:8" x14ac:dyDescent="0.45">
      <c r="A441" t="str">
        <f>IF(ISBLANK([1]!ScoutingData[[#This Row],[teamNumber]]),"",[1]!ScoutingData[[#This Row],[teamNumber]])</f>
        <v/>
      </c>
      <c r="B441" t="str">
        <f>IF(ISBLANK([1]!ScoutingData[[#This Row],[matchLevel]]),"",[1]!ScoutingData[[#This Row],[matchLevel]])</f>
        <v/>
      </c>
      <c r="C441" t="str">
        <f>IF(ISBLANK([1]!ScoutingData[[#This Row],[matchNumber]]),"",[1]!ScoutingData[[#This Row],[matchNumber]])</f>
        <v/>
      </c>
      <c r="D441" t="str">
        <f>IF(ISBLANK([1]!ScoutingData[[#This Row],[event]]),"",[1]!ScoutingData[[#This Row],[event]])</f>
        <v/>
      </c>
      <c r="E441" t="str">
        <f>IF(ISBLANK([1]!ScoutingData[[#This Row],[position]]),"",[1]!ScoutingData[[#This Row],[position]])</f>
        <v/>
      </c>
      <c r="F441" t="str">
        <f>IF(ISBLANK([1]!ScoutingData[[#This Row],[leaveStartingZone]]),"",[1]!ScoutingData[[#This Row],[leaveStartingZone]])</f>
        <v/>
      </c>
      <c r="G441" t="str">
        <f>IF(ISBLANK([1]!ScoutingData[[#This Row],[autoAmpScore]]),"",[1]!ScoutingData[[#This Row],[autoAmpScore]])</f>
        <v/>
      </c>
      <c r="H441" t="str">
        <f>IF(ISBLANK([1]!ScoutingData[[#This Row],[autoSpeakerScore]]),"",[1]!ScoutingData[[#This Row],[autoSpeakerScore]])</f>
        <v/>
      </c>
    </row>
    <row r="442" spans="1:8" x14ac:dyDescent="0.45">
      <c r="A442" t="str">
        <f>IF(ISBLANK([1]!ScoutingData[[#This Row],[teamNumber]]),"",[1]!ScoutingData[[#This Row],[teamNumber]])</f>
        <v/>
      </c>
      <c r="B442" t="str">
        <f>IF(ISBLANK([1]!ScoutingData[[#This Row],[matchLevel]]),"",[1]!ScoutingData[[#This Row],[matchLevel]])</f>
        <v/>
      </c>
      <c r="C442" t="str">
        <f>IF(ISBLANK([1]!ScoutingData[[#This Row],[matchNumber]]),"",[1]!ScoutingData[[#This Row],[matchNumber]])</f>
        <v/>
      </c>
      <c r="D442" t="str">
        <f>IF(ISBLANK([1]!ScoutingData[[#This Row],[event]]),"",[1]!ScoutingData[[#This Row],[event]])</f>
        <v/>
      </c>
      <c r="E442" t="str">
        <f>IF(ISBLANK([1]!ScoutingData[[#This Row],[position]]),"",[1]!ScoutingData[[#This Row],[position]])</f>
        <v/>
      </c>
      <c r="F442" t="str">
        <f>IF(ISBLANK([1]!ScoutingData[[#This Row],[leaveStartingZone]]),"",[1]!ScoutingData[[#This Row],[leaveStartingZone]])</f>
        <v/>
      </c>
      <c r="G442" t="str">
        <f>IF(ISBLANK([1]!ScoutingData[[#This Row],[autoAmpScore]]),"",[1]!ScoutingData[[#This Row],[autoAmpScore]])</f>
        <v/>
      </c>
      <c r="H442" t="str">
        <f>IF(ISBLANK([1]!ScoutingData[[#This Row],[autoSpeakerScore]]),"",[1]!ScoutingData[[#This Row],[autoSpeakerScore]])</f>
        <v/>
      </c>
    </row>
    <row r="443" spans="1:8" x14ac:dyDescent="0.45">
      <c r="A443" t="str">
        <f>IF(ISBLANK([1]!ScoutingData[[#This Row],[teamNumber]]),"",[1]!ScoutingData[[#This Row],[teamNumber]])</f>
        <v/>
      </c>
      <c r="B443" t="str">
        <f>IF(ISBLANK([1]!ScoutingData[[#This Row],[matchLevel]]),"",[1]!ScoutingData[[#This Row],[matchLevel]])</f>
        <v/>
      </c>
      <c r="C443" t="str">
        <f>IF(ISBLANK([1]!ScoutingData[[#This Row],[matchNumber]]),"",[1]!ScoutingData[[#This Row],[matchNumber]])</f>
        <v/>
      </c>
      <c r="D443" t="str">
        <f>IF(ISBLANK([1]!ScoutingData[[#This Row],[event]]),"",[1]!ScoutingData[[#This Row],[event]])</f>
        <v/>
      </c>
      <c r="E443" t="str">
        <f>IF(ISBLANK([1]!ScoutingData[[#This Row],[position]]),"",[1]!ScoutingData[[#This Row],[position]])</f>
        <v/>
      </c>
      <c r="F443" t="str">
        <f>IF(ISBLANK([1]!ScoutingData[[#This Row],[leaveStartingZone]]),"",[1]!ScoutingData[[#This Row],[leaveStartingZone]])</f>
        <v/>
      </c>
      <c r="G443" t="str">
        <f>IF(ISBLANK([1]!ScoutingData[[#This Row],[autoAmpScore]]),"",[1]!ScoutingData[[#This Row],[autoAmpScore]])</f>
        <v/>
      </c>
      <c r="H443" t="str">
        <f>IF(ISBLANK([1]!ScoutingData[[#This Row],[autoSpeakerScore]]),"",[1]!ScoutingData[[#This Row],[autoSpeakerScore]])</f>
        <v/>
      </c>
    </row>
    <row r="444" spans="1:8" x14ac:dyDescent="0.45">
      <c r="A444" t="str">
        <f>IF(ISBLANK([1]!ScoutingData[[#This Row],[teamNumber]]),"",[1]!ScoutingData[[#This Row],[teamNumber]])</f>
        <v/>
      </c>
      <c r="B444" t="str">
        <f>IF(ISBLANK([1]!ScoutingData[[#This Row],[matchLevel]]),"",[1]!ScoutingData[[#This Row],[matchLevel]])</f>
        <v/>
      </c>
      <c r="C444" t="str">
        <f>IF(ISBLANK([1]!ScoutingData[[#This Row],[matchNumber]]),"",[1]!ScoutingData[[#This Row],[matchNumber]])</f>
        <v/>
      </c>
      <c r="D444" t="str">
        <f>IF(ISBLANK([1]!ScoutingData[[#This Row],[event]]),"",[1]!ScoutingData[[#This Row],[event]])</f>
        <v/>
      </c>
      <c r="E444" t="str">
        <f>IF(ISBLANK([1]!ScoutingData[[#This Row],[position]]),"",[1]!ScoutingData[[#This Row],[position]])</f>
        <v/>
      </c>
      <c r="F444" t="str">
        <f>IF(ISBLANK([1]!ScoutingData[[#This Row],[leaveStartingZone]]),"",[1]!ScoutingData[[#This Row],[leaveStartingZone]])</f>
        <v/>
      </c>
      <c r="G444" t="str">
        <f>IF(ISBLANK([1]!ScoutingData[[#This Row],[autoAmpScore]]),"",[1]!ScoutingData[[#This Row],[autoAmpScore]])</f>
        <v/>
      </c>
      <c r="H444" t="str">
        <f>IF(ISBLANK([1]!ScoutingData[[#This Row],[autoSpeakerScore]]),"",[1]!ScoutingData[[#This Row],[autoSpeakerScore]])</f>
        <v/>
      </c>
    </row>
    <row r="445" spans="1:8" x14ac:dyDescent="0.45">
      <c r="A445" t="str">
        <f>IF(ISBLANK([1]!ScoutingData[[#This Row],[teamNumber]]),"",[1]!ScoutingData[[#This Row],[teamNumber]])</f>
        <v/>
      </c>
      <c r="B445" t="str">
        <f>IF(ISBLANK([1]!ScoutingData[[#This Row],[matchLevel]]),"",[1]!ScoutingData[[#This Row],[matchLevel]])</f>
        <v/>
      </c>
      <c r="C445" t="str">
        <f>IF(ISBLANK([1]!ScoutingData[[#This Row],[matchNumber]]),"",[1]!ScoutingData[[#This Row],[matchNumber]])</f>
        <v/>
      </c>
      <c r="D445" t="str">
        <f>IF(ISBLANK([1]!ScoutingData[[#This Row],[event]]),"",[1]!ScoutingData[[#This Row],[event]])</f>
        <v/>
      </c>
      <c r="E445" t="str">
        <f>IF(ISBLANK([1]!ScoutingData[[#This Row],[position]]),"",[1]!ScoutingData[[#This Row],[position]])</f>
        <v/>
      </c>
      <c r="F445" t="str">
        <f>IF(ISBLANK([1]!ScoutingData[[#This Row],[leaveStartingZone]]),"",[1]!ScoutingData[[#This Row],[leaveStartingZone]])</f>
        <v/>
      </c>
      <c r="G445" t="str">
        <f>IF(ISBLANK([1]!ScoutingData[[#This Row],[autoAmpScore]]),"",[1]!ScoutingData[[#This Row],[autoAmpScore]])</f>
        <v/>
      </c>
      <c r="H445" t="str">
        <f>IF(ISBLANK([1]!ScoutingData[[#This Row],[autoSpeakerScore]]),"",[1]!ScoutingData[[#This Row],[autoSpeakerScore]])</f>
        <v/>
      </c>
    </row>
    <row r="446" spans="1:8" x14ac:dyDescent="0.45">
      <c r="A446" t="str">
        <f>IF(ISBLANK([1]!ScoutingData[[#This Row],[teamNumber]]),"",[1]!ScoutingData[[#This Row],[teamNumber]])</f>
        <v/>
      </c>
      <c r="B446" t="str">
        <f>IF(ISBLANK([1]!ScoutingData[[#This Row],[matchLevel]]),"",[1]!ScoutingData[[#This Row],[matchLevel]])</f>
        <v/>
      </c>
      <c r="C446" t="str">
        <f>IF(ISBLANK([1]!ScoutingData[[#This Row],[matchNumber]]),"",[1]!ScoutingData[[#This Row],[matchNumber]])</f>
        <v/>
      </c>
      <c r="D446" t="str">
        <f>IF(ISBLANK([1]!ScoutingData[[#This Row],[event]]),"",[1]!ScoutingData[[#This Row],[event]])</f>
        <v/>
      </c>
      <c r="E446" t="str">
        <f>IF(ISBLANK([1]!ScoutingData[[#This Row],[position]]),"",[1]!ScoutingData[[#This Row],[position]])</f>
        <v/>
      </c>
      <c r="F446" t="str">
        <f>IF(ISBLANK([1]!ScoutingData[[#This Row],[leaveStartingZone]]),"",[1]!ScoutingData[[#This Row],[leaveStartingZone]])</f>
        <v/>
      </c>
      <c r="G446" t="str">
        <f>IF(ISBLANK([1]!ScoutingData[[#This Row],[autoAmpScore]]),"",[1]!ScoutingData[[#This Row],[autoAmpScore]])</f>
        <v/>
      </c>
      <c r="H446" t="str">
        <f>IF(ISBLANK([1]!ScoutingData[[#This Row],[autoSpeakerScore]]),"",[1]!ScoutingData[[#This Row],[autoSpeakerScore]])</f>
        <v/>
      </c>
    </row>
    <row r="447" spans="1:8" x14ac:dyDescent="0.45">
      <c r="A447" t="str">
        <f>IF(ISBLANK([1]!ScoutingData[[#This Row],[teamNumber]]),"",[1]!ScoutingData[[#This Row],[teamNumber]])</f>
        <v/>
      </c>
      <c r="B447" t="str">
        <f>IF(ISBLANK([1]!ScoutingData[[#This Row],[matchLevel]]),"",[1]!ScoutingData[[#This Row],[matchLevel]])</f>
        <v/>
      </c>
      <c r="C447" t="str">
        <f>IF(ISBLANK([1]!ScoutingData[[#This Row],[matchNumber]]),"",[1]!ScoutingData[[#This Row],[matchNumber]])</f>
        <v/>
      </c>
      <c r="D447" t="str">
        <f>IF(ISBLANK([1]!ScoutingData[[#This Row],[event]]),"",[1]!ScoutingData[[#This Row],[event]])</f>
        <v/>
      </c>
      <c r="E447" t="str">
        <f>IF(ISBLANK([1]!ScoutingData[[#This Row],[position]]),"",[1]!ScoutingData[[#This Row],[position]])</f>
        <v/>
      </c>
      <c r="F447" t="str">
        <f>IF(ISBLANK([1]!ScoutingData[[#This Row],[leaveStartingZone]]),"",[1]!ScoutingData[[#This Row],[leaveStartingZone]])</f>
        <v/>
      </c>
      <c r="G447" t="str">
        <f>IF(ISBLANK([1]!ScoutingData[[#This Row],[autoAmpScore]]),"",[1]!ScoutingData[[#This Row],[autoAmpScore]])</f>
        <v/>
      </c>
      <c r="H447" t="str">
        <f>IF(ISBLANK([1]!ScoutingData[[#This Row],[autoSpeakerScore]]),"",[1]!ScoutingData[[#This Row],[autoSpeakerScore]])</f>
        <v/>
      </c>
    </row>
    <row r="448" spans="1:8" x14ac:dyDescent="0.45">
      <c r="A448" t="str">
        <f>IF(ISBLANK([1]!ScoutingData[[#This Row],[teamNumber]]),"",[1]!ScoutingData[[#This Row],[teamNumber]])</f>
        <v/>
      </c>
      <c r="B448" t="str">
        <f>IF(ISBLANK([1]!ScoutingData[[#This Row],[matchLevel]]),"",[1]!ScoutingData[[#This Row],[matchLevel]])</f>
        <v/>
      </c>
      <c r="C448" t="str">
        <f>IF(ISBLANK([1]!ScoutingData[[#This Row],[matchNumber]]),"",[1]!ScoutingData[[#This Row],[matchNumber]])</f>
        <v/>
      </c>
      <c r="D448" t="str">
        <f>IF(ISBLANK([1]!ScoutingData[[#This Row],[event]]),"",[1]!ScoutingData[[#This Row],[event]])</f>
        <v/>
      </c>
      <c r="E448" t="str">
        <f>IF(ISBLANK([1]!ScoutingData[[#This Row],[position]]),"",[1]!ScoutingData[[#This Row],[position]])</f>
        <v/>
      </c>
      <c r="F448" t="str">
        <f>IF(ISBLANK([1]!ScoutingData[[#This Row],[leaveStartingZone]]),"",[1]!ScoutingData[[#This Row],[leaveStartingZone]])</f>
        <v/>
      </c>
      <c r="G448" t="str">
        <f>IF(ISBLANK([1]!ScoutingData[[#This Row],[autoAmpScore]]),"",[1]!ScoutingData[[#This Row],[autoAmpScore]])</f>
        <v/>
      </c>
      <c r="H448" t="str">
        <f>IF(ISBLANK([1]!ScoutingData[[#This Row],[autoSpeakerScore]]),"",[1]!ScoutingData[[#This Row],[autoSpeakerScore]])</f>
        <v/>
      </c>
    </row>
    <row r="449" spans="1:8" x14ac:dyDescent="0.45">
      <c r="A449" t="str">
        <f>IF(ISBLANK([1]!ScoutingData[[#This Row],[teamNumber]]),"",[1]!ScoutingData[[#This Row],[teamNumber]])</f>
        <v/>
      </c>
      <c r="B449" t="str">
        <f>IF(ISBLANK([1]!ScoutingData[[#This Row],[matchLevel]]),"",[1]!ScoutingData[[#This Row],[matchLevel]])</f>
        <v/>
      </c>
      <c r="C449" t="str">
        <f>IF(ISBLANK([1]!ScoutingData[[#This Row],[matchNumber]]),"",[1]!ScoutingData[[#This Row],[matchNumber]])</f>
        <v/>
      </c>
      <c r="D449" t="str">
        <f>IF(ISBLANK([1]!ScoutingData[[#This Row],[event]]),"",[1]!ScoutingData[[#This Row],[event]])</f>
        <v/>
      </c>
      <c r="E449" t="str">
        <f>IF(ISBLANK([1]!ScoutingData[[#This Row],[position]]),"",[1]!ScoutingData[[#This Row],[position]])</f>
        <v/>
      </c>
      <c r="F449" t="str">
        <f>IF(ISBLANK([1]!ScoutingData[[#This Row],[leaveStartingZone]]),"",[1]!ScoutingData[[#This Row],[leaveStartingZone]])</f>
        <v/>
      </c>
      <c r="G449" t="str">
        <f>IF(ISBLANK([1]!ScoutingData[[#This Row],[autoAmpScore]]),"",[1]!ScoutingData[[#This Row],[autoAmpScore]])</f>
        <v/>
      </c>
      <c r="H449" t="str">
        <f>IF(ISBLANK([1]!ScoutingData[[#This Row],[autoSpeakerScore]]),"",[1]!ScoutingData[[#This Row],[autoSpeakerScore]])</f>
        <v/>
      </c>
    </row>
    <row r="450" spans="1:8" x14ac:dyDescent="0.45">
      <c r="A450" t="str">
        <f>IF(ISBLANK([1]!ScoutingData[[#This Row],[teamNumber]]),"",[1]!ScoutingData[[#This Row],[teamNumber]])</f>
        <v/>
      </c>
      <c r="B450" t="str">
        <f>IF(ISBLANK([1]!ScoutingData[[#This Row],[matchLevel]]),"",[1]!ScoutingData[[#This Row],[matchLevel]])</f>
        <v/>
      </c>
      <c r="C450" t="str">
        <f>IF(ISBLANK([1]!ScoutingData[[#This Row],[matchNumber]]),"",[1]!ScoutingData[[#This Row],[matchNumber]])</f>
        <v/>
      </c>
      <c r="D450" t="str">
        <f>IF(ISBLANK([1]!ScoutingData[[#This Row],[event]]),"",[1]!ScoutingData[[#This Row],[event]])</f>
        <v/>
      </c>
      <c r="E450" t="str">
        <f>IF(ISBLANK([1]!ScoutingData[[#This Row],[position]]),"",[1]!ScoutingData[[#This Row],[position]])</f>
        <v/>
      </c>
      <c r="F450" t="str">
        <f>IF(ISBLANK([1]!ScoutingData[[#This Row],[leaveStartingZone]]),"",[1]!ScoutingData[[#This Row],[leaveStartingZone]])</f>
        <v/>
      </c>
      <c r="G450" t="str">
        <f>IF(ISBLANK([1]!ScoutingData[[#This Row],[autoAmpScore]]),"",[1]!ScoutingData[[#This Row],[autoAmpScore]])</f>
        <v/>
      </c>
      <c r="H450" t="str">
        <f>IF(ISBLANK([1]!ScoutingData[[#This Row],[autoSpeakerScore]]),"",[1]!ScoutingData[[#This Row],[autoSpeakerScore]])</f>
        <v/>
      </c>
    </row>
    <row r="451" spans="1:8" x14ac:dyDescent="0.45">
      <c r="A451" t="str">
        <f>IF(ISBLANK([1]!ScoutingData[[#This Row],[teamNumber]]),"",[1]!ScoutingData[[#This Row],[teamNumber]])</f>
        <v/>
      </c>
      <c r="B451" t="str">
        <f>IF(ISBLANK([1]!ScoutingData[[#This Row],[matchLevel]]),"",[1]!ScoutingData[[#This Row],[matchLevel]])</f>
        <v/>
      </c>
      <c r="C451" t="str">
        <f>IF(ISBLANK([1]!ScoutingData[[#This Row],[matchNumber]]),"",[1]!ScoutingData[[#This Row],[matchNumber]])</f>
        <v/>
      </c>
      <c r="D451" t="str">
        <f>IF(ISBLANK([1]!ScoutingData[[#This Row],[event]]),"",[1]!ScoutingData[[#This Row],[event]])</f>
        <v/>
      </c>
      <c r="E451" t="str">
        <f>IF(ISBLANK([1]!ScoutingData[[#This Row],[position]]),"",[1]!ScoutingData[[#This Row],[position]])</f>
        <v/>
      </c>
      <c r="F451" t="str">
        <f>IF(ISBLANK([1]!ScoutingData[[#This Row],[leaveStartingZone]]),"",[1]!ScoutingData[[#This Row],[leaveStartingZone]])</f>
        <v/>
      </c>
      <c r="G451" t="str">
        <f>IF(ISBLANK([1]!ScoutingData[[#This Row],[autoAmpScore]]),"",[1]!ScoutingData[[#This Row],[autoAmpScore]])</f>
        <v/>
      </c>
      <c r="H451" t="str">
        <f>IF(ISBLANK([1]!ScoutingData[[#This Row],[autoSpeakerScore]]),"",[1]!ScoutingData[[#This Row],[autoSpeakerScore]])</f>
        <v/>
      </c>
    </row>
    <row r="452" spans="1:8" x14ac:dyDescent="0.45">
      <c r="A452" t="str">
        <f>IF(ISBLANK([1]!ScoutingData[[#This Row],[teamNumber]]),"",[1]!ScoutingData[[#This Row],[teamNumber]])</f>
        <v/>
      </c>
      <c r="B452" t="str">
        <f>IF(ISBLANK([1]!ScoutingData[[#This Row],[matchLevel]]),"",[1]!ScoutingData[[#This Row],[matchLevel]])</f>
        <v/>
      </c>
      <c r="C452" t="str">
        <f>IF(ISBLANK([1]!ScoutingData[[#This Row],[matchNumber]]),"",[1]!ScoutingData[[#This Row],[matchNumber]])</f>
        <v/>
      </c>
      <c r="D452" t="str">
        <f>IF(ISBLANK([1]!ScoutingData[[#This Row],[event]]),"",[1]!ScoutingData[[#This Row],[event]])</f>
        <v/>
      </c>
      <c r="E452" t="str">
        <f>IF(ISBLANK([1]!ScoutingData[[#This Row],[position]]),"",[1]!ScoutingData[[#This Row],[position]])</f>
        <v/>
      </c>
      <c r="F452" t="str">
        <f>IF(ISBLANK([1]!ScoutingData[[#This Row],[leaveStartingZone]]),"",[1]!ScoutingData[[#This Row],[leaveStartingZone]])</f>
        <v/>
      </c>
      <c r="G452" t="str">
        <f>IF(ISBLANK([1]!ScoutingData[[#This Row],[autoAmpScore]]),"",[1]!ScoutingData[[#This Row],[autoAmpScore]])</f>
        <v/>
      </c>
      <c r="H452" t="str">
        <f>IF(ISBLANK([1]!ScoutingData[[#This Row],[autoSpeakerScore]]),"",[1]!ScoutingData[[#This Row],[autoSpeakerScore]])</f>
        <v/>
      </c>
    </row>
    <row r="453" spans="1:8" x14ac:dyDescent="0.45">
      <c r="A453" t="str">
        <f>IF(ISBLANK([1]!ScoutingData[[#This Row],[teamNumber]]),"",[1]!ScoutingData[[#This Row],[teamNumber]])</f>
        <v/>
      </c>
      <c r="B453" t="str">
        <f>IF(ISBLANK([1]!ScoutingData[[#This Row],[matchLevel]]),"",[1]!ScoutingData[[#This Row],[matchLevel]])</f>
        <v/>
      </c>
      <c r="C453" t="str">
        <f>IF(ISBLANK([1]!ScoutingData[[#This Row],[matchNumber]]),"",[1]!ScoutingData[[#This Row],[matchNumber]])</f>
        <v/>
      </c>
      <c r="D453" t="str">
        <f>IF(ISBLANK([1]!ScoutingData[[#This Row],[event]]),"",[1]!ScoutingData[[#This Row],[event]])</f>
        <v/>
      </c>
      <c r="E453" t="str">
        <f>IF(ISBLANK([1]!ScoutingData[[#This Row],[position]]),"",[1]!ScoutingData[[#This Row],[position]])</f>
        <v/>
      </c>
      <c r="F453" t="str">
        <f>IF(ISBLANK([1]!ScoutingData[[#This Row],[leaveStartingZone]]),"",[1]!ScoutingData[[#This Row],[leaveStartingZone]])</f>
        <v/>
      </c>
      <c r="G453" t="str">
        <f>IF(ISBLANK([1]!ScoutingData[[#This Row],[autoAmpScore]]),"",[1]!ScoutingData[[#This Row],[autoAmpScore]])</f>
        <v/>
      </c>
      <c r="H453" t="str">
        <f>IF(ISBLANK([1]!ScoutingData[[#This Row],[autoSpeakerScore]]),"",[1]!ScoutingData[[#This Row],[autoSpeakerScore]])</f>
        <v/>
      </c>
    </row>
    <row r="454" spans="1:8" x14ac:dyDescent="0.45">
      <c r="A454" t="str">
        <f>IF(ISBLANK([1]!ScoutingData[[#This Row],[teamNumber]]),"",[1]!ScoutingData[[#This Row],[teamNumber]])</f>
        <v/>
      </c>
      <c r="B454" t="str">
        <f>IF(ISBLANK([1]!ScoutingData[[#This Row],[matchLevel]]),"",[1]!ScoutingData[[#This Row],[matchLevel]])</f>
        <v/>
      </c>
      <c r="C454" t="str">
        <f>IF(ISBLANK([1]!ScoutingData[[#This Row],[matchNumber]]),"",[1]!ScoutingData[[#This Row],[matchNumber]])</f>
        <v/>
      </c>
      <c r="D454" t="str">
        <f>IF(ISBLANK([1]!ScoutingData[[#This Row],[event]]),"",[1]!ScoutingData[[#This Row],[event]])</f>
        <v/>
      </c>
      <c r="E454" t="str">
        <f>IF(ISBLANK([1]!ScoutingData[[#This Row],[position]]),"",[1]!ScoutingData[[#This Row],[position]])</f>
        <v/>
      </c>
      <c r="F454" t="str">
        <f>IF(ISBLANK([1]!ScoutingData[[#This Row],[leaveStartingZone]]),"",[1]!ScoutingData[[#This Row],[leaveStartingZone]])</f>
        <v/>
      </c>
      <c r="G454" t="str">
        <f>IF(ISBLANK([1]!ScoutingData[[#This Row],[autoAmpScore]]),"",[1]!ScoutingData[[#This Row],[autoAmpScore]])</f>
        <v/>
      </c>
      <c r="H454" t="str">
        <f>IF(ISBLANK([1]!ScoutingData[[#This Row],[autoSpeakerScore]]),"",[1]!ScoutingData[[#This Row],[autoSpeakerScore]])</f>
        <v/>
      </c>
    </row>
    <row r="455" spans="1:8" x14ac:dyDescent="0.45">
      <c r="A455" t="str">
        <f>IF(ISBLANK([1]!ScoutingData[[#This Row],[teamNumber]]),"",[1]!ScoutingData[[#This Row],[teamNumber]])</f>
        <v/>
      </c>
      <c r="B455" t="str">
        <f>IF(ISBLANK([1]!ScoutingData[[#This Row],[matchLevel]]),"",[1]!ScoutingData[[#This Row],[matchLevel]])</f>
        <v/>
      </c>
      <c r="C455" t="str">
        <f>IF(ISBLANK([1]!ScoutingData[[#This Row],[matchNumber]]),"",[1]!ScoutingData[[#This Row],[matchNumber]])</f>
        <v/>
      </c>
      <c r="D455" t="str">
        <f>IF(ISBLANK([1]!ScoutingData[[#This Row],[event]]),"",[1]!ScoutingData[[#This Row],[event]])</f>
        <v/>
      </c>
      <c r="E455" t="str">
        <f>IF(ISBLANK([1]!ScoutingData[[#This Row],[position]]),"",[1]!ScoutingData[[#This Row],[position]])</f>
        <v/>
      </c>
      <c r="F455" t="str">
        <f>IF(ISBLANK([1]!ScoutingData[[#This Row],[leaveStartingZone]]),"",[1]!ScoutingData[[#This Row],[leaveStartingZone]])</f>
        <v/>
      </c>
      <c r="G455" t="str">
        <f>IF(ISBLANK([1]!ScoutingData[[#This Row],[autoAmpScore]]),"",[1]!ScoutingData[[#This Row],[autoAmpScore]])</f>
        <v/>
      </c>
      <c r="H455" t="str">
        <f>IF(ISBLANK([1]!ScoutingData[[#This Row],[autoSpeakerScore]]),"",[1]!ScoutingData[[#This Row],[autoSpeakerScore]])</f>
        <v/>
      </c>
    </row>
    <row r="456" spans="1:8" x14ac:dyDescent="0.45">
      <c r="A456" t="str">
        <f>IF(ISBLANK([1]!ScoutingData[[#This Row],[teamNumber]]),"",[1]!ScoutingData[[#This Row],[teamNumber]])</f>
        <v/>
      </c>
      <c r="B456" t="str">
        <f>IF(ISBLANK([1]!ScoutingData[[#This Row],[matchLevel]]),"",[1]!ScoutingData[[#This Row],[matchLevel]])</f>
        <v/>
      </c>
      <c r="C456" t="str">
        <f>IF(ISBLANK([1]!ScoutingData[[#This Row],[matchNumber]]),"",[1]!ScoutingData[[#This Row],[matchNumber]])</f>
        <v/>
      </c>
      <c r="D456" t="str">
        <f>IF(ISBLANK([1]!ScoutingData[[#This Row],[event]]),"",[1]!ScoutingData[[#This Row],[event]])</f>
        <v/>
      </c>
      <c r="E456" t="str">
        <f>IF(ISBLANK([1]!ScoutingData[[#This Row],[position]]),"",[1]!ScoutingData[[#This Row],[position]])</f>
        <v/>
      </c>
      <c r="F456" t="str">
        <f>IF(ISBLANK([1]!ScoutingData[[#This Row],[leaveStartingZone]]),"",[1]!ScoutingData[[#This Row],[leaveStartingZone]])</f>
        <v/>
      </c>
      <c r="G456" t="str">
        <f>IF(ISBLANK([1]!ScoutingData[[#This Row],[autoAmpScore]]),"",[1]!ScoutingData[[#This Row],[autoAmpScore]])</f>
        <v/>
      </c>
      <c r="H456" t="str">
        <f>IF(ISBLANK([1]!ScoutingData[[#This Row],[autoSpeakerScore]]),"",[1]!ScoutingData[[#This Row],[autoSpeakerScore]])</f>
        <v/>
      </c>
    </row>
    <row r="457" spans="1:8" x14ac:dyDescent="0.45">
      <c r="A457" t="str">
        <f>IF(ISBLANK([1]!ScoutingData[[#This Row],[teamNumber]]),"",[1]!ScoutingData[[#This Row],[teamNumber]])</f>
        <v/>
      </c>
      <c r="B457" t="str">
        <f>IF(ISBLANK([1]!ScoutingData[[#This Row],[matchLevel]]),"",[1]!ScoutingData[[#This Row],[matchLevel]])</f>
        <v/>
      </c>
      <c r="C457" t="str">
        <f>IF(ISBLANK([1]!ScoutingData[[#This Row],[matchNumber]]),"",[1]!ScoutingData[[#This Row],[matchNumber]])</f>
        <v/>
      </c>
      <c r="D457" t="str">
        <f>IF(ISBLANK([1]!ScoutingData[[#This Row],[event]]),"",[1]!ScoutingData[[#This Row],[event]])</f>
        <v/>
      </c>
      <c r="E457" t="str">
        <f>IF(ISBLANK([1]!ScoutingData[[#This Row],[position]]),"",[1]!ScoutingData[[#This Row],[position]])</f>
        <v/>
      </c>
      <c r="F457" t="str">
        <f>IF(ISBLANK([1]!ScoutingData[[#This Row],[leaveStartingZone]]),"",[1]!ScoutingData[[#This Row],[leaveStartingZone]])</f>
        <v/>
      </c>
      <c r="G457" t="str">
        <f>IF(ISBLANK([1]!ScoutingData[[#This Row],[autoAmpScore]]),"",[1]!ScoutingData[[#This Row],[autoAmpScore]])</f>
        <v/>
      </c>
      <c r="H457" t="str">
        <f>IF(ISBLANK([1]!ScoutingData[[#This Row],[autoSpeakerScore]]),"",[1]!ScoutingData[[#This Row],[autoSpeakerScore]])</f>
        <v/>
      </c>
    </row>
    <row r="458" spans="1:8" x14ac:dyDescent="0.45">
      <c r="A458" t="str">
        <f>IF(ISBLANK([1]!ScoutingData[[#This Row],[teamNumber]]),"",[1]!ScoutingData[[#This Row],[teamNumber]])</f>
        <v/>
      </c>
      <c r="B458" t="str">
        <f>IF(ISBLANK([1]!ScoutingData[[#This Row],[matchLevel]]),"",[1]!ScoutingData[[#This Row],[matchLevel]])</f>
        <v/>
      </c>
      <c r="C458" t="str">
        <f>IF(ISBLANK([1]!ScoutingData[[#This Row],[matchNumber]]),"",[1]!ScoutingData[[#This Row],[matchNumber]])</f>
        <v/>
      </c>
      <c r="D458" t="str">
        <f>IF(ISBLANK([1]!ScoutingData[[#This Row],[event]]),"",[1]!ScoutingData[[#This Row],[event]])</f>
        <v/>
      </c>
      <c r="E458" t="str">
        <f>IF(ISBLANK([1]!ScoutingData[[#This Row],[position]]),"",[1]!ScoutingData[[#This Row],[position]])</f>
        <v/>
      </c>
      <c r="F458" t="str">
        <f>IF(ISBLANK([1]!ScoutingData[[#This Row],[leaveStartingZone]]),"",[1]!ScoutingData[[#This Row],[leaveStartingZone]])</f>
        <v/>
      </c>
      <c r="G458" t="str">
        <f>IF(ISBLANK([1]!ScoutingData[[#This Row],[autoAmpScore]]),"",[1]!ScoutingData[[#This Row],[autoAmpScore]])</f>
        <v/>
      </c>
      <c r="H458" t="str">
        <f>IF(ISBLANK([1]!ScoutingData[[#This Row],[autoSpeakerScore]]),"",[1]!ScoutingData[[#This Row],[autoSpeakerScore]])</f>
        <v/>
      </c>
    </row>
    <row r="459" spans="1:8" x14ac:dyDescent="0.45">
      <c r="A459" t="str">
        <f>IF(ISBLANK([1]!ScoutingData[[#This Row],[teamNumber]]),"",[1]!ScoutingData[[#This Row],[teamNumber]])</f>
        <v/>
      </c>
      <c r="B459" t="str">
        <f>IF(ISBLANK([1]!ScoutingData[[#This Row],[matchLevel]]),"",[1]!ScoutingData[[#This Row],[matchLevel]])</f>
        <v/>
      </c>
      <c r="C459" t="str">
        <f>IF(ISBLANK([1]!ScoutingData[[#This Row],[matchNumber]]),"",[1]!ScoutingData[[#This Row],[matchNumber]])</f>
        <v/>
      </c>
      <c r="D459" t="str">
        <f>IF(ISBLANK([1]!ScoutingData[[#This Row],[event]]),"",[1]!ScoutingData[[#This Row],[event]])</f>
        <v/>
      </c>
      <c r="E459" t="str">
        <f>IF(ISBLANK([1]!ScoutingData[[#This Row],[position]]),"",[1]!ScoutingData[[#This Row],[position]])</f>
        <v/>
      </c>
      <c r="F459" t="str">
        <f>IF(ISBLANK([1]!ScoutingData[[#This Row],[leaveStartingZone]]),"",[1]!ScoutingData[[#This Row],[leaveStartingZone]])</f>
        <v/>
      </c>
      <c r="G459" t="str">
        <f>IF(ISBLANK([1]!ScoutingData[[#This Row],[autoAmpScore]]),"",[1]!ScoutingData[[#This Row],[autoAmpScore]])</f>
        <v/>
      </c>
      <c r="H459" t="str">
        <f>IF(ISBLANK([1]!ScoutingData[[#This Row],[autoSpeakerScore]]),"",[1]!ScoutingData[[#This Row],[autoSpeakerScore]])</f>
        <v/>
      </c>
    </row>
    <row r="460" spans="1:8" x14ac:dyDescent="0.45">
      <c r="A460" t="str">
        <f>IF(ISBLANK([1]!ScoutingData[[#This Row],[teamNumber]]),"",[1]!ScoutingData[[#This Row],[teamNumber]])</f>
        <v/>
      </c>
      <c r="B460" t="str">
        <f>IF(ISBLANK([1]!ScoutingData[[#This Row],[matchLevel]]),"",[1]!ScoutingData[[#This Row],[matchLevel]])</f>
        <v/>
      </c>
      <c r="C460" t="str">
        <f>IF(ISBLANK([1]!ScoutingData[[#This Row],[matchNumber]]),"",[1]!ScoutingData[[#This Row],[matchNumber]])</f>
        <v/>
      </c>
      <c r="D460" t="str">
        <f>IF(ISBLANK([1]!ScoutingData[[#This Row],[event]]),"",[1]!ScoutingData[[#This Row],[event]])</f>
        <v/>
      </c>
      <c r="E460" t="str">
        <f>IF(ISBLANK([1]!ScoutingData[[#This Row],[position]]),"",[1]!ScoutingData[[#This Row],[position]])</f>
        <v/>
      </c>
      <c r="F460" t="str">
        <f>IF(ISBLANK([1]!ScoutingData[[#This Row],[leaveStartingZone]]),"",[1]!ScoutingData[[#This Row],[leaveStartingZone]])</f>
        <v/>
      </c>
      <c r="G460" t="str">
        <f>IF(ISBLANK([1]!ScoutingData[[#This Row],[autoAmpScore]]),"",[1]!ScoutingData[[#This Row],[autoAmpScore]])</f>
        <v/>
      </c>
      <c r="H460" t="str">
        <f>IF(ISBLANK([1]!ScoutingData[[#This Row],[autoSpeakerScore]]),"",[1]!ScoutingData[[#This Row],[autoSpeakerScore]])</f>
        <v/>
      </c>
    </row>
    <row r="461" spans="1:8" x14ac:dyDescent="0.45">
      <c r="A461" t="str">
        <f>IF(ISBLANK([1]!ScoutingData[[#This Row],[teamNumber]]),"",[1]!ScoutingData[[#This Row],[teamNumber]])</f>
        <v/>
      </c>
      <c r="B461" t="str">
        <f>IF(ISBLANK([1]!ScoutingData[[#This Row],[matchLevel]]),"",[1]!ScoutingData[[#This Row],[matchLevel]])</f>
        <v/>
      </c>
      <c r="C461" t="str">
        <f>IF(ISBLANK([1]!ScoutingData[[#This Row],[matchNumber]]),"",[1]!ScoutingData[[#This Row],[matchNumber]])</f>
        <v/>
      </c>
      <c r="D461" t="str">
        <f>IF(ISBLANK([1]!ScoutingData[[#This Row],[event]]),"",[1]!ScoutingData[[#This Row],[event]])</f>
        <v/>
      </c>
      <c r="E461" t="str">
        <f>IF(ISBLANK([1]!ScoutingData[[#This Row],[position]]),"",[1]!ScoutingData[[#This Row],[position]])</f>
        <v/>
      </c>
      <c r="F461" t="str">
        <f>IF(ISBLANK([1]!ScoutingData[[#This Row],[leaveStartingZone]]),"",[1]!ScoutingData[[#This Row],[leaveStartingZone]])</f>
        <v/>
      </c>
      <c r="G461" t="str">
        <f>IF(ISBLANK([1]!ScoutingData[[#This Row],[autoAmpScore]]),"",[1]!ScoutingData[[#This Row],[autoAmpScore]])</f>
        <v/>
      </c>
      <c r="H461" t="str">
        <f>IF(ISBLANK([1]!ScoutingData[[#This Row],[autoSpeakerScore]]),"",[1]!ScoutingData[[#This Row],[autoSpeakerScore]])</f>
        <v/>
      </c>
    </row>
    <row r="462" spans="1:8" x14ac:dyDescent="0.45">
      <c r="A462" t="str">
        <f>IF(ISBLANK([1]!ScoutingData[[#This Row],[teamNumber]]),"",[1]!ScoutingData[[#This Row],[teamNumber]])</f>
        <v/>
      </c>
      <c r="B462" t="str">
        <f>IF(ISBLANK([1]!ScoutingData[[#This Row],[matchLevel]]),"",[1]!ScoutingData[[#This Row],[matchLevel]])</f>
        <v/>
      </c>
      <c r="C462" t="str">
        <f>IF(ISBLANK([1]!ScoutingData[[#This Row],[matchNumber]]),"",[1]!ScoutingData[[#This Row],[matchNumber]])</f>
        <v/>
      </c>
      <c r="D462" t="str">
        <f>IF(ISBLANK([1]!ScoutingData[[#This Row],[event]]),"",[1]!ScoutingData[[#This Row],[event]])</f>
        <v/>
      </c>
      <c r="E462" t="str">
        <f>IF(ISBLANK([1]!ScoutingData[[#This Row],[position]]),"",[1]!ScoutingData[[#This Row],[position]])</f>
        <v/>
      </c>
      <c r="F462" t="str">
        <f>IF(ISBLANK([1]!ScoutingData[[#This Row],[leaveStartingZone]]),"",[1]!ScoutingData[[#This Row],[leaveStartingZone]])</f>
        <v/>
      </c>
      <c r="G462" t="str">
        <f>IF(ISBLANK([1]!ScoutingData[[#This Row],[autoAmpScore]]),"",[1]!ScoutingData[[#This Row],[autoAmpScore]])</f>
        <v/>
      </c>
      <c r="H462" t="str">
        <f>IF(ISBLANK([1]!ScoutingData[[#This Row],[autoSpeakerScore]]),"",[1]!ScoutingData[[#This Row],[autoSpeakerScore]])</f>
        <v/>
      </c>
    </row>
    <row r="463" spans="1:8" x14ac:dyDescent="0.45">
      <c r="A463" t="str">
        <f>IF(ISBLANK([1]!ScoutingData[[#This Row],[teamNumber]]),"",[1]!ScoutingData[[#This Row],[teamNumber]])</f>
        <v/>
      </c>
      <c r="B463" t="str">
        <f>IF(ISBLANK([1]!ScoutingData[[#This Row],[matchLevel]]),"",[1]!ScoutingData[[#This Row],[matchLevel]])</f>
        <v/>
      </c>
      <c r="C463" t="str">
        <f>IF(ISBLANK([1]!ScoutingData[[#This Row],[matchNumber]]),"",[1]!ScoutingData[[#This Row],[matchNumber]])</f>
        <v/>
      </c>
      <c r="D463" t="str">
        <f>IF(ISBLANK([1]!ScoutingData[[#This Row],[event]]),"",[1]!ScoutingData[[#This Row],[event]])</f>
        <v/>
      </c>
      <c r="E463" t="str">
        <f>IF(ISBLANK([1]!ScoutingData[[#This Row],[position]]),"",[1]!ScoutingData[[#This Row],[position]])</f>
        <v/>
      </c>
      <c r="F463" t="str">
        <f>IF(ISBLANK([1]!ScoutingData[[#This Row],[leaveStartingZone]]),"",[1]!ScoutingData[[#This Row],[leaveStartingZone]])</f>
        <v/>
      </c>
      <c r="G463" t="str">
        <f>IF(ISBLANK([1]!ScoutingData[[#This Row],[autoAmpScore]]),"",[1]!ScoutingData[[#This Row],[autoAmpScore]])</f>
        <v/>
      </c>
      <c r="H463" t="str">
        <f>IF(ISBLANK([1]!ScoutingData[[#This Row],[autoSpeakerScore]]),"",[1]!ScoutingData[[#This Row],[autoSpeakerScore]])</f>
        <v/>
      </c>
    </row>
    <row r="464" spans="1:8" x14ac:dyDescent="0.45">
      <c r="A464" t="str">
        <f>IF(ISBLANK([1]!ScoutingData[[#This Row],[teamNumber]]),"",[1]!ScoutingData[[#This Row],[teamNumber]])</f>
        <v/>
      </c>
      <c r="B464" t="str">
        <f>IF(ISBLANK([1]!ScoutingData[[#This Row],[matchLevel]]),"",[1]!ScoutingData[[#This Row],[matchLevel]])</f>
        <v/>
      </c>
      <c r="C464" t="str">
        <f>IF(ISBLANK([1]!ScoutingData[[#This Row],[matchNumber]]),"",[1]!ScoutingData[[#This Row],[matchNumber]])</f>
        <v/>
      </c>
      <c r="D464" t="str">
        <f>IF(ISBLANK([1]!ScoutingData[[#This Row],[event]]),"",[1]!ScoutingData[[#This Row],[event]])</f>
        <v/>
      </c>
      <c r="E464" t="str">
        <f>IF(ISBLANK([1]!ScoutingData[[#This Row],[position]]),"",[1]!ScoutingData[[#This Row],[position]])</f>
        <v/>
      </c>
      <c r="F464" t="str">
        <f>IF(ISBLANK([1]!ScoutingData[[#This Row],[leaveStartingZone]]),"",[1]!ScoutingData[[#This Row],[leaveStartingZone]])</f>
        <v/>
      </c>
      <c r="G464" t="str">
        <f>IF(ISBLANK([1]!ScoutingData[[#This Row],[autoAmpScore]]),"",[1]!ScoutingData[[#This Row],[autoAmpScore]])</f>
        <v/>
      </c>
      <c r="H464" t="str">
        <f>IF(ISBLANK([1]!ScoutingData[[#This Row],[autoSpeakerScore]]),"",[1]!ScoutingData[[#This Row],[autoSpeakerScore]])</f>
        <v/>
      </c>
    </row>
    <row r="465" spans="1:8" x14ac:dyDescent="0.45">
      <c r="A465" t="str">
        <f>IF(ISBLANK([1]!ScoutingData[[#This Row],[teamNumber]]),"",[1]!ScoutingData[[#This Row],[teamNumber]])</f>
        <v/>
      </c>
      <c r="B465" t="str">
        <f>IF(ISBLANK([1]!ScoutingData[[#This Row],[matchLevel]]),"",[1]!ScoutingData[[#This Row],[matchLevel]])</f>
        <v/>
      </c>
      <c r="C465" t="str">
        <f>IF(ISBLANK([1]!ScoutingData[[#This Row],[matchNumber]]),"",[1]!ScoutingData[[#This Row],[matchNumber]])</f>
        <v/>
      </c>
      <c r="D465" t="str">
        <f>IF(ISBLANK([1]!ScoutingData[[#This Row],[event]]),"",[1]!ScoutingData[[#This Row],[event]])</f>
        <v/>
      </c>
      <c r="E465" t="str">
        <f>IF(ISBLANK([1]!ScoutingData[[#This Row],[position]]),"",[1]!ScoutingData[[#This Row],[position]])</f>
        <v/>
      </c>
      <c r="F465" t="str">
        <f>IF(ISBLANK([1]!ScoutingData[[#This Row],[leaveStartingZone]]),"",[1]!ScoutingData[[#This Row],[leaveStartingZone]])</f>
        <v/>
      </c>
      <c r="G465" t="str">
        <f>IF(ISBLANK([1]!ScoutingData[[#This Row],[autoAmpScore]]),"",[1]!ScoutingData[[#This Row],[autoAmpScore]])</f>
        <v/>
      </c>
      <c r="H465" t="str">
        <f>IF(ISBLANK([1]!ScoutingData[[#This Row],[autoSpeakerScore]]),"",[1]!ScoutingData[[#This Row],[autoSpeakerScore]])</f>
        <v/>
      </c>
    </row>
    <row r="466" spans="1:8" x14ac:dyDescent="0.45">
      <c r="A466" t="str">
        <f>IF(ISBLANK([1]!ScoutingData[[#This Row],[teamNumber]]),"",[1]!ScoutingData[[#This Row],[teamNumber]])</f>
        <v/>
      </c>
      <c r="B466" t="str">
        <f>IF(ISBLANK([1]!ScoutingData[[#This Row],[matchLevel]]),"",[1]!ScoutingData[[#This Row],[matchLevel]])</f>
        <v/>
      </c>
      <c r="C466" t="str">
        <f>IF(ISBLANK([1]!ScoutingData[[#This Row],[matchNumber]]),"",[1]!ScoutingData[[#This Row],[matchNumber]])</f>
        <v/>
      </c>
      <c r="D466" t="str">
        <f>IF(ISBLANK([1]!ScoutingData[[#This Row],[event]]),"",[1]!ScoutingData[[#This Row],[event]])</f>
        <v/>
      </c>
      <c r="E466" t="str">
        <f>IF(ISBLANK([1]!ScoutingData[[#This Row],[position]]),"",[1]!ScoutingData[[#This Row],[position]])</f>
        <v/>
      </c>
      <c r="F466" t="str">
        <f>IF(ISBLANK([1]!ScoutingData[[#This Row],[leaveStartingZone]]),"",[1]!ScoutingData[[#This Row],[leaveStartingZone]])</f>
        <v/>
      </c>
      <c r="G466" t="str">
        <f>IF(ISBLANK([1]!ScoutingData[[#This Row],[autoAmpScore]]),"",[1]!ScoutingData[[#This Row],[autoAmpScore]])</f>
        <v/>
      </c>
      <c r="H466" t="str">
        <f>IF(ISBLANK([1]!ScoutingData[[#This Row],[autoSpeakerScore]]),"",[1]!ScoutingData[[#This Row],[autoSpeakerScore]])</f>
        <v/>
      </c>
    </row>
    <row r="467" spans="1:8" x14ac:dyDescent="0.45">
      <c r="A467" t="str">
        <f>IF(ISBLANK([1]!ScoutingData[[#This Row],[teamNumber]]),"",[1]!ScoutingData[[#This Row],[teamNumber]])</f>
        <v/>
      </c>
      <c r="B467" t="str">
        <f>IF(ISBLANK([1]!ScoutingData[[#This Row],[matchLevel]]),"",[1]!ScoutingData[[#This Row],[matchLevel]])</f>
        <v/>
      </c>
      <c r="C467" t="str">
        <f>IF(ISBLANK([1]!ScoutingData[[#This Row],[matchNumber]]),"",[1]!ScoutingData[[#This Row],[matchNumber]])</f>
        <v/>
      </c>
      <c r="D467" t="str">
        <f>IF(ISBLANK([1]!ScoutingData[[#This Row],[event]]),"",[1]!ScoutingData[[#This Row],[event]])</f>
        <v/>
      </c>
      <c r="E467" t="str">
        <f>IF(ISBLANK([1]!ScoutingData[[#This Row],[position]]),"",[1]!ScoutingData[[#This Row],[position]])</f>
        <v/>
      </c>
      <c r="F467" t="str">
        <f>IF(ISBLANK([1]!ScoutingData[[#This Row],[leaveStartingZone]]),"",[1]!ScoutingData[[#This Row],[leaveStartingZone]])</f>
        <v/>
      </c>
      <c r="G467" t="str">
        <f>IF(ISBLANK([1]!ScoutingData[[#This Row],[autoAmpScore]]),"",[1]!ScoutingData[[#This Row],[autoAmpScore]])</f>
        <v/>
      </c>
      <c r="H467" t="str">
        <f>IF(ISBLANK([1]!ScoutingData[[#This Row],[autoSpeakerScore]]),"",[1]!ScoutingData[[#This Row],[autoSpeakerScore]])</f>
        <v/>
      </c>
    </row>
    <row r="468" spans="1:8" x14ac:dyDescent="0.45">
      <c r="A468" t="str">
        <f>IF(ISBLANK([1]!ScoutingData[[#This Row],[teamNumber]]),"",[1]!ScoutingData[[#This Row],[teamNumber]])</f>
        <v/>
      </c>
      <c r="B468" t="str">
        <f>IF(ISBLANK([1]!ScoutingData[[#This Row],[matchLevel]]),"",[1]!ScoutingData[[#This Row],[matchLevel]])</f>
        <v/>
      </c>
      <c r="C468" t="str">
        <f>IF(ISBLANK([1]!ScoutingData[[#This Row],[matchNumber]]),"",[1]!ScoutingData[[#This Row],[matchNumber]])</f>
        <v/>
      </c>
      <c r="D468" t="str">
        <f>IF(ISBLANK([1]!ScoutingData[[#This Row],[event]]),"",[1]!ScoutingData[[#This Row],[event]])</f>
        <v/>
      </c>
      <c r="E468" t="str">
        <f>IF(ISBLANK([1]!ScoutingData[[#This Row],[position]]),"",[1]!ScoutingData[[#This Row],[position]])</f>
        <v/>
      </c>
      <c r="F468" t="str">
        <f>IF(ISBLANK([1]!ScoutingData[[#This Row],[leaveStartingZone]]),"",[1]!ScoutingData[[#This Row],[leaveStartingZone]])</f>
        <v/>
      </c>
      <c r="G468" t="str">
        <f>IF(ISBLANK([1]!ScoutingData[[#This Row],[autoAmpScore]]),"",[1]!ScoutingData[[#This Row],[autoAmpScore]])</f>
        <v/>
      </c>
      <c r="H468" t="str">
        <f>IF(ISBLANK([1]!ScoutingData[[#This Row],[autoSpeakerScore]]),"",[1]!ScoutingData[[#This Row],[autoSpeakerScore]])</f>
        <v/>
      </c>
    </row>
    <row r="469" spans="1:8" x14ac:dyDescent="0.45">
      <c r="A469" t="str">
        <f>IF(ISBLANK([1]!ScoutingData[[#This Row],[teamNumber]]),"",[1]!ScoutingData[[#This Row],[teamNumber]])</f>
        <v/>
      </c>
      <c r="B469" t="str">
        <f>IF(ISBLANK([1]!ScoutingData[[#This Row],[matchLevel]]),"",[1]!ScoutingData[[#This Row],[matchLevel]])</f>
        <v/>
      </c>
      <c r="C469" t="str">
        <f>IF(ISBLANK([1]!ScoutingData[[#This Row],[matchNumber]]),"",[1]!ScoutingData[[#This Row],[matchNumber]])</f>
        <v/>
      </c>
      <c r="D469" t="str">
        <f>IF(ISBLANK([1]!ScoutingData[[#This Row],[event]]),"",[1]!ScoutingData[[#This Row],[event]])</f>
        <v/>
      </c>
      <c r="E469" t="str">
        <f>IF(ISBLANK([1]!ScoutingData[[#This Row],[position]]),"",[1]!ScoutingData[[#This Row],[position]])</f>
        <v/>
      </c>
      <c r="F469" t="str">
        <f>IF(ISBLANK([1]!ScoutingData[[#This Row],[leaveStartingZone]]),"",[1]!ScoutingData[[#This Row],[leaveStartingZone]])</f>
        <v/>
      </c>
      <c r="G469" t="str">
        <f>IF(ISBLANK([1]!ScoutingData[[#This Row],[autoAmpScore]]),"",[1]!ScoutingData[[#This Row],[autoAmpScore]])</f>
        <v/>
      </c>
      <c r="H469" t="str">
        <f>IF(ISBLANK([1]!ScoutingData[[#This Row],[autoSpeakerScore]]),"",[1]!ScoutingData[[#This Row],[autoSpeakerScore]])</f>
        <v/>
      </c>
    </row>
    <row r="470" spans="1:8" x14ac:dyDescent="0.45">
      <c r="A470" t="str">
        <f>IF(ISBLANK([1]!ScoutingData[[#This Row],[teamNumber]]),"",[1]!ScoutingData[[#This Row],[teamNumber]])</f>
        <v/>
      </c>
      <c r="B470" t="str">
        <f>IF(ISBLANK([1]!ScoutingData[[#This Row],[matchLevel]]),"",[1]!ScoutingData[[#This Row],[matchLevel]])</f>
        <v/>
      </c>
      <c r="C470" t="str">
        <f>IF(ISBLANK([1]!ScoutingData[[#This Row],[matchNumber]]),"",[1]!ScoutingData[[#This Row],[matchNumber]])</f>
        <v/>
      </c>
      <c r="D470" t="str">
        <f>IF(ISBLANK([1]!ScoutingData[[#This Row],[event]]),"",[1]!ScoutingData[[#This Row],[event]])</f>
        <v/>
      </c>
      <c r="E470" t="str">
        <f>IF(ISBLANK([1]!ScoutingData[[#This Row],[position]]),"",[1]!ScoutingData[[#This Row],[position]])</f>
        <v/>
      </c>
      <c r="F470" t="str">
        <f>IF(ISBLANK([1]!ScoutingData[[#This Row],[leaveStartingZone]]),"",[1]!ScoutingData[[#This Row],[leaveStartingZone]])</f>
        <v/>
      </c>
      <c r="G470" t="str">
        <f>IF(ISBLANK([1]!ScoutingData[[#This Row],[autoAmpScore]]),"",[1]!ScoutingData[[#This Row],[autoAmpScore]])</f>
        <v/>
      </c>
      <c r="H470" t="str">
        <f>IF(ISBLANK([1]!ScoutingData[[#This Row],[autoSpeakerScore]]),"",[1]!ScoutingData[[#This Row],[autoSpeakerScore]])</f>
        <v/>
      </c>
    </row>
    <row r="471" spans="1:8" x14ac:dyDescent="0.45">
      <c r="A471" t="str">
        <f>IF(ISBLANK([1]!ScoutingData[[#This Row],[teamNumber]]),"",[1]!ScoutingData[[#This Row],[teamNumber]])</f>
        <v/>
      </c>
      <c r="B471" t="str">
        <f>IF(ISBLANK([1]!ScoutingData[[#This Row],[matchLevel]]),"",[1]!ScoutingData[[#This Row],[matchLevel]])</f>
        <v/>
      </c>
      <c r="C471" t="str">
        <f>IF(ISBLANK([1]!ScoutingData[[#This Row],[matchNumber]]),"",[1]!ScoutingData[[#This Row],[matchNumber]])</f>
        <v/>
      </c>
      <c r="D471" t="str">
        <f>IF(ISBLANK([1]!ScoutingData[[#This Row],[event]]),"",[1]!ScoutingData[[#This Row],[event]])</f>
        <v/>
      </c>
      <c r="E471" t="str">
        <f>IF(ISBLANK([1]!ScoutingData[[#This Row],[position]]),"",[1]!ScoutingData[[#This Row],[position]])</f>
        <v/>
      </c>
      <c r="F471" t="str">
        <f>IF(ISBLANK([1]!ScoutingData[[#This Row],[leaveStartingZone]]),"",[1]!ScoutingData[[#This Row],[leaveStartingZone]])</f>
        <v/>
      </c>
      <c r="G471" t="str">
        <f>IF(ISBLANK([1]!ScoutingData[[#This Row],[autoAmpScore]]),"",[1]!ScoutingData[[#This Row],[autoAmpScore]])</f>
        <v/>
      </c>
      <c r="H471" t="str">
        <f>IF(ISBLANK([1]!ScoutingData[[#This Row],[autoSpeakerScore]]),"",[1]!ScoutingData[[#This Row],[autoSpeakerScore]])</f>
        <v/>
      </c>
    </row>
    <row r="472" spans="1:8" x14ac:dyDescent="0.45">
      <c r="A472" t="str">
        <f>IF(ISBLANK([1]!ScoutingData[[#This Row],[teamNumber]]),"",[1]!ScoutingData[[#This Row],[teamNumber]])</f>
        <v/>
      </c>
      <c r="B472" t="str">
        <f>IF(ISBLANK([1]!ScoutingData[[#This Row],[matchLevel]]),"",[1]!ScoutingData[[#This Row],[matchLevel]])</f>
        <v/>
      </c>
      <c r="C472" t="str">
        <f>IF(ISBLANK([1]!ScoutingData[[#This Row],[matchNumber]]),"",[1]!ScoutingData[[#This Row],[matchNumber]])</f>
        <v/>
      </c>
      <c r="D472" t="str">
        <f>IF(ISBLANK([1]!ScoutingData[[#This Row],[event]]),"",[1]!ScoutingData[[#This Row],[event]])</f>
        <v/>
      </c>
      <c r="E472" t="str">
        <f>IF(ISBLANK([1]!ScoutingData[[#This Row],[position]]),"",[1]!ScoutingData[[#This Row],[position]])</f>
        <v/>
      </c>
      <c r="F472" t="str">
        <f>IF(ISBLANK([1]!ScoutingData[[#This Row],[leaveStartingZone]]),"",[1]!ScoutingData[[#This Row],[leaveStartingZone]])</f>
        <v/>
      </c>
      <c r="G472" t="str">
        <f>IF(ISBLANK([1]!ScoutingData[[#This Row],[autoAmpScore]]),"",[1]!ScoutingData[[#This Row],[autoAmpScore]])</f>
        <v/>
      </c>
      <c r="H472" t="str">
        <f>IF(ISBLANK([1]!ScoutingData[[#This Row],[autoSpeakerScore]]),"",[1]!ScoutingData[[#This Row],[autoSpeakerScore]])</f>
        <v/>
      </c>
    </row>
    <row r="473" spans="1:8" x14ac:dyDescent="0.45">
      <c r="A473" t="str">
        <f>IF(ISBLANK([1]!ScoutingData[[#This Row],[teamNumber]]),"",[1]!ScoutingData[[#This Row],[teamNumber]])</f>
        <v/>
      </c>
      <c r="B473" t="str">
        <f>IF(ISBLANK([1]!ScoutingData[[#This Row],[matchLevel]]),"",[1]!ScoutingData[[#This Row],[matchLevel]])</f>
        <v/>
      </c>
      <c r="C473" t="str">
        <f>IF(ISBLANK([1]!ScoutingData[[#This Row],[matchNumber]]),"",[1]!ScoutingData[[#This Row],[matchNumber]])</f>
        <v/>
      </c>
      <c r="D473" t="str">
        <f>IF(ISBLANK([1]!ScoutingData[[#This Row],[event]]),"",[1]!ScoutingData[[#This Row],[event]])</f>
        <v/>
      </c>
      <c r="E473" t="str">
        <f>IF(ISBLANK([1]!ScoutingData[[#This Row],[position]]),"",[1]!ScoutingData[[#This Row],[position]])</f>
        <v/>
      </c>
      <c r="F473" t="str">
        <f>IF(ISBLANK([1]!ScoutingData[[#This Row],[leaveStartingZone]]),"",[1]!ScoutingData[[#This Row],[leaveStartingZone]])</f>
        <v/>
      </c>
      <c r="G473" t="str">
        <f>IF(ISBLANK([1]!ScoutingData[[#This Row],[autoAmpScore]]),"",[1]!ScoutingData[[#This Row],[autoAmpScore]])</f>
        <v/>
      </c>
      <c r="H473" t="str">
        <f>IF(ISBLANK([1]!ScoutingData[[#This Row],[autoSpeakerScore]]),"",[1]!ScoutingData[[#This Row],[autoSpeakerScore]])</f>
        <v/>
      </c>
    </row>
    <row r="474" spans="1:8" x14ac:dyDescent="0.45">
      <c r="A474" t="str">
        <f>IF(ISBLANK([1]!ScoutingData[[#This Row],[teamNumber]]),"",[1]!ScoutingData[[#This Row],[teamNumber]])</f>
        <v/>
      </c>
      <c r="B474" t="str">
        <f>IF(ISBLANK([1]!ScoutingData[[#This Row],[matchLevel]]),"",[1]!ScoutingData[[#This Row],[matchLevel]])</f>
        <v/>
      </c>
      <c r="C474" t="str">
        <f>IF(ISBLANK([1]!ScoutingData[[#This Row],[matchNumber]]),"",[1]!ScoutingData[[#This Row],[matchNumber]])</f>
        <v/>
      </c>
      <c r="D474" t="str">
        <f>IF(ISBLANK([1]!ScoutingData[[#This Row],[event]]),"",[1]!ScoutingData[[#This Row],[event]])</f>
        <v/>
      </c>
      <c r="E474" t="str">
        <f>IF(ISBLANK([1]!ScoutingData[[#This Row],[position]]),"",[1]!ScoutingData[[#This Row],[position]])</f>
        <v/>
      </c>
      <c r="F474" t="str">
        <f>IF(ISBLANK([1]!ScoutingData[[#This Row],[leaveStartingZone]]),"",[1]!ScoutingData[[#This Row],[leaveStartingZone]])</f>
        <v/>
      </c>
      <c r="G474" t="str">
        <f>IF(ISBLANK([1]!ScoutingData[[#This Row],[autoAmpScore]]),"",[1]!ScoutingData[[#This Row],[autoAmpScore]])</f>
        <v/>
      </c>
      <c r="H474" t="str">
        <f>IF(ISBLANK([1]!ScoutingData[[#This Row],[autoSpeakerScore]]),"",[1]!ScoutingData[[#This Row],[autoSpeakerScore]])</f>
        <v/>
      </c>
    </row>
    <row r="475" spans="1:8" x14ac:dyDescent="0.45">
      <c r="A475" t="str">
        <f>IF(ISBLANK([1]!ScoutingData[[#This Row],[teamNumber]]),"",[1]!ScoutingData[[#This Row],[teamNumber]])</f>
        <v/>
      </c>
      <c r="B475" t="str">
        <f>IF(ISBLANK([1]!ScoutingData[[#This Row],[matchLevel]]),"",[1]!ScoutingData[[#This Row],[matchLevel]])</f>
        <v/>
      </c>
      <c r="C475" t="str">
        <f>IF(ISBLANK([1]!ScoutingData[[#This Row],[matchNumber]]),"",[1]!ScoutingData[[#This Row],[matchNumber]])</f>
        <v/>
      </c>
      <c r="D475" t="str">
        <f>IF(ISBLANK([1]!ScoutingData[[#This Row],[event]]),"",[1]!ScoutingData[[#This Row],[event]])</f>
        <v/>
      </c>
      <c r="E475" t="str">
        <f>IF(ISBLANK([1]!ScoutingData[[#This Row],[position]]),"",[1]!ScoutingData[[#This Row],[position]])</f>
        <v/>
      </c>
      <c r="F475" t="str">
        <f>IF(ISBLANK([1]!ScoutingData[[#This Row],[leaveStartingZone]]),"",[1]!ScoutingData[[#This Row],[leaveStartingZone]])</f>
        <v/>
      </c>
      <c r="G475" t="str">
        <f>IF(ISBLANK([1]!ScoutingData[[#This Row],[autoAmpScore]]),"",[1]!ScoutingData[[#This Row],[autoAmpScore]])</f>
        <v/>
      </c>
      <c r="H475" t="str">
        <f>IF(ISBLANK([1]!ScoutingData[[#This Row],[autoSpeakerScore]]),"",[1]!ScoutingData[[#This Row],[autoSpeakerScore]])</f>
        <v/>
      </c>
    </row>
    <row r="476" spans="1:8" x14ac:dyDescent="0.45">
      <c r="A476" t="str">
        <f>IF(ISBLANK([1]!ScoutingData[[#This Row],[teamNumber]]),"",[1]!ScoutingData[[#This Row],[teamNumber]])</f>
        <v/>
      </c>
      <c r="B476" t="str">
        <f>IF(ISBLANK([1]!ScoutingData[[#This Row],[matchLevel]]),"",[1]!ScoutingData[[#This Row],[matchLevel]])</f>
        <v/>
      </c>
      <c r="C476" t="str">
        <f>IF(ISBLANK([1]!ScoutingData[[#This Row],[matchNumber]]),"",[1]!ScoutingData[[#This Row],[matchNumber]])</f>
        <v/>
      </c>
      <c r="D476" t="str">
        <f>IF(ISBLANK([1]!ScoutingData[[#This Row],[event]]),"",[1]!ScoutingData[[#This Row],[event]])</f>
        <v/>
      </c>
      <c r="E476" t="str">
        <f>IF(ISBLANK([1]!ScoutingData[[#This Row],[position]]),"",[1]!ScoutingData[[#This Row],[position]])</f>
        <v/>
      </c>
      <c r="F476" t="str">
        <f>IF(ISBLANK([1]!ScoutingData[[#This Row],[leaveStartingZone]]),"",[1]!ScoutingData[[#This Row],[leaveStartingZone]])</f>
        <v/>
      </c>
      <c r="G476" t="str">
        <f>IF(ISBLANK([1]!ScoutingData[[#This Row],[autoAmpScore]]),"",[1]!ScoutingData[[#This Row],[autoAmpScore]])</f>
        <v/>
      </c>
      <c r="H476" t="str">
        <f>IF(ISBLANK([1]!ScoutingData[[#This Row],[autoSpeakerScore]]),"",[1]!ScoutingData[[#This Row],[autoSpeakerScore]])</f>
        <v/>
      </c>
    </row>
    <row r="477" spans="1:8" x14ac:dyDescent="0.45">
      <c r="A477" t="str">
        <f>IF(ISBLANK([1]!ScoutingData[[#This Row],[teamNumber]]),"",[1]!ScoutingData[[#This Row],[teamNumber]])</f>
        <v/>
      </c>
      <c r="B477" t="str">
        <f>IF(ISBLANK([1]!ScoutingData[[#This Row],[matchLevel]]),"",[1]!ScoutingData[[#This Row],[matchLevel]])</f>
        <v/>
      </c>
      <c r="C477" t="str">
        <f>IF(ISBLANK([1]!ScoutingData[[#This Row],[matchNumber]]),"",[1]!ScoutingData[[#This Row],[matchNumber]])</f>
        <v/>
      </c>
      <c r="D477" t="str">
        <f>IF(ISBLANK([1]!ScoutingData[[#This Row],[event]]),"",[1]!ScoutingData[[#This Row],[event]])</f>
        <v/>
      </c>
      <c r="E477" t="str">
        <f>IF(ISBLANK([1]!ScoutingData[[#This Row],[position]]),"",[1]!ScoutingData[[#This Row],[position]])</f>
        <v/>
      </c>
      <c r="F477" t="str">
        <f>IF(ISBLANK([1]!ScoutingData[[#This Row],[leaveStartingZone]]),"",[1]!ScoutingData[[#This Row],[leaveStartingZone]])</f>
        <v/>
      </c>
      <c r="G477" t="str">
        <f>IF(ISBLANK([1]!ScoutingData[[#This Row],[autoAmpScore]]),"",[1]!ScoutingData[[#This Row],[autoAmpScore]])</f>
        <v/>
      </c>
      <c r="H477" t="str">
        <f>IF(ISBLANK([1]!ScoutingData[[#This Row],[autoSpeakerScore]]),"",[1]!ScoutingData[[#This Row],[autoSpeakerScore]])</f>
        <v/>
      </c>
    </row>
    <row r="478" spans="1:8" x14ac:dyDescent="0.45">
      <c r="A478" t="str">
        <f>IF(ISBLANK([1]!ScoutingData[[#This Row],[teamNumber]]),"",[1]!ScoutingData[[#This Row],[teamNumber]])</f>
        <v/>
      </c>
      <c r="B478" t="str">
        <f>IF(ISBLANK([1]!ScoutingData[[#This Row],[matchLevel]]),"",[1]!ScoutingData[[#This Row],[matchLevel]])</f>
        <v/>
      </c>
      <c r="C478" t="str">
        <f>IF(ISBLANK([1]!ScoutingData[[#This Row],[matchNumber]]),"",[1]!ScoutingData[[#This Row],[matchNumber]])</f>
        <v/>
      </c>
      <c r="D478" t="str">
        <f>IF(ISBLANK([1]!ScoutingData[[#This Row],[event]]),"",[1]!ScoutingData[[#This Row],[event]])</f>
        <v/>
      </c>
      <c r="E478" t="str">
        <f>IF(ISBLANK([1]!ScoutingData[[#This Row],[position]]),"",[1]!ScoutingData[[#This Row],[position]])</f>
        <v/>
      </c>
      <c r="F478" t="str">
        <f>IF(ISBLANK([1]!ScoutingData[[#This Row],[leaveStartingZone]]),"",[1]!ScoutingData[[#This Row],[leaveStartingZone]])</f>
        <v/>
      </c>
      <c r="G478" t="str">
        <f>IF(ISBLANK([1]!ScoutingData[[#This Row],[autoAmpScore]]),"",[1]!ScoutingData[[#This Row],[autoAmpScore]])</f>
        <v/>
      </c>
      <c r="H478" t="str">
        <f>IF(ISBLANK([1]!ScoutingData[[#This Row],[autoSpeakerScore]]),"",[1]!ScoutingData[[#This Row],[autoSpeakerScore]])</f>
        <v/>
      </c>
    </row>
    <row r="479" spans="1:8" x14ac:dyDescent="0.45">
      <c r="A479" t="str">
        <f>IF(ISBLANK([1]!ScoutingData[[#This Row],[teamNumber]]),"",[1]!ScoutingData[[#This Row],[teamNumber]])</f>
        <v/>
      </c>
      <c r="B479" t="str">
        <f>IF(ISBLANK([1]!ScoutingData[[#This Row],[matchLevel]]),"",[1]!ScoutingData[[#This Row],[matchLevel]])</f>
        <v/>
      </c>
      <c r="C479" t="str">
        <f>IF(ISBLANK([1]!ScoutingData[[#This Row],[matchNumber]]),"",[1]!ScoutingData[[#This Row],[matchNumber]])</f>
        <v/>
      </c>
      <c r="D479" t="str">
        <f>IF(ISBLANK([1]!ScoutingData[[#This Row],[event]]),"",[1]!ScoutingData[[#This Row],[event]])</f>
        <v/>
      </c>
      <c r="E479" t="str">
        <f>IF(ISBLANK([1]!ScoutingData[[#This Row],[position]]),"",[1]!ScoutingData[[#This Row],[position]])</f>
        <v/>
      </c>
      <c r="F479" t="str">
        <f>IF(ISBLANK([1]!ScoutingData[[#This Row],[leaveStartingZone]]),"",[1]!ScoutingData[[#This Row],[leaveStartingZone]])</f>
        <v/>
      </c>
      <c r="G479" t="str">
        <f>IF(ISBLANK([1]!ScoutingData[[#This Row],[autoAmpScore]]),"",[1]!ScoutingData[[#This Row],[autoAmpScore]])</f>
        <v/>
      </c>
      <c r="H479" t="str">
        <f>IF(ISBLANK([1]!ScoutingData[[#This Row],[autoSpeakerScore]]),"",[1]!ScoutingData[[#This Row],[autoSpeakerScore]])</f>
        <v/>
      </c>
    </row>
    <row r="480" spans="1:8" x14ac:dyDescent="0.45">
      <c r="A480" t="str">
        <f>IF(ISBLANK([1]!ScoutingData[[#This Row],[teamNumber]]),"",[1]!ScoutingData[[#This Row],[teamNumber]])</f>
        <v/>
      </c>
      <c r="B480" t="str">
        <f>IF(ISBLANK([1]!ScoutingData[[#This Row],[matchLevel]]),"",[1]!ScoutingData[[#This Row],[matchLevel]])</f>
        <v/>
      </c>
      <c r="C480" t="str">
        <f>IF(ISBLANK([1]!ScoutingData[[#This Row],[matchNumber]]),"",[1]!ScoutingData[[#This Row],[matchNumber]])</f>
        <v/>
      </c>
      <c r="D480" t="str">
        <f>IF(ISBLANK([1]!ScoutingData[[#This Row],[event]]),"",[1]!ScoutingData[[#This Row],[event]])</f>
        <v/>
      </c>
      <c r="E480" t="str">
        <f>IF(ISBLANK([1]!ScoutingData[[#This Row],[position]]),"",[1]!ScoutingData[[#This Row],[position]])</f>
        <v/>
      </c>
      <c r="F480" t="str">
        <f>IF(ISBLANK([1]!ScoutingData[[#This Row],[leaveStartingZone]]),"",[1]!ScoutingData[[#This Row],[leaveStartingZone]])</f>
        <v/>
      </c>
      <c r="G480" t="str">
        <f>IF(ISBLANK([1]!ScoutingData[[#This Row],[autoAmpScore]]),"",[1]!ScoutingData[[#This Row],[autoAmpScore]])</f>
        <v/>
      </c>
      <c r="H480" t="str">
        <f>IF(ISBLANK([1]!ScoutingData[[#This Row],[autoSpeakerScore]]),"",[1]!ScoutingData[[#This Row],[autoSpeakerScore]])</f>
        <v/>
      </c>
    </row>
    <row r="481" spans="1:8" x14ac:dyDescent="0.45">
      <c r="A481" t="str">
        <f>IF(ISBLANK([1]!ScoutingData[[#This Row],[teamNumber]]),"",[1]!ScoutingData[[#This Row],[teamNumber]])</f>
        <v/>
      </c>
      <c r="B481" t="str">
        <f>IF(ISBLANK([1]!ScoutingData[[#This Row],[matchLevel]]),"",[1]!ScoutingData[[#This Row],[matchLevel]])</f>
        <v/>
      </c>
      <c r="C481" t="str">
        <f>IF(ISBLANK([1]!ScoutingData[[#This Row],[matchNumber]]),"",[1]!ScoutingData[[#This Row],[matchNumber]])</f>
        <v/>
      </c>
      <c r="D481" t="str">
        <f>IF(ISBLANK([1]!ScoutingData[[#This Row],[event]]),"",[1]!ScoutingData[[#This Row],[event]])</f>
        <v/>
      </c>
      <c r="E481" t="str">
        <f>IF(ISBLANK([1]!ScoutingData[[#This Row],[position]]),"",[1]!ScoutingData[[#This Row],[position]])</f>
        <v/>
      </c>
      <c r="F481" t="str">
        <f>IF(ISBLANK([1]!ScoutingData[[#This Row],[leaveStartingZone]]),"",[1]!ScoutingData[[#This Row],[leaveStartingZone]])</f>
        <v/>
      </c>
      <c r="G481" t="str">
        <f>IF(ISBLANK([1]!ScoutingData[[#This Row],[autoAmpScore]]),"",[1]!ScoutingData[[#This Row],[autoAmpScore]])</f>
        <v/>
      </c>
      <c r="H481" t="str">
        <f>IF(ISBLANK([1]!ScoutingData[[#This Row],[autoSpeakerScore]]),"",[1]!ScoutingData[[#This Row],[autoSpeakerScore]])</f>
        <v/>
      </c>
    </row>
    <row r="482" spans="1:8" x14ac:dyDescent="0.45">
      <c r="A482" t="str">
        <f>IF(ISBLANK([1]!ScoutingData[[#This Row],[teamNumber]]),"",[1]!ScoutingData[[#This Row],[teamNumber]])</f>
        <v/>
      </c>
      <c r="B482" t="str">
        <f>IF(ISBLANK([1]!ScoutingData[[#This Row],[matchLevel]]),"",[1]!ScoutingData[[#This Row],[matchLevel]])</f>
        <v/>
      </c>
      <c r="C482" t="str">
        <f>IF(ISBLANK([1]!ScoutingData[[#This Row],[matchNumber]]),"",[1]!ScoutingData[[#This Row],[matchNumber]])</f>
        <v/>
      </c>
      <c r="D482" t="str">
        <f>IF(ISBLANK([1]!ScoutingData[[#This Row],[event]]),"",[1]!ScoutingData[[#This Row],[event]])</f>
        <v/>
      </c>
      <c r="E482" t="str">
        <f>IF(ISBLANK([1]!ScoutingData[[#This Row],[position]]),"",[1]!ScoutingData[[#This Row],[position]])</f>
        <v/>
      </c>
      <c r="F482" t="str">
        <f>IF(ISBLANK([1]!ScoutingData[[#This Row],[leaveStartingZone]]),"",[1]!ScoutingData[[#This Row],[leaveStartingZone]])</f>
        <v/>
      </c>
      <c r="G482" t="str">
        <f>IF(ISBLANK([1]!ScoutingData[[#This Row],[autoAmpScore]]),"",[1]!ScoutingData[[#This Row],[autoAmpScore]])</f>
        <v/>
      </c>
      <c r="H482" t="str">
        <f>IF(ISBLANK([1]!ScoutingData[[#This Row],[autoSpeakerScore]]),"",[1]!ScoutingData[[#This Row],[autoSpeakerScore]])</f>
        <v/>
      </c>
    </row>
    <row r="483" spans="1:8" x14ac:dyDescent="0.45">
      <c r="A483" t="str">
        <f>IF(ISBLANK([1]!ScoutingData[[#This Row],[teamNumber]]),"",[1]!ScoutingData[[#This Row],[teamNumber]])</f>
        <v/>
      </c>
      <c r="B483" t="str">
        <f>IF(ISBLANK([1]!ScoutingData[[#This Row],[matchLevel]]),"",[1]!ScoutingData[[#This Row],[matchLevel]])</f>
        <v/>
      </c>
      <c r="C483" t="str">
        <f>IF(ISBLANK([1]!ScoutingData[[#This Row],[matchNumber]]),"",[1]!ScoutingData[[#This Row],[matchNumber]])</f>
        <v/>
      </c>
      <c r="D483" t="str">
        <f>IF(ISBLANK([1]!ScoutingData[[#This Row],[event]]),"",[1]!ScoutingData[[#This Row],[event]])</f>
        <v/>
      </c>
      <c r="E483" t="str">
        <f>IF(ISBLANK([1]!ScoutingData[[#This Row],[position]]),"",[1]!ScoutingData[[#This Row],[position]])</f>
        <v/>
      </c>
      <c r="F483" t="str">
        <f>IF(ISBLANK([1]!ScoutingData[[#This Row],[leaveStartingZone]]),"",[1]!ScoutingData[[#This Row],[leaveStartingZone]])</f>
        <v/>
      </c>
      <c r="G483" t="str">
        <f>IF(ISBLANK([1]!ScoutingData[[#This Row],[autoAmpScore]]),"",[1]!ScoutingData[[#This Row],[autoAmpScore]])</f>
        <v/>
      </c>
      <c r="H483" t="str">
        <f>IF(ISBLANK([1]!ScoutingData[[#This Row],[autoSpeakerScore]]),"",[1]!ScoutingData[[#This Row],[autoSpeakerScore]])</f>
        <v/>
      </c>
    </row>
    <row r="484" spans="1:8" x14ac:dyDescent="0.45">
      <c r="A484" t="str">
        <f>IF(ISBLANK([1]!ScoutingData[[#This Row],[teamNumber]]),"",[1]!ScoutingData[[#This Row],[teamNumber]])</f>
        <v/>
      </c>
      <c r="B484" t="str">
        <f>IF(ISBLANK([1]!ScoutingData[[#This Row],[matchLevel]]),"",[1]!ScoutingData[[#This Row],[matchLevel]])</f>
        <v/>
      </c>
      <c r="C484" t="str">
        <f>IF(ISBLANK([1]!ScoutingData[[#This Row],[matchNumber]]),"",[1]!ScoutingData[[#This Row],[matchNumber]])</f>
        <v/>
      </c>
      <c r="D484" t="str">
        <f>IF(ISBLANK([1]!ScoutingData[[#This Row],[event]]),"",[1]!ScoutingData[[#This Row],[event]])</f>
        <v/>
      </c>
      <c r="E484" t="str">
        <f>IF(ISBLANK([1]!ScoutingData[[#This Row],[position]]),"",[1]!ScoutingData[[#This Row],[position]])</f>
        <v/>
      </c>
      <c r="F484" t="str">
        <f>IF(ISBLANK([1]!ScoutingData[[#This Row],[leaveStartingZone]]),"",[1]!ScoutingData[[#This Row],[leaveStartingZone]])</f>
        <v/>
      </c>
      <c r="G484" t="str">
        <f>IF(ISBLANK([1]!ScoutingData[[#This Row],[autoAmpScore]]),"",[1]!ScoutingData[[#This Row],[autoAmpScore]])</f>
        <v/>
      </c>
      <c r="H484" t="str">
        <f>IF(ISBLANK([1]!ScoutingData[[#This Row],[autoSpeakerScore]]),"",[1]!ScoutingData[[#This Row],[autoSpeakerScore]])</f>
        <v/>
      </c>
    </row>
    <row r="485" spans="1:8" x14ac:dyDescent="0.45">
      <c r="A485" t="str">
        <f>IF(ISBLANK([1]!ScoutingData[[#This Row],[teamNumber]]),"",[1]!ScoutingData[[#This Row],[teamNumber]])</f>
        <v/>
      </c>
      <c r="B485" t="str">
        <f>IF(ISBLANK([1]!ScoutingData[[#This Row],[matchLevel]]),"",[1]!ScoutingData[[#This Row],[matchLevel]])</f>
        <v/>
      </c>
      <c r="C485" t="str">
        <f>IF(ISBLANK([1]!ScoutingData[[#This Row],[matchNumber]]),"",[1]!ScoutingData[[#This Row],[matchNumber]])</f>
        <v/>
      </c>
      <c r="D485" t="str">
        <f>IF(ISBLANK([1]!ScoutingData[[#This Row],[event]]),"",[1]!ScoutingData[[#This Row],[event]])</f>
        <v/>
      </c>
      <c r="E485" t="str">
        <f>IF(ISBLANK([1]!ScoutingData[[#This Row],[position]]),"",[1]!ScoutingData[[#This Row],[position]])</f>
        <v/>
      </c>
      <c r="F485" t="str">
        <f>IF(ISBLANK([1]!ScoutingData[[#This Row],[leaveStartingZone]]),"",[1]!ScoutingData[[#This Row],[leaveStartingZone]])</f>
        <v/>
      </c>
      <c r="G485" t="str">
        <f>IF(ISBLANK([1]!ScoutingData[[#This Row],[autoAmpScore]]),"",[1]!ScoutingData[[#This Row],[autoAmpScore]])</f>
        <v/>
      </c>
      <c r="H485" t="str">
        <f>IF(ISBLANK([1]!ScoutingData[[#This Row],[autoSpeakerScore]]),"",[1]!ScoutingData[[#This Row],[autoSpeakerScore]])</f>
        <v/>
      </c>
    </row>
    <row r="486" spans="1:8" x14ac:dyDescent="0.45">
      <c r="A486" t="str">
        <f>IF(ISBLANK([1]!ScoutingData[[#This Row],[teamNumber]]),"",[1]!ScoutingData[[#This Row],[teamNumber]])</f>
        <v/>
      </c>
      <c r="B486" t="str">
        <f>IF(ISBLANK([1]!ScoutingData[[#This Row],[matchLevel]]),"",[1]!ScoutingData[[#This Row],[matchLevel]])</f>
        <v/>
      </c>
      <c r="C486" t="str">
        <f>IF(ISBLANK([1]!ScoutingData[[#This Row],[matchNumber]]),"",[1]!ScoutingData[[#This Row],[matchNumber]])</f>
        <v/>
      </c>
      <c r="D486" t="str">
        <f>IF(ISBLANK([1]!ScoutingData[[#This Row],[event]]),"",[1]!ScoutingData[[#This Row],[event]])</f>
        <v/>
      </c>
      <c r="E486" t="str">
        <f>IF(ISBLANK([1]!ScoutingData[[#This Row],[position]]),"",[1]!ScoutingData[[#This Row],[position]])</f>
        <v/>
      </c>
      <c r="F486" t="str">
        <f>IF(ISBLANK([1]!ScoutingData[[#This Row],[leaveStartingZone]]),"",[1]!ScoutingData[[#This Row],[leaveStartingZone]])</f>
        <v/>
      </c>
      <c r="G486" t="str">
        <f>IF(ISBLANK([1]!ScoutingData[[#This Row],[autoAmpScore]]),"",[1]!ScoutingData[[#This Row],[autoAmpScore]])</f>
        <v/>
      </c>
      <c r="H486" t="str">
        <f>IF(ISBLANK([1]!ScoutingData[[#This Row],[autoSpeakerScore]]),"",[1]!ScoutingData[[#This Row],[autoSpeakerScore]])</f>
        <v/>
      </c>
    </row>
    <row r="487" spans="1:8" x14ac:dyDescent="0.45">
      <c r="A487" t="str">
        <f>IF(ISBLANK([1]!ScoutingData[[#This Row],[teamNumber]]),"",[1]!ScoutingData[[#This Row],[teamNumber]])</f>
        <v/>
      </c>
      <c r="B487" t="str">
        <f>IF(ISBLANK([1]!ScoutingData[[#This Row],[matchLevel]]),"",[1]!ScoutingData[[#This Row],[matchLevel]])</f>
        <v/>
      </c>
      <c r="C487" t="str">
        <f>IF(ISBLANK([1]!ScoutingData[[#This Row],[matchNumber]]),"",[1]!ScoutingData[[#This Row],[matchNumber]])</f>
        <v/>
      </c>
      <c r="D487" t="str">
        <f>IF(ISBLANK([1]!ScoutingData[[#This Row],[event]]),"",[1]!ScoutingData[[#This Row],[event]])</f>
        <v/>
      </c>
      <c r="E487" t="str">
        <f>IF(ISBLANK([1]!ScoutingData[[#This Row],[position]]),"",[1]!ScoutingData[[#This Row],[position]])</f>
        <v/>
      </c>
      <c r="F487" t="str">
        <f>IF(ISBLANK([1]!ScoutingData[[#This Row],[leaveStartingZone]]),"",[1]!ScoutingData[[#This Row],[leaveStartingZone]])</f>
        <v/>
      </c>
      <c r="G487" t="str">
        <f>IF(ISBLANK([1]!ScoutingData[[#This Row],[autoAmpScore]]),"",[1]!ScoutingData[[#This Row],[autoAmpScore]])</f>
        <v/>
      </c>
      <c r="H487" t="str">
        <f>IF(ISBLANK([1]!ScoutingData[[#This Row],[autoSpeakerScore]]),"",[1]!ScoutingData[[#This Row],[autoSpeakerScore]])</f>
        <v/>
      </c>
    </row>
    <row r="488" spans="1:8" x14ac:dyDescent="0.45">
      <c r="A488" t="str">
        <f>IF(ISBLANK([1]!ScoutingData[[#This Row],[teamNumber]]),"",[1]!ScoutingData[[#This Row],[teamNumber]])</f>
        <v/>
      </c>
      <c r="B488" t="str">
        <f>IF(ISBLANK([1]!ScoutingData[[#This Row],[matchLevel]]),"",[1]!ScoutingData[[#This Row],[matchLevel]])</f>
        <v/>
      </c>
      <c r="C488" t="str">
        <f>IF(ISBLANK([1]!ScoutingData[[#This Row],[matchNumber]]),"",[1]!ScoutingData[[#This Row],[matchNumber]])</f>
        <v/>
      </c>
      <c r="D488" t="str">
        <f>IF(ISBLANK([1]!ScoutingData[[#This Row],[event]]),"",[1]!ScoutingData[[#This Row],[event]])</f>
        <v/>
      </c>
      <c r="E488" t="str">
        <f>IF(ISBLANK([1]!ScoutingData[[#This Row],[position]]),"",[1]!ScoutingData[[#This Row],[position]])</f>
        <v/>
      </c>
      <c r="F488" t="str">
        <f>IF(ISBLANK([1]!ScoutingData[[#This Row],[leaveStartingZone]]),"",[1]!ScoutingData[[#This Row],[leaveStartingZone]])</f>
        <v/>
      </c>
      <c r="G488" t="str">
        <f>IF(ISBLANK([1]!ScoutingData[[#This Row],[autoAmpScore]]),"",[1]!ScoutingData[[#This Row],[autoAmpScore]])</f>
        <v/>
      </c>
      <c r="H488" t="str">
        <f>IF(ISBLANK([1]!ScoutingData[[#This Row],[autoSpeakerScore]]),"",[1]!ScoutingData[[#This Row],[autoSpeakerScore]])</f>
        <v/>
      </c>
    </row>
    <row r="489" spans="1:8" x14ac:dyDescent="0.45">
      <c r="A489" t="str">
        <f>IF(ISBLANK([1]!ScoutingData[[#This Row],[teamNumber]]),"",[1]!ScoutingData[[#This Row],[teamNumber]])</f>
        <v/>
      </c>
      <c r="B489" t="str">
        <f>IF(ISBLANK([1]!ScoutingData[[#This Row],[matchLevel]]),"",[1]!ScoutingData[[#This Row],[matchLevel]])</f>
        <v/>
      </c>
      <c r="C489" t="str">
        <f>IF(ISBLANK([1]!ScoutingData[[#This Row],[matchNumber]]),"",[1]!ScoutingData[[#This Row],[matchNumber]])</f>
        <v/>
      </c>
      <c r="D489" t="str">
        <f>IF(ISBLANK([1]!ScoutingData[[#This Row],[event]]),"",[1]!ScoutingData[[#This Row],[event]])</f>
        <v/>
      </c>
      <c r="E489" t="str">
        <f>IF(ISBLANK([1]!ScoutingData[[#This Row],[position]]),"",[1]!ScoutingData[[#This Row],[position]])</f>
        <v/>
      </c>
      <c r="F489" t="str">
        <f>IF(ISBLANK([1]!ScoutingData[[#This Row],[leaveStartingZone]]),"",[1]!ScoutingData[[#This Row],[leaveStartingZone]])</f>
        <v/>
      </c>
      <c r="G489" t="str">
        <f>IF(ISBLANK([1]!ScoutingData[[#This Row],[autoAmpScore]]),"",[1]!ScoutingData[[#This Row],[autoAmpScore]])</f>
        <v/>
      </c>
      <c r="H489" t="str">
        <f>IF(ISBLANK([1]!ScoutingData[[#This Row],[autoSpeakerScore]]),"",[1]!ScoutingData[[#This Row],[autoSpeakerScore]])</f>
        <v/>
      </c>
    </row>
    <row r="490" spans="1:8" x14ac:dyDescent="0.45">
      <c r="A490" t="str">
        <f>IF(ISBLANK([1]!ScoutingData[[#This Row],[teamNumber]]),"",[1]!ScoutingData[[#This Row],[teamNumber]])</f>
        <v/>
      </c>
      <c r="B490" t="str">
        <f>IF(ISBLANK([1]!ScoutingData[[#This Row],[matchLevel]]),"",[1]!ScoutingData[[#This Row],[matchLevel]])</f>
        <v/>
      </c>
      <c r="C490" t="str">
        <f>IF(ISBLANK([1]!ScoutingData[[#This Row],[matchNumber]]),"",[1]!ScoutingData[[#This Row],[matchNumber]])</f>
        <v/>
      </c>
      <c r="D490" t="str">
        <f>IF(ISBLANK([1]!ScoutingData[[#This Row],[event]]),"",[1]!ScoutingData[[#This Row],[event]])</f>
        <v/>
      </c>
      <c r="E490" t="str">
        <f>IF(ISBLANK([1]!ScoutingData[[#This Row],[position]]),"",[1]!ScoutingData[[#This Row],[position]])</f>
        <v/>
      </c>
      <c r="F490" t="str">
        <f>IF(ISBLANK([1]!ScoutingData[[#This Row],[leaveStartingZone]]),"",[1]!ScoutingData[[#This Row],[leaveStartingZone]])</f>
        <v/>
      </c>
      <c r="G490" t="str">
        <f>IF(ISBLANK([1]!ScoutingData[[#This Row],[autoAmpScore]]),"",[1]!ScoutingData[[#This Row],[autoAmpScore]])</f>
        <v/>
      </c>
      <c r="H490" t="str">
        <f>IF(ISBLANK([1]!ScoutingData[[#This Row],[autoSpeakerScore]]),"",[1]!ScoutingData[[#This Row],[autoSpeakerScore]])</f>
        <v/>
      </c>
    </row>
    <row r="491" spans="1:8" x14ac:dyDescent="0.45">
      <c r="A491" t="str">
        <f>IF(ISBLANK([1]!ScoutingData[[#This Row],[teamNumber]]),"",[1]!ScoutingData[[#This Row],[teamNumber]])</f>
        <v/>
      </c>
      <c r="B491" t="str">
        <f>IF(ISBLANK([1]!ScoutingData[[#This Row],[matchLevel]]),"",[1]!ScoutingData[[#This Row],[matchLevel]])</f>
        <v/>
      </c>
      <c r="C491" t="str">
        <f>IF(ISBLANK([1]!ScoutingData[[#This Row],[matchNumber]]),"",[1]!ScoutingData[[#This Row],[matchNumber]])</f>
        <v/>
      </c>
      <c r="D491" t="str">
        <f>IF(ISBLANK([1]!ScoutingData[[#This Row],[event]]),"",[1]!ScoutingData[[#This Row],[event]])</f>
        <v/>
      </c>
      <c r="E491" t="str">
        <f>IF(ISBLANK([1]!ScoutingData[[#This Row],[position]]),"",[1]!ScoutingData[[#This Row],[position]])</f>
        <v/>
      </c>
      <c r="F491" t="str">
        <f>IF(ISBLANK([1]!ScoutingData[[#This Row],[leaveStartingZone]]),"",[1]!ScoutingData[[#This Row],[leaveStartingZone]])</f>
        <v/>
      </c>
      <c r="G491" t="str">
        <f>IF(ISBLANK([1]!ScoutingData[[#This Row],[autoAmpScore]]),"",[1]!ScoutingData[[#This Row],[autoAmpScore]])</f>
        <v/>
      </c>
      <c r="H491" t="str">
        <f>IF(ISBLANK([1]!ScoutingData[[#This Row],[autoSpeakerScore]]),"",[1]!ScoutingData[[#This Row],[autoSpeakerScore]])</f>
        <v/>
      </c>
    </row>
    <row r="492" spans="1:8" x14ac:dyDescent="0.45">
      <c r="A492" t="str">
        <f>IF(ISBLANK([1]!ScoutingData[[#This Row],[teamNumber]]),"",[1]!ScoutingData[[#This Row],[teamNumber]])</f>
        <v/>
      </c>
      <c r="B492" t="str">
        <f>IF(ISBLANK([1]!ScoutingData[[#This Row],[matchLevel]]),"",[1]!ScoutingData[[#This Row],[matchLevel]])</f>
        <v/>
      </c>
      <c r="C492" t="str">
        <f>IF(ISBLANK([1]!ScoutingData[[#This Row],[matchNumber]]),"",[1]!ScoutingData[[#This Row],[matchNumber]])</f>
        <v/>
      </c>
      <c r="D492" t="str">
        <f>IF(ISBLANK([1]!ScoutingData[[#This Row],[event]]),"",[1]!ScoutingData[[#This Row],[event]])</f>
        <v/>
      </c>
      <c r="E492" t="str">
        <f>IF(ISBLANK([1]!ScoutingData[[#This Row],[position]]),"",[1]!ScoutingData[[#This Row],[position]])</f>
        <v/>
      </c>
      <c r="F492" t="str">
        <f>IF(ISBLANK([1]!ScoutingData[[#This Row],[leaveStartingZone]]),"",[1]!ScoutingData[[#This Row],[leaveStartingZone]])</f>
        <v/>
      </c>
      <c r="G492" t="str">
        <f>IF(ISBLANK([1]!ScoutingData[[#This Row],[autoAmpScore]]),"",[1]!ScoutingData[[#This Row],[autoAmpScore]])</f>
        <v/>
      </c>
      <c r="H492" t="str">
        <f>IF(ISBLANK([1]!ScoutingData[[#This Row],[autoSpeakerScore]]),"",[1]!ScoutingData[[#This Row],[autoSpeakerScore]])</f>
        <v/>
      </c>
    </row>
    <row r="493" spans="1:8" x14ac:dyDescent="0.45">
      <c r="A493" t="str">
        <f>IF(ISBLANK([1]!ScoutingData[[#This Row],[teamNumber]]),"",[1]!ScoutingData[[#This Row],[teamNumber]])</f>
        <v/>
      </c>
      <c r="B493" t="str">
        <f>IF(ISBLANK([1]!ScoutingData[[#This Row],[matchLevel]]),"",[1]!ScoutingData[[#This Row],[matchLevel]])</f>
        <v/>
      </c>
      <c r="C493" t="str">
        <f>IF(ISBLANK([1]!ScoutingData[[#This Row],[matchNumber]]),"",[1]!ScoutingData[[#This Row],[matchNumber]])</f>
        <v/>
      </c>
      <c r="D493" t="str">
        <f>IF(ISBLANK([1]!ScoutingData[[#This Row],[event]]),"",[1]!ScoutingData[[#This Row],[event]])</f>
        <v/>
      </c>
      <c r="E493" t="str">
        <f>IF(ISBLANK([1]!ScoutingData[[#This Row],[position]]),"",[1]!ScoutingData[[#This Row],[position]])</f>
        <v/>
      </c>
      <c r="F493" t="str">
        <f>IF(ISBLANK([1]!ScoutingData[[#This Row],[leaveStartingZone]]),"",[1]!ScoutingData[[#This Row],[leaveStartingZone]])</f>
        <v/>
      </c>
      <c r="G493" t="str">
        <f>IF(ISBLANK([1]!ScoutingData[[#This Row],[autoAmpScore]]),"",[1]!ScoutingData[[#This Row],[autoAmpScore]])</f>
        <v/>
      </c>
      <c r="H493" t="str">
        <f>IF(ISBLANK([1]!ScoutingData[[#This Row],[autoSpeakerScore]]),"",[1]!ScoutingData[[#This Row],[autoSpeakerScore]])</f>
        <v/>
      </c>
    </row>
    <row r="494" spans="1:8" x14ac:dyDescent="0.45">
      <c r="A494" t="str">
        <f>IF(ISBLANK([1]!ScoutingData[[#This Row],[teamNumber]]),"",[1]!ScoutingData[[#This Row],[teamNumber]])</f>
        <v/>
      </c>
      <c r="B494" t="str">
        <f>IF(ISBLANK([1]!ScoutingData[[#This Row],[matchLevel]]),"",[1]!ScoutingData[[#This Row],[matchLevel]])</f>
        <v/>
      </c>
      <c r="C494" t="str">
        <f>IF(ISBLANK([1]!ScoutingData[[#This Row],[matchNumber]]),"",[1]!ScoutingData[[#This Row],[matchNumber]])</f>
        <v/>
      </c>
      <c r="D494" t="str">
        <f>IF(ISBLANK([1]!ScoutingData[[#This Row],[event]]),"",[1]!ScoutingData[[#This Row],[event]])</f>
        <v/>
      </c>
      <c r="E494" t="str">
        <f>IF(ISBLANK([1]!ScoutingData[[#This Row],[position]]),"",[1]!ScoutingData[[#This Row],[position]])</f>
        <v/>
      </c>
      <c r="F494" t="str">
        <f>IF(ISBLANK([1]!ScoutingData[[#This Row],[leaveStartingZone]]),"",[1]!ScoutingData[[#This Row],[leaveStartingZone]])</f>
        <v/>
      </c>
      <c r="G494" t="str">
        <f>IF(ISBLANK([1]!ScoutingData[[#This Row],[autoAmpScore]]),"",[1]!ScoutingData[[#This Row],[autoAmpScore]])</f>
        <v/>
      </c>
      <c r="H494" t="str">
        <f>IF(ISBLANK([1]!ScoutingData[[#This Row],[autoSpeakerScore]]),"",[1]!ScoutingData[[#This Row],[autoSpeakerScore]])</f>
        <v/>
      </c>
    </row>
    <row r="495" spans="1:8" x14ac:dyDescent="0.45">
      <c r="A495" t="str">
        <f>IF(ISBLANK([1]!ScoutingData[[#This Row],[teamNumber]]),"",[1]!ScoutingData[[#This Row],[teamNumber]])</f>
        <v/>
      </c>
      <c r="B495" t="str">
        <f>IF(ISBLANK([1]!ScoutingData[[#This Row],[matchLevel]]),"",[1]!ScoutingData[[#This Row],[matchLevel]])</f>
        <v/>
      </c>
      <c r="C495" t="str">
        <f>IF(ISBLANK([1]!ScoutingData[[#This Row],[matchNumber]]),"",[1]!ScoutingData[[#This Row],[matchNumber]])</f>
        <v/>
      </c>
      <c r="D495" t="str">
        <f>IF(ISBLANK([1]!ScoutingData[[#This Row],[event]]),"",[1]!ScoutingData[[#This Row],[event]])</f>
        <v/>
      </c>
      <c r="E495" t="str">
        <f>IF(ISBLANK([1]!ScoutingData[[#This Row],[position]]),"",[1]!ScoutingData[[#This Row],[position]])</f>
        <v/>
      </c>
      <c r="F495" t="str">
        <f>IF(ISBLANK([1]!ScoutingData[[#This Row],[leaveStartingZone]]),"",[1]!ScoutingData[[#This Row],[leaveStartingZone]])</f>
        <v/>
      </c>
      <c r="G495" t="str">
        <f>IF(ISBLANK([1]!ScoutingData[[#This Row],[autoAmpScore]]),"",[1]!ScoutingData[[#This Row],[autoAmpScore]])</f>
        <v/>
      </c>
      <c r="H495" t="str">
        <f>IF(ISBLANK([1]!ScoutingData[[#This Row],[autoSpeakerScore]]),"",[1]!ScoutingData[[#This Row],[autoSpeakerScore]])</f>
        <v/>
      </c>
    </row>
    <row r="496" spans="1:8" x14ac:dyDescent="0.45">
      <c r="A496" t="str">
        <f>IF(ISBLANK([1]!ScoutingData[[#This Row],[teamNumber]]),"",[1]!ScoutingData[[#This Row],[teamNumber]])</f>
        <v/>
      </c>
      <c r="B496" t="str">
        <f>IF(ISBLANK([1]!ScoutingData[[#This Row],[matchLevel]]),"",[1]!ScoutingData[[#This Row],[matchLevel]])</f>
        <v/>
      </c>
      <c r="C496" t="str">
        <f>IF(ISBLANK([1]!ScoutingData[[#This Row],[matchNumber]]),"",[1]!ScoutingData[[#This Row],[matchNumber]])</f>
        <v/>
      </c>
      <c r="D496" t="str">
        <f>IF(ISBLANK([1]!ScoutingData[[#This Row],[event]]),"",[1]!ScoutingData[[#This Row],[event]])</f>
        <v/>
      </c>
      <c r="E496" t="str">
        <f>IF(ISBLANK([1]!ScoutingData[[#This Row],[position]]),"",[1]!ScoutingData[[#This Row],[position]])</f>
        <v/>
      </c>
      <c r="F496" t="str">
        <f>IF(ISBLANK([1]!ScoutingData[[#This Row],[leaveStartingZone]]),"",[1]!ScoutingData[[#This Row],[leaveStartingZone]])</f>
        <v/>
      </c>
      <c r="G496" t="str">
        <f>IF(ISBLANK([1]!ScoutingData[[#This Row],[autoAmpScore]]),"",[1]!ScoutingData[[#This Row],[autoAmpScore]])</f>
        <v/>
      </c>
      <c r="H496" t="str">
        <f>IF(ISBLANK([1]!ScoutingData[[#This Row],[autoSpeakerScore]]),"",[1]!ScoutingData[[#This Row],[autoSpeakerScore]])</f>
        <v/>
      </c>
    </row>
    <row r="497" spans="1:8" x14ac:dyDescent="0.45">
      <c r="A497" t="str">
        <f>IF(ISBLANK([1]!ScoutingData[[#This Row],[teamNumber]]),"",[1]!ScoutingData[[#This Row],[teamNumber]])</f>
        <v/>
      </c>
      <c r="B497" t="str">
        <f>IF(ISBLANK([1]!ScoutingData[[#This Row],[matchLevel]]),"",[1]!ScoutingData[[#This Row],[matchLevel]])</f>
        <v/>
      </c>
      <c r="C497" t="str">
        <f>IF(ISBLANK([1]!ScoutingData[[#This Row],[matchNumber]]),"",[1]!ScoutingData[[#This Row],[matchNumber]])</f>
        <v/>
      </c>
      <c r="D497" t="str">
        <f>IF(ISBLANK([1]!ScoutingData[[#This Row],[event]]),"",[1]!ScoutingData[[#This Row],[event]])</f>
        <v/>
      </c>
      <c r="E497" t="str">
        <f>IF(ISBLANK([1]!ScoutingData[[#This Row],[position]]),"",[1]!ScoutingData[[#This Row],[position]])</f>
        <v/>
      </c>
      <c r="F497" t="str">
        <f>IF(ISBLANK([1]!ScoutingData[[#This Row],[leaveStartingZone]]),"",[1]!ScoutingData[[#This Row],[leaveStartingZone]])</f>
        <v/>
      </c>
      <c r="G497" t="str">
        <f>IF(ISBLANK([1]!ScoutingData[[#This Row],[autoAmpScore]]),"",[1]!ScoutingData[[#This Row],[autoAmpScore]])</f>
        <v/>
      </c>
      <c r="H497" t="str">
        <f>IF(ISBLANK([1]!ScoutingData[[#This Row],[autoSpeakerScore]]),"",[1]!ScoutingData[[#This Row],[autoSpeakerScore]])</f>
        <v/>
      </c>
    </row>
    <row r="498" spans="1:8" x14ac:dyDescent="0.45">
      <c r="A498" t="str">
        <f>IF(ISBLANK([1]!ScoutingData[[#This Row],[teamNumber]]),"",[1]!ScoutingData[[#This Row],[teamNumber]])</f>
        <v/>
      </c>
      <c r="B498" t="str">
        <f>IF(ISBLANK([1]!ScoutingData[[#This Row],[matchLevel]]),"",[1]!ScoutingData[[#This Row],[matchLevel]])</f>
        <v/>
      </c>
      <c r="C498" t="str">
        <f>IF(ISBLANK([1]!ScoutingData[[#This Row],[matchNumber]]),"",[1]!ScoutingData[[#This Row],[matchNumber]])</f>
        <v/>
      </c>
      <c r="D498" t="str">
        <f>IF(ISBLANK([1]!ScoutingData[[#This Row],[event]]),"",[1]!ScoutingData[[#This Row],[event]])</f>
        <v/>
      </c>
      <c r="E498" t="str">
        <f>IF(ISBLANK([1]!ScoutingData[[#This Row],[position]]),"",[1]!ScoutingData[[#This Row],[position]])</f>
        <v/>
      </c>
      <c r="F498" t="str">
        <f>IF(ISBLANK([1]!ScoutingData[[#This Row],[leaveStartingZone]]),"",[1]!ScoutingData[[#This Row],[leaveStartingZone]])</f>
        <v/>
      </c>
      <c r="G498" t="str">
        <f>IF(ISBLANK([1]!ScoutingData[[#This Row],[autoAmpScore]]),"",[1]!ScoutingData[[#This Row],[autoAmpScore]])</f>
        <v/>
      </c>
      <c r="H498" t="str">
        <f>IF(ISBLANK([1]!ScoutingData[[#This Row],[autoSpeakerScore]]),"",[1]!ScoutingData[[#This Row],[autoSpeakerScore]])</f>
        <v/>
      </c>
    </row>
    <row r="499" spans="1:8" x14ac:dyDescent="0.45">
      <c r="A499" t="str">
        <f>IF(ISBLANK([1]!ScoutingData[[#This Row],[teamNumber]]),"",[1]!ScoutingData[[#This Row],[teamNumber]])</f>
        <v/>
      </c>
      <c r="B499" t="str">
        <f>IF(ISBLANK([1]!ScoutingData[[#This Row],[matchLevel]]),"",[1]!ScoutingData[[#This Row],[matchLevel]])</f>
        <v/>
      </c>
      <c r="C499" t="str">
        <f>IF(ISBLANK([1]!ScoutingData[[#This Row],[matchNumber]]),"",[1]!ScoutingData[[#This Row],[matchNumber]])</f>
        <v/>
      </c>
      <c r="D499" t="str">
        <f>IF(ISBLANK([1]!ScoutingData[[#This Row],[event]]),"",[1]!ScoutingData[[#This Row],[event]])</f>
        <v/>
      </c>
      <c r="E499" t="str">
        <f>IF(ISBLANK([1]!ScoutingData[[#This Row],[position]]),"",[1]!ScoutingData[[#This Row],[position]])</f>
        <v/>
      </c>
      <c r="F499" t="str">
        <f>IF(ISBLANK([1]!ScoutingData[[#This Row],[leaveStartingZone]]),"",[1]!ScoutingData[[#This Row],[leaveStartingZone]])</f>
        <v/>
      </c>
      <c r="G499" t="str">
        <f>IF(ISBLANK([1]!ScoutingData[[#This Row],[autoAmpScore]]),"",[1]!ScoutingData[[#This Row],[autoAmpScore]])</f>
        <v/>
      </c>
      <c r="H499" t="str">
        <f>IF(ISBLANK([1]!ScoutingData[[#This Row],[autoSpeakerScore]]),"",[1]!ScoutingData[[#This Row],[autoSpeakerScore]])</f>
        <v/>
      </c>
    </row>
    <row r="500" spans="1:8" x14ac:dyDescent="0.45">
      <c r="A500" t="str">
        <f>IF(ISBLANK([1]!ScoutingData[[#This Row],[teamNumber]]),"",[1]!ScoutingData[[#This Row],[teamNumber]])</f>
        <v/>
      </c>
      <c r="B500" t="str">
        <f>IF(ISBLANK([1]!ScoutingData[[#This Row],[matchLevel]]),"",[1]!ScoutingData[[#This Row],[matchLevel]])</f>
        <v/>
      </c>
      <c r="C500" t="str">
        <f>IF(ISBLANK([1]!ScoutingData[[#This Row],[matchNumber]]),"",[1]!ScoutingData[[#This Row],[matchNumber]])</f>
        <v/>
      </c>
      <c r="D500" t="str">
        <f>IF(ISBLANK([1]!ScoutingData[[#This Row],[event]]),"",[1]!ScoutingData[[#This Row],[event]])</f>
        <v/>
      </c>
      <c r="E500" t="str">
        <f>IF(ISBLANK([1]!ScoutingData[[#This Row],[position]]),"",[1]!ScoutingData[[#This Row],[position]])</f>
        <v/>
      </c>
      <c r="F500" t="str">
        <f>IF(ISBLANK([1]!ScoutingData[[#This Row],[leaveStartingZone]]),"",[1]!ScoutingData[[#This Row],[leaveStartingZone]])</f>
        <v/>
      </c>
      <c r="G500" t="str">
        <f>IF(ISBLANK([1]!ScoutingData[[#This Row],[autoAmpScore]]),"",[1]!ScoutingData[[#This Row],[autoAmpScore]])</f>
        <v/>
      </c>
      <c r="H500" t="str">
        <f>IF(ISBLANK([1]!ScoutingData[[#This Row],[autoSpeakerScore]]),"",[1]!ScoutingData[[#This Row],[autoSpeakerScore]])</f>
        <v/>
      </c>
    </row>
    <row r="501" spans="1:8" x14ac:dyDescent="0.45">
      <c r="A501" t="str">
        <f>IF(ISBLANK([1]!ScoutingData[[#This Row],[teamNumber]]),"",[1]!ScoutingData[[#This Row],[teamNumber]])</f>
        <v/>
      </c>
      <c r="B501" t="str">
        <f>IF(ISBLANK([1]!ScoutingData[[#This Row],[matchLevel]]),"",[1]!ScoutingData[[#This Row],[matchLevel]])</f>
        <v/>
      </c>
      <c r="C501" t="str">
        <f>IF(ISBLANK([1]!ScoutingData[[#This Row],[matchNumber]]),"",[1]!ScoutingData[[#This Row],[matchNumber]])</f>
        <v/>
      </c>
      <c r="D501" t="str">
        <f>IF(ISBLANK([1]!ScoutingData[[#This Row],[event]]),"",[1]!ScoutingData[[#This Row],[event]])</f>
        <v/>
      </c>
      <c r="E501" t="str">
        <f>IF(ISBLANK([1]!ScoutingData[[#This Row],[position]]),"",[1]!ScoutingData[[#This Row],[position]])</f>
        <v/>
      </c>
      <c r="F501" t="str">
        <f>IF(ISBLANK([1]!ScoutingData[[#This Row],[leaveStartingZone]]),"",[1]!ScoutingData[[#This Row],[leaveStartingZone]])</f>
        <v/>
      </c>
      <c r="G501" t="str">
        <f>IF(ISBLANK([1]!ScoutingData[[#This Row],[autoAmpScore]]),"",[1]!ScoutingData[[#This Row],[autoAmpScore]])</f>
        <v/>
      </c>
      <c r="H501" t="str">
        <f>IF(ISBLANK([1]!ScoutingData[[#This Row],[autoSpeakerScore]]),"",[1]!ScoutingData[[#This Row],[autoSpeakerScore]])</f>
        <v/>
      </c>
    </row>
    <row r="502" spans="1:8" x14ac:dyDescent="0.45">
      <c r="A502" t="str">
        <f>IF(ISBLANK([1]!ScoutingData[[#This Row],[teamNumber]]),"",[1]!ScoutingData[[#This Row],[teamNumber]])</f>
        <v/>
      </c>
      <c r="B502" t="str">
        <f>IF(ISBLANK([1]!ScoutingData[[#This Row],[matchLevel]]),"",[1]!ScoutingData[[#This Row],[matchLevel]])</f>
        <v/>
      </c>
      <c r="C502" t="str">
        <f>IF(ISBLANK([1]!ScoutingData[[#This Row],[matchNumber]]),"",[1]!ScoutingData[[#This Row],[matchNumber]])</f>
        <v/>
      </c>
      <c r="D502" t="str">
        <f>IF(ISBLANK([1]!ScoutingData[[#This Row],[event]]),"",[1]!ScoutingData[[#This Row],[event]])</f>
        <v/>
      </c>
      <c r="E502" t="str">
        <f>IF(ISBLANK([1]!ScoutingData[[#This Row],[position]]),"",[1]!ScoutingData[[#This Row],[position]])</f>
        <v/>
      </c>
      <c r="F502" t="str">
        <f>IF(ISBLANK([1]!ScoutingData[[#This Row],[leaveStartingZone]]),"",[1]!ScoutingData[[#This Row],[leaveStartingZone]])</f>
        <v/>
      </c>
      <c r="G502" t="str">
        <f>IF(ISBLANK([1]!ScoutingData[[#This Row],[autoAmpScore]]),"",[1]!ScoutingData[[#This Row],[autoAmpScore]])</f>
        <v/>
      </c>
      <c r="H502" t="str">
        <f>IF(ISBLANK([1]!ScoutingData[[#This Row],[autoSpeakerScore]]),"",[1]!ScoutingData[[#This Row],[autoSpeakerScore]])</f>
        <v/>
      </c>
    </row>
    <row r="503" spans="1:8" x14ac:dyDescent="0.45">
      <c r="A503" t="str">
        <f>IF(ISBLANK([1]!ScoutingData[[#This Row],[teamNumber]]),"",[1]!ScoutingData[[#This Row],[teamNumber]])</f>
        <v/>
      </c>
      <c r="B503" t="str">
        <f>IF(ISBLANK([1]!ScoutingData[[#This Row],[matchLevel]]),"",[1]!ScoutingData[[#This Row],[matchLevel]])</f>
        <v/>
      </c>
      <c r="C503" t="str">
        <f>IF(ISBLANK([1]!ScoutingData[[#This Row],[matchNumber]]),"",[1]!ScoutingData[[#This Row],[matchNumber]])</f>
        <v/>
      </c>
      <c r="D503" t="str">
        <f>IF(ISBLANK([1]!ScoutingData[[#This Row],[event]]),"",[1]!ScoutingData[[#This Row],[event]])</f>
        <v/>
      </c>
      <c r="E503" t="str">
        <f>IF(ISBLANK([1]!ScoutingData[[#This Row],[position]]),"",[1]!ScoutingData[[#This Row],[position]])</f>
        <v/>
      </c>
      <c r="F503" t="str">
        <f>IF(ISBLANK([1]!ScoutingData[[#This Row],[leaveStartingZone]]),"",[1]!ScoutingData[[#This Row],[leaveStartingZone]])</f>
        <v/>
      </c>
      <c r="G503" t="str">
        <f>IF(ISBLANK([1]!ScoutingData[[#This Row],[autoAmpScore]]),"",[1]!ScoutingData[[#This Row],[autoAmpScore]])</f>
        <v/>
      </c>
      <c r="H503" t="str">
        <f>IF(ISBLANK([1]!ScoutingData[[#This Row],[autoSpeakerScore]]),"",[1]!ScoutingData[[#This Row],[autoSpeakerScore]])</f>
        <v/>
      </c>
    </row>
    <row r="504" spans="1:8" x14ac:dyDescent="0.45">
      <c r="A504" t="str">
        <f>IF(ISBLANK([1]!ScoutingData[[#This Row],[teamNumber]]),"",[1]!ScoutingData[[#This Row],[teamNumber]])</f>
        <v/>
      </c>
      <c r="B504" t="str">
        <f>IF(ISBLANK([1]!ScoutingData[[#This Row],[matchLevel]]),"",[1]!ScoutingData[[#This Row],[matchLevel]])</f>
        <v/>
      </c>
      <c r="C504" t="str">
        <f>IF(ISBLANK([1]!ScoutingData[[#This Row],[matchNumber]]),"",[1]!ScoutingData[[#This Row],[matchNumber]])</f>
        <v/>
      </c>
      <c r="D504" t="str">
        <f>IF(ISBLANK([1]!ScoutingData[[#This Row],[event]]),"",[1]!ScoutingData[[#This Row],[event]])</f>
        <v/>
      </c>
      <c r="E504" t="str">
        <f>IF(ISBLANK([1]!ScoutingData[[#This Row],[position]]),"",[1]!ScoutingData[[#This Row],[position]])</f>
        <v/>
      </c>
      <c r="F504" t="str">
        <f>IF(ISBLANK([1]!ScoutingData[[#This Row],[leaveStartingZone]]),"",[1]!ScoutingData[[#This Row],[leaveStartingZone]])</f>
        <v/>
      </c>
      <c r="G504" t="str">
        <f>IF(ISBLANK([1]!ScoutingData[[#This Row],[autoAmpScore]]),"",[1]!ScoutingData[[#This Row],[autoAmpScore]])</f>
        <v/>
      </c>
      <c r="H504" t="str">
        <f>IF(ISBLANK([1]!ScoutingData[[#This Row],[autoSpeakerScore]]),"",[1]!ScoutingData[[#This Row],[autoSpeakerScore]])</f>
        <v/>
      </c>
    </row>
    <row r="505" spans="1:8" x14ac:dyDescent="0.45">
      <c r="A505" t="str">
        <f>IF(ISBLANK([1]!ScoutingData[[#This Row],[teamNumber]]),"",[1]!ScoutingData[[#This Row],[teamNumber]])</f>
        <v/>
      </c>
      <c r="B505" t="str">
        <f>IF(ISBLANK([1]!ScoutingData[[#This Row],[matchLevel]]),"",[1]!ScoutingData[[#This Row],[matchLevel]])</f>
        <v/>
      </c>
      <c r="C505" t="str">
        <f>IF(ISBLANK([1]!ScoutingData[[#This Row],[matchNumber]]),"",[1]!ScoutingData[[#This Row],[matchNumber]])</f>
        <v/>
      </c>
      <c r="D505" t="str">
        <f>IF(ISBLANK([1]!ScoutingData[[#This Row],[event]]),"",[1]!ScoutingData[[#This Row],[event]])</f>
        <v/>
      </c>
      <c r="E505" t="str">
        <f>IF(ISBLANK([1]!ScoutingData[[#This Row],[position]]),"",[1]!ScoutingData[[#This Row],[position]])</f>
        <v/>
      </c>
      <c r="F505" t="str">
        <f>IF(ISBLANK([1]!ScoutingData[[#This Row],[leaveStartingZone]]),"",[1]!ScoutingData[[#This Row],[leaveStartingZone]])</f>
        <v/>
      </c>
      <c r="G505" t="str">
        <f>IF(ISBLANK([1]!ScoutingData[[#This Row],[autoAmpScore]]),"",[1]!ScoutingData[[#This Row],[autoAmpScore]])</f>
        <v/>
      </c>
      <c r="H505" t="str">
        <f>IF(ISBLANK([1]!ScoutingData[[#This Row],[autoSpeakerScore]]),"",[1]!ScoutingData[[#This Row],[autoSpeakerScore]])</f>
        <v/>
      </c>
    </row>
    <row r="506" spans="1:8" x14ac:dyDescent="0.45">
      <c r="A506" t="str">
        <f>IF(ISBLANK([1]!ScoutingData[[#This Row],[teamNumber]]),"",[1]!ScoutingData[[#This Row],[teamNumber]])</f>
        <v/>
      </c>
      <c r="B506" t="str">
        <f>IF(ISBLANK([1]!ScoutingData[[#This Row],[matchLevel]]),"",[1]!ScoutingData[[#This Row],[matchLevel]])</f>
        <v/>
      </c>
      <c r="C506" t="str">
        <f>IF(ISBLANK([1]!ScoutingData[[#This Row],[matchNumber]]),"",[1]!ScoutingData[[#This Row],[matchNumber]])</f>
        <v/>
      </c>
      <c r="D506" t="str">
        <f>IF(ISBLANK([1]!ScoutingData[[#This Row],[event]]),"",[1]!ScoutingData[[#This Row],[event]])</f>
        <v/>
      </c>
      <c r="E506" t="str">
        <f>IF(ISBLANK([1]!ScoutingData[[#This Row],[position]]),"",[1]!ScoutingData[[#This Row],[position]])</f>
        <v/>
      </c>
      <c r="F506" t="str">
        <f>IF(ISBLANK([1]!ScoutingData[[#This Row],[leaveStartingZone]]),"",[1]!ScoutingData[[#This Row],[leaveStartingZone]])</f>
        <v/>
      </c>
      <c r="G506" t="str">
        <f>IF(ISBLANK([1]!ScoutingData[[#This Row],[autoAmpScore]]),"",[1]!ScoutingData[[#This Row],[autoAmpScore]])</f>
        <v/>
      </c>
      <c r="H506" t="str">
        <f>IF(ISBLANK([1]!ScoutingData[[#This Row],[autoSpeakerScore]]),"",[1]!ScoutingData[[#This Row],[autoSpeakerScore]])</f>
        <v/>
      </c>
    </row>
    <row r="507" spans="1:8" x14ac:dyDescent="0.45">
      <c r="A507" t="str">
        <f>IF(ISBLANK([1]!ScoutingData[[#This Row],[teamNumber]]),"",[1]!ScoutingData[[#This Row],[teamNumber]])</f>
        <v/>
      </c>
      <c r="B507" t="str">
        <f>IF(ISBLANK([1]!ScoutingData[[#This Row],[matchLevel]]),"",[1]!ScoutingData[[#This Row],[matchLevel]])</f>
        <v/>
      </c>
      <c r="C507" t="str">
        <f>IF(ISBLANK([1]!ScoutingData[[#This Row],[matchNumber]]),"",[1]!ScoutingData[[#This Row],[matchNumber]])</f>
        <v/>
      </c>
      <c r="D507" t="str">
        <f>IF(ISBLANK([1]!ScoutingData[[#This Row],[event]]),"",[1]!ScoutingData[[#This Row],[event]])</f>
        <v/>
      </c>
      <c r="E507" t="str">
        <f>IF(ISBLANK([1]!ScoutingData[[#This Row],[position]]),"",[1]!ScoutingData[[#This Row],[position]])</f>
        <v/>
      </c>
      <c r="F507" t="str">
        <f>IF(ISBLANK([1]!ScoutingData[[#This Row],[leaveStartingZone]]),"",[1]!ScoutingData[[#This Row],[leaveStartingZone]])</f>
        <v/>
      </c>
      <c r="G507" t="str">
        <f>IF(ISBLANK([1]!ScoutingData[[#This Row],[autoAmpScore]]),"",[1]!ScoutingData[[#This Row],[autoAmpScore]])</f>
        <v/>
      </c>
      <c r="H507" t="str">
        <f>IF(ISBLANK([1]!ScoutingData[[#This Row],[autoSpeakerScore]]),"",[1]!ScoutingData[[#This Row],[autoSpeakerScore]])</f>
        <v/>
      </c>
    </row>
    <row r="508" spans="1:8" x14ac:dyDescent="0.45">
      <c r="A508" t="str">
        <f>IF(ISBLANK([1]!ScoutingData[[#This Row],[teamNumber]]),"",[1]!ScoutingData[[#This Row],[teamNumber]])</f>
        <v/>
      </c>
      <c r="B508" t="str">
        <f>IF(ISBLANK([1]!ScoutingData[[#This Row],[matchLevel]]),"",[1]!ScoutingData[[#This Row],[matchLevel]])</f>
        <v/>
      </c>
      <c r="C508" t="str">
        <f>IF(ISBLANK([1]!ScoutingData[[#This Row],[matchNumber]]),"",[1]!ScoutingData[[#This Row],[matchNumber]])</f>
        <v/>
      </c>
      <c r="D508" t="str">
        <f>IF(ISBLANK([1]!ScoutingData[[#This Row],[event]]),"",[1]!ScoutingData[[#This Row],[event]])</f>
        <v/>
      </c>
      <c r="E508" t="str">
        <f>IF(ISBLANK([1]!ScoutingData[[#This Row],[position]]),"",[1]!ScoutingData[[#This Row],[position]])</f>
        <v/>
      </c>
      <c r="F508" t="str">
        <f>IF(ISBLANK([1]!ScoutingData[[#This Row],[leaveStartingZone]]),"",[1]!ScoutingData[[#This Row],[leaveStartingZone]])</f>
        <v/>
      </c>
      <c r="G508" t="str">
        <f>IF(ISBLANK([1]!ScoutingData[[#This Row],[autoAmpScore]]),"",[1]!ScoutingData[[#This Row],[autoAmpScore]])</f>
        <v/>
      </c>
      <c r="H508" t="str">
        <f>IF(ISBLANK([1]!ScoutingData[[#This Row],[autoSpeakerScore]]),"",[1]!ScoutingData[[#This Row],[autoSpeakerScore]])</f>
        <v/>
      </c>
    </row>
    <row r="509" spans="1:8" x14ac:dyDescent="0.45">
      <c r="A509" t="str">
        <f>IF(ISBLANK([1]!ScoutingData[[#This Row],[teamNumber]]),"",[1]!ScoutingData[[#This Row],[teamNumber]])</f>
        <v/>
      </c>
      <c r="B509" t="str">
        <f>IF(ISBLANK([1]!ScoutingData[[#This Row],[matchLevel]]),"",[1]!ScoutingData[[#This Row],[matchLevel]])</f>
        <v/>
      </c>
      <c r="C509" t="str">
        <f>IF(ISBLANK([1]!ScoutingData[[#This Row],[matchNumber]]),"",[1]!ScoutingData[[#This Row],[matchNumber]])</f>
        <v/>
      </c>
      <c r="D509" t="str">
        <f>IF(ISBLANK([1]!ScoutingData[[#This Row],[event]]),"",[1]!ScoutingData[[#This Row],[event]])</f>
        <v/>
      </c>
      <c r="E509" t="str">
        <f>IF(ISBLANK([1]!ScoutingData[[#This Row],[position]]),"",[1]!ScoutingData[[#This Row],[position]])</f>
        <v/>
      </c>
      <c r="F509" t="str">
        <f>IF(ISBLANK([1]!ScoutingData[[#This Row],[leaveStartingZone]]),"",[1]!ScoutingData[[#This Row],[leaveStartingZone]])</f>
        <v/>
      </c>
      <c r="G509" t="str">
        <f>IF(ISBLANK([1]!ScoutingData[[#This Row],[autoAmpScore]]),"",[1]!ScoutingData[[#This Row],[autoAmpScore]])</f>
        <v/>
      </c>
      <c r="H509" t="str">
        <f>IF(ISBLANK([1]!ScoutingData[[#This Row],[autoSpeakerScore]]),"",[1]!ScoutingData[[#This Row],[autoSpeakerScore]])</f>
        <v/>
      </c>
    </row>
    <row r="510" spans="1:8" x14ac:dyDescent="0.45">
      <c r="A510" t="str">
        <f>IF(ISBLANK([1]!ScoutingData[[#This Row],[teamNumber]]),"",[1]!ScoutingData[[#This Row],[teamNumber]])</f>
        <v/>
      </c>
      <c r="B510" t="str">
        <f>IF(ISBLANK([1]!ScoutingData[[#This Row],[matchLevel]]),"",[1]!ScoutingData[[#This Row],[matchLevel]])</f>
        <v/>
      </c>
      <c r="C510" t="str">
        <f>IF(ISBLANK([1]!ScoutingData[[#This Row],[matchNumber]]),"",[1]!ScoutingData[[#This Row],[matchNumber]])</f>
        <v/>
      </c>
      <c r="D510" t="str">
        <f>IF(ISBLANK([1]!ScoutingData[[#This Row],[event]]),"",[1]!ScoutingData[[#This Row],[event]])</f>
        <v/>
      </c>
      <c r="E510" t="str">
        <f>IF(ISBLANK([1]!ScoutingData[[#This Row],[position]]),"",[1]!ScoutingData[[#This Row],[position]])</f>
        <v/>
      </c>
      <c r="F510" t="str">
        <f>IF(ISBLANK([1]!ScoutingData[[#This Row],[leaveStartingZone]]),"",[1]!ScoutingData[[#This Row],[leaveStartingZone]])</f>
        <v/>
      </c>
      <c r="G510" t="str">
        <f>IF(ISBLANK([1]!ScoutingData[[#This Row],[autoAmpScore]]),"",[1]!ScoutingData[[#This Row],[autoAmpScore]])</f>
        <v/>
      </c>
      <c r="H510" t="str">
        <f>IF(ISBLANK([1]!ScoutingData[[#This Row],[autoSpeakerScore]]),"",[1]!ScoutingData[[#This Row],[autoSpeakerScore]])</f>
        <v/>
      </c>
    </row>
    <row r="511" spans="1:8" x14ac:dyDescent="0.45">
      <c r="A511" t="str">
        <f>IF(ISBLANK([1]!ScoutingData[[#This Row],[teamNumber]]),"",[1]!ScoutingData[[#This Row],[teamNumber]])</f>
        <v/>
      </c>
      <c r="B511" t="str">
        <f>IF(ISBLANK([1]!ScoutingData[[#This Row],[matchLevel]]),"",[1]!ScoutingData[[#This Row],[matchLevel]])</f>
        <v/>
      </c>
      <c r="C511" t="str">
        <f>IF(ISBLANK([1]!ScoutingData[[#This Row],[matchNumber]]),"",[1]!ScoutingData[[#This Row],[matchNumber]])</f>
        <v/>
      </c>
      <c r="D511" t="str">
        <f>IF(ISBLANK([1]!ScoutingData[[#This Row],[event]]),"",[1]!ScoutingData[[#This Row],[event]])</f>
        <v/>
      </c>
      <c r="E511" t="str">
        <f>IF(ISBLANK([1]!ScoutingData[[#This Row],[position]]),"",[1]!ScoutingData[[#This Row],[position]])</f>
        <v/>
      </c>
      <c r="F511" t="str">
        <f>IF(ISBLANK([1]!ScoutingData[[#This Row],[leaveStartingZone]]),"",[1]!ScoutingData[[#This Row],[leaveStartingZone]])</f>
        <v/>
      </c>
      <c r="G511" t="str">
        <f>IF(ISBLANK([1]!ScoutingData[[#This Row],[autoAmpScore]]),"",[1]!ScoutingData[[#This Row],[autoAmpScore]])</f>
        <v/>
      </c>
      <c r="H511" t="str">
        <f>IF(ISBLANK([1]!ScoutingData[[#This Row],[autoSpeakerScore]]),"",[1]!ScoutingData[[#This Row],[autoSpeakerScore]])</f>
        <v/>
      </c>
    </row>
    <row r="512" spans="1:8" x14ac:dyDescent="0.45">
      <c r="A512" t="str">
        <f>IF(ISBLANK([1]!ScoutingData[[#This Row],[teamNumber]]),"",[1]!ScoutingData[[#This Row],[teamNumber]])</f>
        <v/>
      </c>
      <c r="B512" t="str">
        <f>IF(ISBLANK([1]!ScoutingData[[#This Row],[matchLevel]]),"",[1]!ScoutingData[[#This Row],[matchLevel]])</f>
        <v/>
      </c>
      <c r="C512" t="str">
        <f>IF(ISBLANK([1]!ScoutingData[[#This Row],[matchNumber]]),"",[1]!ScoutingData[[#This Row],[matchNumber]])</f>
        <v/>
      </c>
      <c r="D512" t="str">
        <f>IF(ISBLANK([1]!ScoutingData[[#This Row],[event]]),"",[1]!ScoutingData[[#This Row],[event]])</f>
        <v/>
      </c>
      <c r="E512" t="str">
        <f>IF(ISBLANK([1]!ScoutingData[[#This Row],[position]]),"",[1]!ScoutingData[[#This Row],[position]])</f>
        <v/>
      </c>
      <c r="F512" t="str">
        <f>IF(ISBLANK([1]!ScoutingData[[#This Row],[leaveStartingZone]]),"",[1]!ScoutingData[[#This Row],[leaveStartingZone]])</f>
        <v/>
      </c>
      <c r="G512" t="str">
        <f>IF(ISBLANK([1]!ScoutingData[[#This Row],[autoAmpScore]]),"",[1]!ScoutingData[[#This Row],[autoAmpScore]])</f>
        <v/>
      </c>
      <c r="H512" t="str">
        <f>IF(ISBLANK([1]!ScoutingData[[#This Row],[autoSpeakerScore]]),"",[1]!ScoutingData[[#This Row],[autoSpeakerScore]])</f>
        <v/>
      </c>
    </row>
    <row r="513" spans="1:8" x14ac:dyDescent="0.45">
      <c r="A513" t="str">
        <f>IF(ISBLANK([1]!ScoutingData[[#This Row],[teamNumber]]),"",[1]!ScoutingData[[#This Row],[teamNumber]])</f>
        <v/>
      </c>
      <c r="B513" t="str">
        <f>IF(ISBLANK([1]!ScoutingData[[#This Row],[matchLevel]]),"",[1]!ScoutingData[[#This Row],[matchLevel]])</f>
        <v/>
      </c>
      <c r="C513" t="str">
        <f>IF(ISBLANK([1]!ScoutingData[[#This Row],[matchNumber]]),"",[1]!ScoutingData[[#This Row],[matchNumber]])</f>
        <v/>
      </c>
      <c r="D513" t="str">
        <f>IF(ISBLANK([1]!ScoutingData[[#This Row],[event]]),"",[1]!ScoutingData[[#This Row],[event]])</f>
        <v/>
      </c>
      <c r="E513" t="str">
        <f>IF(ISBLANK([1]!ScoutingData[[#This Row],[position]]),"",[1]!ScoutingData[[#This Row],[position]])</f>
        <v/>
      </c>
      <c r="F513" t="str">
        <f>IF(ISBLANK([1]!ScoutingData[[#This Row],[leaveStartingZone]]),"",[1]!ScoutingData[[#This Row],[leaveStartingZone]])</f>
        <v/>
      </c>
      <c r="G513" t="str">
        <f>IF(ISBLANK([1]!ScoutingData[[#This Row],[autoAmpScore]]),"",[1]!ScoutingData[[#This Row],[autoAmpScore]])</f>
        <v/>
      </c>
      <c r="H513" t="str">
        <f>IF(ISBLANK([1]!ScoutingData[[#This Row],[autoSpeakerScore]]),"",[1]!ScoutingData[[#This Row],[autoSpeakerScore]])</f>
        <v/>
      </c>
    </row>
    <row r="514" spans="1:8" x14ac:dyDescent="0.45">
      <c r="A514" t="str">
        <f>IF(ISBLANK([1]!ScoutingData[[#This Row],[teamNumber]]),"",[1]!ScoutingData[[#This Row],[teamNumber]])</f>
        <v/>
      </c>
      <c r="B514" t="str">
        <f>IF(ISBLANK([1]!ScoutingData[[#This Row],[matchLevel]]),"",[1]!ScoutingData[[#This Row],[matchLevel]])</f>
        <v/>
      </c>
      <c r="C514" t="str">
        <f>IF(ISBLANK([1]!ScoutingData[[#This Row],[matchNumber]]),"",[1]!ScoutingData[[#This Row],[matchNumber]])</f>
        <v/>
      </c>
      <c r="D514" t="str">
        <f>IF(ISBLANK([1]!ScoutingData[[#This Row],[event]]),"",[1]!ScoutingData[[#This Row],[event]])</f>
        <v/>
      </c>
      <c r="E514" t="str">
        <f>IF(ISBLANK([1]!ScoutingData[[#This Row],[position]]),"",[1]!ScoutingData[[#This Row],[position]])</f>
        <v/>
      </c>
      <c r="F514" t="str">
        <f>IF(ISBLANK([1]!ScoutingData[[#This Row],[leaveStartingZone]]),"",[1]!ScoutingData[[#This Row],[leaveStartingZone]])</f>
        <v/>
      </c>
      <c r="G514" t="str">
        <f>IF(ISBLANK([1]!ScoutingData[[#This Row],[autoAmpScore]]),"",[1]!ScoutingData[[#This Row],[autoAmpScore]])</f>
        <v/>
      </c>
      <c r="H514" t="str">
        <f>IF(ISBLANK([1]!ScoutingData[[#This Row],[autoSpeakerScore]]),"",[1]!ScoutingData[[#This Row],[autoSpeakerScore]])</f>
        <v/>
      </c>
    </row>
    <row r="515" spans="1:8" x14ac:dyDescent="0.45">
      <c r="A515" t="str">
        <f>IF(ISBLANK([1]!ScoutingData[[#This Row],[teamNumber]]),"",[1]!ScoutingData[[#This Row],[teamNumber]])</f>
        <v/>
      </c>
      <c r="B515" t="str">
        <f>IF(ISBLANK([1]!ScoutingData[[#This Row],[matchLevel]]),"",[1]!ScoutingData[[#This Row],[matchLevel]])</f>
        <v/>
      </c>
      <c r="C515" t="str">
        <f>IF(ISBLANK([1]!ScoutingData[[#This Row],[matchNumber]]),"",[1]!ScoutingData[[#This Row],[matchNumber]])</f>
        <v/>
      </c>
      <c r="D515" t="str">
        <f>IF(ISBLANK([1]!ScoutingData[[#This Row],[event]]),"",[1]!ScoutingData[[#This Row],[event]])</f>
        <v/>
      </c>
      <c r="E515" t="str">
        <f>IF(ISBLANK([1]!ScoutingData[[#This Row],[position]]),"",[1]!ScoutingData[[#This Row],[position]])</f>
        <v/>
      </c>
      <c r="F515" t="str">
        <f>IF(ISBLANK([1]!ScoutingData[[#This Row],[leaveStartingZone]]),"",[1]!ScoutingData[[#This Row],[leaveStartingZone]])</f>
        <v/>
      </c>
      <c r="G515" t="str">
        <f>IF(ISBLANK([1]!ScoutingData[[#This Row],[autoAmpScore]]),"",[1]!ScoutingData[[#This Row],[autoAmpScore]])</f>
        <v/>
      </c>
      <c r="H515" t="str">
        <f>IF(ISBLANK([1]!ScoutingData[[#This Row],[autoSpeakerScore]]),"",[1]!ScoutingData[[#This Row],[autoSpeakerScore]])</f>
        <v/>
      </c>
    </row>
    <row r="516" spans="1:8" x14ac:dyDescent="0.45">
      <c r="A516" t="str">
        <f>IF(ISBLANK([1]!ScoutingData[[#This Row],[teamNumber]]),"",[1]!ScoutingData[[#This Row],[teamNumber]])</f>
        <v/>
      </c>
      <c r="B516" t="str">
        <f>IF(ISBLANK([1]!ScoutingData[[#This Row],[matchLevel]]),"",[1]!ScoutingData[[#This Row],[matchLevel]])</f>
        <v/>
      </c>
      <c r="C516" t="str">
        <f>IF(ISBLANK([1]!ScoutingData[[#This Row],[matchNumber]]),"",[1]!ScoutingData[[#This Row],[matchNumber]])</f>
        <v/>
      </c>
      <c r="D516" t="str">
        <f>IF(ISBLANK([1]!ScoutingData[[#This Row],[event]]),"",[1]!ScoutingData[[#This Row],[event]])</f>
        <v/>
      </c>
      <c r="E516" t="str">
        <f>IF(ISBLANK([1]!ScoutingData[[#This Row],[position]]),"",[1]!ScoutingData[[#This Row],[position]])</f>
        <v/>
      </c>
      <c r="F516" t="str">
        <f>IF(ISBLANK([1]!ScoutingData[[#This Row],[leaveStartingZone]]),"",[1]!ScoutingData[[#This Row],[leaveStartingZone]])</f>
        <v/>
      </c>
      <c r="G516" t="str">
        <f>IF(ISBLANK([1]!ScoutingData[[#This Row],[autoAmpScore]]),"",[1]!ScoutingData[[#This Row],[autoAmpScore]])</f>
        <v/>
      </c>
      <c r="H516" t="str">
        <f>IF(ISBLANK([1]!ScoutingData[[#This Row],[autoSpeakerScore]]),"",[1]!ScoutingData[[#This Row],[autoSpeakerScore]])</f>
        <v/>
      </c>
    </row>
    <row r="517" spans="1:8" x14ac:dyDescent="0.45">
      <c r="A517" t="str">
        <f>IF(ISBLANK([1]!ScoutingData[[#This Row],[teamNumber]]),"",[1]!ScoutingData[[#This Row],[teamNumber]])</f>
        <v/>
      </c>
      <c r="B517" t="str">
        <f>IF(ISBLANK([1]!ScoutingData[[#This Row],[matchLevel]]),"",[1]!ScoutingData[[#This Row],[matchLevel]])</f>
        <v/>
      </c>
      <c r="C517" t="str">
        <f>IF(ISBLANK([1]!ScoutingData[[#This Row],[matchNumber]]),"",[1]!ScoutingData[[#This Row],[matchNumber]])</f>
        <v/>
      </c>
      <c r="D517" t="str">
        <f>IF(ISBLANK([1]!ScoutingData[[#This Row],[event]]),"",[1]!ScoutingData[[#This Row],[event]])</f>
        <v/>
      </c>
      <c r="E517" t="str">
        <f>IF(ISBLANK([1]!ScoutingData[[#This Row],[position]]),"",[1]!ScoutingData[[#This Row],[position]])</f>
        <v/>
      </c>
      <c r="F517" t="str">
        <f>IF(ISBLANK([1]!ScoutingData[[#This Row],[leaveStartingZone]]),"",[1]!ScoutingData[[#This Row],[leaveStartingZone]])</f>
        <v/>
      </c>
      <c r="G517" t="str">
        <f>IF(ISBLANK([1]!ScoutingData[[#This Row],[autoAmpScore]]),"",[1]!ScoutingData[[#This Row],[autoAmpScore]])</f>
        <v/>
      </c>
      <c r="H517" t="str">
        <f>IF(ISBLANK([1]!ScoutingData[[#This Row],[autoSpeakerScore]]),"",[1]!ScoutingData[[#This Row],[autoSpeakerScore]])</f>
        <v/>
      </c>
    </row>
    <row r="518" spans="1:8" x14ac:dyDescent="0.45">
      <c r="A518" t="str">
        <f>IF(ISBLANK([1]!ScoutingData[[#This Row],[teamNumber]]),"",[1]!ScoutingData[[#This Row],[teamNumber]])</f>
        <v/>
      </c>
      <c r="B518" t="str">
        <f>IF(ISBLANK([1]!ScoutingData[[#This Row],[matchLevel]]),"",[1]!ScoutingData[[#This Row],[matchLevel]])</f>
        <v/>
      </c>
      <c r="C518" t="str">
        <f>IF(ISBLANK([1]!ScoutingData[[#This Row],[matchNumber]]),"",[1]!ScoutingData[[#This Row],[matchNumber]])</f>
        <v/>
      </c>
      <c r="D518" t="str">
        <f>IF(ISBLANK([1]!ScoutingData[[#This Row],[event]]),"",[1]!ScoutingData[[#This Row],[event]])</f>
        <v/>
      </c>
      <c r="E518" t="str">
        <f>IF(ISBLANK([1]!ScoutingData[[#This Row],[position]]),"",[1]!ScoutingData[[#This Row],[position]])</f>
        <v/>
      </c>
      <c r="F518" t="str">
        <f>IF(ISBLANK([1]!ScoutingData[[#This Row],[leaveStartingZone]]),"",[1]!ScoutingData[[#This Row],[leaveStartingZone]])</f>
        <v/>
      </c>
      <c r="G518" t="str">
        <f>IF(ISBLANK([1]!ScoutingData[[#This Row],[autoAmpScore]]),"",[1]!ScoutingData[[#This Row],[autoAmpScore]])</f>
        <v/>
      </c>
      <c r="H518" t="str">
        <f>IF(ISBLANK([1]!ScoutingData[[#This Row],[autoSpeakerScore]]),"",[1]!ScoutingData[[#This Row],[autoSpeakerScore]])</f>
        <v/>
      </c>
    </row>
    <row r="519" spans="1:8" x14ac:dyDescent="0.45">
      <c r="A519" t="str">
        <f>IF(ISBLANK([1]!ScoutingData[[#This Row],[teamNumber]]),"",[1]!ScoutingData[[#This Row],[teamNumber]])</f>
        <v/>
      </c>
      <c r="B519" t="str">
        <f>IF(ISBLANK([1]!ScoutingData[[#This Row],[matchLevel]]),"",[1]!ScoutingData[[#This Row],[matchLevel]])</f>
        <v/>
      </c>
      <c r="C519" t="str">
        <f>IF(ISBLANK([1]!ScoutingData[[#This Row],[matchNumber]]),"",[1]!ScoutingData[[#This Row],[matchNumber]])</f>
        <v/>
      </c>
      <c r="D519" t="str">
        <f>IF(ISBLANK([1]!ScoutingData[[#This Row],[event]]),"",[1]!ScoutingData[[#This Row],[event]])</f>
        <v/>
      </c>
      <c r="E519" t="str">
        <f>IF(ISBLANK([1]!ScoutingData[[#This Row],[position]]),"",[1]!ScoutingData[[#This Row],[position]])</f>
        <v/>
      </c>
      <c r="F519" t="str">
        <f>IF(ISBLANK([1]!ScoutingData[[#This Row],[leaveStartingZone]]),"",[1]!ScoutingData[[#This Row],[leaveStartingZone]])</f>
        <v/>
      </c>
      <c r="G519" t="str">
        <f>IF(ISBLANK([1]!ScoutingData[[#This Row],[autoAmpScore]]),"",[1]!ScoutingData[[#This Row],[autoAmpScore]])</f>
        <v/>
      </c>
      <c r="H519" t="str">
        <f>IF(ISBLANK([1]!ScoutingData[[#This Row],[autoSpeakerScore]]),"",[1]!ScoutingData[[#This Row],[autoSpeakerScore]])</f>
        <v/>
      </c>
    </row>
    <row r="520" spans="1:8" x14ac:dyDescent="0.45">
      <c r="A520" t="str">
        <f>IF(ISBLANK([1]!ScoutingData[[#This Row],[teamNumber]]),"",[1]!ScoutingData[[#This Row],[teamNumber]])</f>
        <v/>
      </c>
      <c r="B520" t="str">
        <f>IF(ISBLANK([1]!ScoutingData[[#This Row],[matchLevel]]),"",[1]!ScoutingData[[#This Row],[matchLevel]])</f>
        <v/>
      </c>
      <c r="C520" t="str">
        <f>IF(ISBLANK([1]!ScoutingData[[#This Row],[matchNumber]]),"",[1]!ScoutingData[[#This Row],[matchNumber]])</f>
        <v/>
      </c>
      <c r="D520" t="str">
        <f>IF(ISBLANK([1]!ScoutingData[[#This Row],[event]]),"",[1]!ScoutingData[[#This Row],[event]])</f>
        <v/>
      </c>
      <c r="E520" t="str">
        <f>IF(ISBLANK([1]!ScoutingData[[#This Row],[position]]),"",[1]!ScoutingData[[#This Row],[position]])</f>
        <v/>
      </c>
      <c r="F520" t="str">
        <f>IF(ISBLANK([1]!ScoutingData[[#This Row],[leaveStartingZone]]),"",[1]!ScoutingData[[#This Row],[leaveStartingZone]])</f>
        <v/>
      </c>
      <c r="G520" t="str">
        <f>IF(ISBLANK([1]!ScoutingData[[#This Row],[autoAmpScore]]),"",[1]!ScoutingData[[#This Row],[autoAmpScore]])</f>
        <v/>
      </c>
      <c r="H520" t="str">
        <f>IF(ISBLANK([1]!ScoutingData[[#This Row],[autoSpeakerScore]]),"",[1]!ScoutingData[[#This Row],[autoSpeakerScore]])</f>
        <v/>
      </c>
    </row>
    <row r="521" spans="1:8" x14ac:dyDescent="0.45">
      <c r="A521" t="str">
        <f>IF(ISBLANK([1]!ScoutingData[[#This Row],[teamNumber]]),"",[1]!ScoutingData[[#This Row],[teamNumber]])</f>
        <v/>
      </c>
      <c r="B521" t="str">
        <f>IF(ISBLANK([1]!ScoutingData[[#This Row],[matchLevel]]),"",[1]!ScoutingData[[#This Row],[matchLevel]])</f>
        <v/>
      </c>
      <c r="C521" t="str">
        <f>IF(ISBLANK([1]!ScoutingData[[#This Row],[matchNumber]]),"",[1]!ScoutingData[[#This Row],[matchNumber]])</f>
        <v/>
      </c>
      <c r="D521" t="str">
        <f>IF(ISBLANK([1]!ScoutingData[[#This Row],[event]]),"",[1]!ScoutingData[[#This Row],[event]])</f>
        <v/>
      </c>
      <c r="E521" t="str">
        <f>IF(ISBLANK([1]!ScoutingData[[#This Row],[position]]),"",[1]!ScoutingData[[#This Row],[position]])</f>
        <v/>
      </c>
      <c r="F521" t="str">
        <f>IF(ISBLANK([1]!ScoutingData[[#This Row],[leaveStartingZone]]),"",[1]!ScoutingData[[#This Row],[leaveStartingZone]])</f>
        <v/>
      </c>
      <c r="G521" t="str">
        <f>IF(ISBLANK([1]!ScoutingData[[#This Row],[autoAmpScore]]),"",[1]!ScoutingData[[#This Row],[autoAmpScore]])</f>
        <v/>
      </c>
      <c r="H521" t="str">
        <f>IF(ISBLANK([1]!ScoutingData[[#This Row],[autoSpeakerScore]]),"",[1]!ScoutingData[[#This Row],[autoSpeakerScore]])</f>
        <v/>
      </c>
    </row>
    <row r="522" spans="1:8" x14ac:dyDescent="0.45">
      <c r="A522" t="str">
        <f>IF(ISBLANK([1]!ScoutingData[[#This Row],[teamNumber]]),"",[1]!ScoutingData[[#This Row],[teamNumber]])</f>
        <v/>
      </c>
      <c r="B522" t="str">
        <f>IF(ISBLANK([1]!ScoutingData[[#This Row],[matchLevel]]),"",[1]!ScoutingData[[#This Row],[matchLevel]])</f>
        <v/>
      </c>
      <c r="C522" t="str">
        <f>IF(ISBLANK([1]!ScoutingData[[#This Row],[matchNumber]]),"",[1]!ScoutingData[[#This Row],[matchNumber]])</f>
        <v/>
      </c>
      <c r="D522" t="str">
        <f>IF(ISBLANK([1]!ScoutingData[[#This Row],[event]]),"",[1]!ScoutingData[[#This Row],[event]])</f>
        <v/>
      </c>
      <c r="E522" t="str">
        <f>IF(ISBLANK([1]!ScoutingData[[#This Row],[position]]),"",[1]!ScoutingData[[#This Row],[position]])</f>
        <v/>
      </c>
      <c r="F522" t="str">
        <f>IF(ISBLANK([1]!ScoutingData[[#This Row],[leaveStartingZone]]),"",[1]!ScoutingData[[#This Row],[leaveStartingZone]])</f>
        <v/>
      </c>
      <c r="G522" t="str">
        <f>IF(ISBLANK([1]!ScoutingData[[#This Row],[autoAmpScore]]),"",[1]!ScoutingData[[#This Row],[autoAmpScore]])</f>
        <v/>
      </c>
      <c r="H522" t="str">
        <f>IF(ISBLANK([1]!ScoutingData[[#This Row],[autoSpeakerScore]]),"",[1]!ScoutingData[[#This Row],[autoSpeakerScore]])</f>
        <v/>
      </c>
    </row>
    <row r="523" spans="1:8" x14ac:dyDescent="0.45">
      <c r="A523" t="str">
        <f>IF(ISBLANK([1]!ScoutingData[[#This Row],[teamNumber]]),"",[1]!ScoutingData[[#This Row],[teamNumber]])</f>
        <v/>
      </c>
      <c r="B523" t="str">
        <f>IF(ISBLANK([1]!ScoutingData[[#This Row],[matchLevel]]),"",[1]!ScoutingData[[#This Row],[matchLevel]])</f>
        <v/>
      </c>
      <c r="C523" t="str">
        <f>IF(ISBLANK([1]!ScoutingData[[#This Row],[matchNumber]]),"",[1]!ScoutingData[[#This Row],[matchNumber]])</f>
        <v/>
      </c>
      <c r="D523" t="str">
        <f>IF(ISBLANK([1]!ScoutingData[[#This Row],[event]]),"",[1]!ScoutingData[[#This Row],[event]])</f>
        <v/>
      </c>
      <c r="E523" t="str">
        <f>IF(ISBLANK([1]!ScoutingData[[#This Row],[position]]),"",[1]!ScoutingData[[#This Row],[position]])</f>
        <v/>
      </c>
      <c r="F523" t="str">
        <f>IF(ISBLANK([1]!ScoutingData[[#This Row],[leaveStartingZone]]),"",[1]!ScoutingData[[#This Row],[leaveStartingZone]])</f>
        <v/>
      </c>
      <c r="G523" t="str">
        <f>IF(ISBLANK([1]!ScoutingData[[#This Row],[autoAmpScore]]),"",[1]!ScoutingData[[#This Row],[autoAmpScore]])</f>
        <v/>
      </c>
      <c r="H523" t="str">
        <f>IF(ISBLANK([1]!ScoutingData[[#This Row],[autoSpeakerScore]]),"",[1]!ScoutingData[[#This Row],[autoSpeakerScore]])</f>
        <v/>
      </c>
    </row>
    <row r="524" spans="1:8" x14ac:dyDescent="0.45">
      <c r="A524" t="str">
        <f>IF(ISBLANK([1]!ScoutingData[[#This Row],[teamNumber]]),"",[1]!ScoutingData[[#This Row],[teamNumber]])</f>
        <v/>
      </c>
      <c r="B524" t="str">
        <f>IF(ISBLANK([1]!ScoutingData[[#This Row],[matchLevel]]),"",[1]!ScoutingData[[#This Row],[matchLevel]])</f>
        <v/>
      </c>
      <c r="C524" t="str">
        <f>IF(ISBLANK([1]!ScoutingData[[#This Row],[matchNumber]]),"",[1]!ScoutingData[[#This Row],[matchNumber]])</f>
        <v/>
      </c>
      <c r="D524" t="str">
        <f>IF(ISBLANK([1]!ScoutingData[[#This Row],[event]]),"",[1]!ScoutingData[[#This Row],[event]])</f>
        <v/>
      </c>
      <c r="E524" t="str">
        <f>IF(ISBLANK([1]!ScoutingData[[#This Row],[position]]),"",[1]!ScoutingData[[#This Row],[position]])</f>
        <v/>
      </c>
      <c r="F524" t="str">
        <f>IF(ISBLANK([1]!ScoutingData[[#This Row],[leaveStartingZone]]),"",[1]!ScoutingData[[#This Row],[leaveStartingZone]])</f>
        <v/>
      </c>
      <c r="G524" t="str">
        <f>IF(ISBLANK([1]!ScoutingData[[#This Row],[autoAmpScore]]),"",[1]!ScoutingData[[#This Row],[autoAmpScore]])</f>
        <v/>
      </c>
      <c r="H524" t="str">
        <f>IF(ISBLANK([1]!ScoutingData[[#This Row],[autoSpeakerScore]]),"",[1]!ScoutingData[[#This Row],[autoSpeakerScore]])</f>
        <v/>
      </c>
    </row>
    <row r="525" spans="1:8" x14ac:dyDescent="0.45">
      <c r="A525" t="str">
        <f>IF(ISBLANK([1]!ScoutingData[[#This Row],[teamNumber]]),"",[1]!ScoutingData[[#This Row],[teamNumber]])</f>
        <v/>
      </c>
      <c r="B525" t="str">
        <f>IF(ISBLANK([1]!ScoutingData[[#This Row],[matchLevel]]),"",[1]!ScoutingData[[#This Row],[matchLevel]])</f>
        <v/>
      </c>
      <c r="C525" t="str">
        <f>IF(ISBLANK([1]!ScoutingData[[#This Row],[matchNumber]]),"",[1]!ScoutingData[[#This Row],[matchNumber]])</f>
        <v/>
      </c>
      <c r="D525" t="str">
        <f>IF(ISBLANK([1]!ScoutingData[[#This Row],[event]]),"",[1]!ScoutingData[[#This Row],[event]])</f>
        <v/>
      </c>
      <c r="E525" t="str">
        <f>IF(ISBLANK([1]!ScoutingData[[#This Row],[position]]),"",[1]!ScoutingData[[#This Row],[position]])</f>
        <v/>
      </c>
      <c r="F525" t="str">
        <f>IF(ISBLANK([1]!ScoutingData[[#This Row],[leaveStartingZone]]),"",[1]!ScoutingData[[#This Row],[leaveStartingZone]])</f>
        <v/>
      </c>
      <c r="G525" t="str">
        <f>IF(ISBLANK([1]!ScoutingData[[#This Row],[autoAmpScore]]),"",[1]!ScoutingData[[#This Row],[autoAmpScore]])</f>
        <v/>
      </c>
      <c r="H525" t="str">
        <f>IF(ISBLANK([1]!ScoutingData[[#This Row],[autoSpeakerScore]]),"",[1]!ScoutingData[[#This Row],[autoSpeakerScore]])</f>
        <v/>
      </c>
    </row>
    <row r="526" spans="1:8" x14ac:dyDescent="0.45">
      <c r="A526" t="str">
        <f>IF(ISBLANK([1]!ScoutingData[[#This Row],[teamNumber]]),"",[1]!ScoutingData[[#This Row],[teamNumber]])</f>
        <v/>
      </c>
      <c r="B526" t="str">
        <f>IF(ISBLANK([1]!ScoutingData[[#This Row],[matchLevel]]),"",[1]!ScoutingData[[#This Row],[matchLevel]])</f>
        <v/>
      </c>
      <c r="C526" t="str">
        <f>IF(ISBLANK([1]!ScoutingData[[#This Row],[matchNumber]]),"",[1]!ScoutingData[[#This Row],[matchNumber]])</f>
        <v/>
      </c>
      <c r="D526" t="str">
        <f>IF(ISBLANK([1]!ScoutingData[[#This Row],[event]]),"",[1]!ScoutingData[[#This Row],[event]])</f>
        <v/>
      </c>
      <c r="E526" t="str">
        <f>IF(ISBLANK([1]!ScoutingData[[#This Row],[position]]),"",[1]!ScoutingData[[#This Row],[position]])</f>
        <v/>
      </c>
      <c r="F526" t="str">
        <f>IF(ISBLANK([1]!ScoutingData[[#This Row],[leaveStartingZone]]),"",[1]!ScoutingData[[#This Row],[leaveStartingZone]])</f>
        <v/>
      </c>
      <c r="G526" t="str">
        <f>IF(ISBLANK([1]!ScoutingData[[#This Row],[autoAmpScore]]),"",[1]!ScoutingData[[#This Row],[autoAmpScore]])</f>
        <v/>
      </c>
      <c r="H526" t="str">
        <f>IF(ISBLANK([1]!ScoutingData[[#This Row],[autoSpeakerScore]]),"",[1]!ScoutingData[[#This Row],[autoSpeakerScore]])</f>
        <v/>
      </c>
    </row>
    <row r="527" spans="1:8" x14ac:dyDescent="0.45">
      <c r="A527" t="str">
        <f>IF(ISBLANK([1]!ScoutingData[[#This Row],[teamNumber]]),"",[1]!ScoutingData[[#This Row],[teamNumber]])</f>
        <v/>
      </c>
      <c r="B527" t="str">
        <f>IF(ISBLANK([1]!ScoutingData[[#This Row],[matchLevel]]),"",[1]!ScoutingData[[#This Row],[matchLevel]])</f>
        <v/>
      </c>
      <c r="C527" t="str">
        <f>IF(ISBLANK([1]!ScoutingData[[#This Row],[matchNumber]]),"",[1]!ScoutingData[[#This Row],[matchNumber]])</f>
        <v/>
      </c>
      <c r="D527" t="str">
        <f>IF(ISBLANK([1]!ScoutingData[[#This Row],[event]]),"",[1]!ScoutingData[[#This Row],[event]])</f>
        <v/>
      </c>
      <c r="E527" t="str">
        <f>IF(ISBLANK([1]!ScoutingData[[#This Row],[position]]),"",[1]!ScoutingData[[#This Row],[position]])</f>
        <v/>
      </c>
      <c r="F527" t="str">
        <f>IF(ISBLANK([1]!ScoutingData[[#This Row],[leaveStartingZone]]),"",[1]!ScoutingData[[#This Row],[leaveStartingZone]])</f>
        <v/>
      </c>
      <c r="G527" t="str">
        <f>IF(ISBLANK([1]!ScoutingData[[#This Row],[autoAmpScore]]),"",[1]!ScoutingData[[#This Row],[autoAmpScore]])</f>
        <v/>
      </c>
      <c r="H527" t="str">
        <f>IF(ISBLANK([1]!ScoutingData[[#This Row],[autoSpeakerScore]]),"",[1]!ScoutingData[[#This Row],[autoSpeakerScore]])</f>
        <v/>
      </c>
    </row>
    <row r="528" spans="1:8" x14ac:dyDescent="0.45">
      <c r="A528" t="str">
        <f>IF(ISBLANK([1]!ScoutingData[[#This Row],[teamNumber]]),"",[1]!ScoutingData[[#This Row],[teamNumber]])</f>
        <v/>
      </c>
      <c r="B528" t="str">
        <f>IF(ISBLANK([1]!ScoutingData[[#This Row],[matchLevel]]),"",[1]!ScoutingData[[#This Row],[matchLevel]])</f>
        <v/>
      </c>
      <c r="C528" t="str">
        <f>IF(ISBLANK([1]!ScoutingData[[#This Row],[matchNumber]]),"",[1]!ScoutingData[[#This Row],[matchNumber]])</f>
        <v/>
      </c>
      <c r="D528" t="str">
        <f>IF(ISBLANK([1]!ScoutingData[[#This Row],[event]]),"",[1]!ScoutingData[[#This Row],[event]])</f>
        <v/>
      </c>
      <c r="E528" t="str">
        <f>IF(ISBLANK([1]!ScoutingData[[#This Row],[position]]),"",[1]!ScoutingData[[#This Row],[position]])</f>
        <v/>
      </c>
      <c r="F528" t="str">
        <f>IF(ISBLANK([1]!ScoutingData[[#This Row],[leaveStartingZone]]),"",[1]!ScoutingData[[#This Row],[leaveStartingZone]])</f>
        <v/>
      </c>
      <c r="G528" t="str">
        <f>IF(ISBLANK([1]!ScoutingData[[#This Row],[autoAmpScore]]),"",[1]!ScoutingData[[#This Row],[autoAmpScore]])</f>
        <v/>
      </c>
      <c r="H528" t="str">
        <f>IF(ISBLANK([1]!ScoutingData[[#This Row],[autoSpeakerScore]]),"",[1]!ScoutingData[[#This Row],[autoSpeakerScore]])</f>
        <v/>
      </c>
    </row>
    <row r="529" spans="1:8" x14ac:dyDescent="0.45">
      <c r="A529" t="str">
        <f>IF(ISBLANK([1]!ScoutingData[[#This Row],[teamNumber]]),"",[1]!ScoutingData[[#This Row],[teamNumber]])</f>
        <v/>
      </c>
      <c r="B529" t="str">
        <f>IF(ISBLANK([1]!ScoutingData[[#This Row],[matchLevel]]),"",[1]!ScoutingData[[#This Row],[matchLevel]])</f>
        <v/>
      </c>
      <c r="C529" t="str">
        <f>IF(ISBLANK([1]!ScoutingData[[#This Row],[matchNumber]]),"",[1]!ScoutingData[[#This Row],[matchNumber]])</f>
        <v/>
      </c>
      <c r="D529" t="str">
        <f>IF(ISBLANK([1]!ScoutingData[[#This Row],[event]]),"",[1]!ScoutingData[[#This Row],[event]])</f>
        <v/>
      </c>
      <c r="E529" t="str">
        <f>IF(ISBLANK([1]!ScoutingData[[#This Row],[position]]),"",[1]!ScoutingData[[#This Row],[position]])</f>
        <v/>
      </c>
      <c r="F529" t="str">
        <f>IF(ISBLANK([1]!ScoutingData[[#This Row],[leaveStartingZone]]),"",[1]!ScoutingData[[#This Row],[leaveStartingZone]])</f>
        <v/>
      </c>
      <c r="G529" t="str">
        <f>IF(ISBLANK([1]!ScoutingData[[#This Row],[autoAmpScore]]),"",[1]!ScoutingData[[#This Row],[autoAmpScore]])</f>
        <v/>
      </c>
      <c r="H529" t="str">
        <f>IF(ISBLANK([1]!ScoutingData[[#This Row],[autoSpeakerScore]]),"",[1]!ScoutingData[[#This Row],[autoSpeakerScore]])</f>
        <v/>
      </c>
    </row>
    <row r="530" spans="1:8" x14ac:dyDescent="0.45">
      <c r="A530" t="str">
        <f>IF(ISBLANK([1]!ScoutingData[[#This Row],[teamNumber]]),"",[1]!ScoutingData[[#This Row],[teamNumber]])</f>
        <v/>
      </c>
      <c r="B530" t="str">
        <f>IF(ISBLANK([1]!ScoutingData[[#This Row],[matchLevel]]),"",[1]!ScoutingData[[#This Row],[matchLevel]])</f>
        <v/>
      </c>
      <c r="C530" t="str">
        <f>IF(ISBLANK([1]!ScoutingData[[#This Row],[matchNumber]]),"",[1]!ScoutingData[[#This Row],[matchNumber]])</f>
        <v/>
      </c>
      <c r="D530" t="str">
        <f>IF(ISBLANK([1]!ScoutingData[[#This Row],[event]]),"",[1]!ScoutingData[[#This Row],[event]])</f>
        <v/>
      </c>
      <c r="E530" t="str">
        <f>IF(ISBLANK([1]!ScoutingData[[#This Row],[position]]),"",[1]!ScoutingData[[#This Row],[position]])</f>
        <v/>
      </c>
      <c r="F530" t="str">
        <f>IF(ISBLANK([1]!ScoutingData[[#This Row],[leaveStartingZone]]),"",[1]!ScoutingData[[#This Row],[leaveStartingZone]])</f>
        <v/>
      </c>
      <c r="G530" t="str">
        <f>IF(ISBLANK([1]!ScoutingData[[#This Row],[autoAmpScore]]),"",[1]!ScoutingData[[#This Row],[autoAmpScore]])</f>
        <v/>
      </c>
      <c r="H530" t="str">
        <f>IF(ISBLANK([1]!ScoutingData[[#This Row],[autoSpeakerScore]]),"",[1]!ScoutingData[[#This Row],[autoSpeakerScore]])</f>
        <v/>
      </c>
    </row>
    <row r="531" spans="1:8" x14ac:dyDescent="0.45">
      <c r="A531" t="str">
        <f>IF(ISBLANK([1]!ScoutingData[[#This Row],[teamNumber]]),"",[1]!ScoutingData[[#This Row],[teamNumber]])</f>
        <v/>
      </c>
      <c r="B531" t="str">
        <f>IF(ISBLANK([1]!ScoutingData[[#This Row],[matchLevel]]),"",[1]!ScoutingData[[#This Row],[matchLevel]])</f>
        <v/>
      </c>
      <c r="C531" t="str">
        <f>IF(ISBLANK([1]!ScoutingData[[#This Row],[matchNumber]]),"",[1]!ScoutingData[[#This Row],[matchNumber]])</f>
        <v/>
      </c>
      <c r="D531" t="str">
        <f>IF(ISBLANK([1]!ScoutingData[[#This Row],[event]]),"",[1]!ScoutingData[[#This Row],[event]])</f>
        <v/>
      </c>
      <c r="E531" t="str">
        <f>IF(ISBLANK([1]!ScoutingData[[#This Row],[position]]),"",[1]!ScoutingData[[#This Row],[position]])</f>
        <v/>
      </c>
      <c r="F531" t="str">
        <f>IF(ISBLANK([1]!ScoutingData[[#This Row],[leaveStartingZone]]),"",[1]!ScoutingData[[#This Row],[leaveStartingZone]])</f>
        <v/>
      </c>
      <c r="G531" t="str">
        <f>IF(ISBLANK([1]!ScoutingData[[#This Row],[autoAmpScore]]),"",[1]!ScoutingData[[#This Row],[autoAmpScore]])</f>
        <v/>
      </c>
      <c r="H531" t="str">
        <f>IF(ISBLANK([1]!ScoutingData[[#This Row],[autoSpeakerScore]]),"",[1]!ScoutingData[[#This Row],[autoSpeakerScore]])</f>
        <v/>
      </c>
    </row>
    <row r="532" spans="1:8" x14ac:dyDescent="0.45">
      <c r="A532" t="str">
        <f>IF(ISBLANK([1]!ScoutingData[[#This Row],[teamNumber]]),"",[1]!ScoutingData[[#This Row],[teamNumber]])</f>
        <v/>
      </c>
      <c r="B532" t="str">
        <f>IF(ISBLANK([1]!ScoutingData[[#This Row],[matchLevel]]),"",[1]!ScoutingData[[#This Row],[matchLevel]])</f>
        <v/>
      </c>
      <c r="C532" t="str">
        <f>IF(ISBLANK([1]!ScoutingData[[#This Row],[matchNumber]]),"",[1]!ScoutingData[[#This Row],[matchNumber]])</f>
        <v/>
      </c>
      <c r="D532" t="str">
        <f>IF(ISBLANK([1]!ScoutingData[[#This Row],[event]]),"",[1]!ScoutingData[[#This Row],[event]])</f>
        <v/>
      </c>
      <c r="E532" t="str">
        <f>IF(ISBLANK([1]!ScoutingData[[#This Row],[position]]),"",[1]!ScoutingData[[#This Row],[position]])</f>
        <v/>
      </c>
      <c r="F532" t="str">
        <f>IF(ISBLANK([1]!ScoutingData[[#This Row],[leaveStartingZone]]),"",[1]!ScoutingData[[#This Row],[leaveStartingZone]])</f>
        <v/>
      </c>
      <c r="G532" t="str">
        <f>IF(ISBLANK([1]!ScoutingData[[#This Row],[autoAmpScore]]),"",[1]!ScoutingData[[#This Row],[autoAmpScore]])</f>
        <v/>
      </c>
      <c r="H532" t="str">
        <f>IF(ISBLANK([1]!ScoutingData[[#This Row],[autoSpeakerScore]]),"",[1]!ScoutingData[[#This Row],[autoSpeakerScore]])</f>
        <v/>
      </c>
    </row>
    <row r="533" spans="1:8" x14ac:dyDescent="0.45">
      <c r="A533" t="str">
        <f>IF(ISBLANK([1]!ScoutingData[[#This Row],[teamNumber]]),"",[1]!ScoutingData[[#This Row],[teamNumber]])</f>
        <v/>
      </c>
      <c r="B533" t="str">
        <f>IF(ISBLANK([1]!ScoutingData[[#This Row],[matchLevel]]),"",[1]!ScoutingData[[#This Row],[matchLevel]])</f>
        <v/>
      </c>
      <c r="C533" t="str">
        <f>IF(ISBLANK([1]!ScoutingData[[#This Row],[matchNumber]]),"",[1]!ScoutingData[[#This Row],[matchNumber]])</f>
        <v/>
      </c>
      <c r="D533" t="str">
        <f>IF(ISBLANK([1]!ScoutingData[[#This Row],[event]]),"",[1]!ScoutingData[[#This Row],[event]])</f>
        <v/>
      </c>
      <c r="E533" t="str">
        <f>IF(ISBLANK([1]!ScoutingData[[#This Row],[position]]),"",[1]!ScoutingData[[#This Row],[position]])</f>
        <v/>
      </c>
      <c r="F533" t="str">
        <f>IF(ISBLANK([1]!ScoutingData[[#This Row],[leaveStartingZone]]),"",[1]!ScoutingData[[#This Row],[leaveStartingZone]])</f>
        <v/>
      </c>
      <c r="G533" t="str">
        <f>IF(ISBLANK([1]!ScoutingData[[#This Row],[autoAmpScore]]),"",[1]!ScoutingData[[#This Row],[autoAmpScore]])</f>
        <v/>
      </c>
      <c r="H533" t="str">
        <f>IF(ISBLANK([1]!ScoutingData[[#This Row],[autoSpeakerScore]]),"",[1]!ScoutingData[[#This Row],[autoSpeakerScore]])</f>
        <v/>
      </c>
    </row>
    <row r="534" spans="1:8" x14ac:dyDescent="0.45">
      <c r="A534" t="str">
        <f>IF(ISBLANK([1]!ScoutingData[[#This Row],[teamNumber]]),"",[1]!ScoutingData[[#This Row],[teamNumber]])</f>
        <v/>
      </c>
      <c r="B534" t="str">
        <f>IF(ISBLANK([1]!ScoutingData[[#This Row],[matchLevel]]),"",[1]!ScoutingData[[#This Row],[matchLevel]])</f>
        <v/>
      </c>
      <c r="C534" t="str">
        <f>IF(ISBLANK([1]!ScoutingData[[#This Row],[matchNumber]]),"",[1]!ScoutingData[[#This Row],[matchNumber]])</f>
        <v/>
      </c>
      <c r="D534" t="str">
        <f>IF(ISBLANK([1]!ScoutingData[[#This Row],[event]]),"",[1]!ScoutingData[[#This Row],[event]])</f>
        <v/>
      </c>
      <c r="E534" t="str">
        <f>IF(ISBLANK([1]!ScoutingData[[#This Row],[position]]),"",[1]!ScoutingData[[#This Row],[position]])</f>
        <v/>
      </c>
      <c r="F534" t="str">
        <f>IF(ISBLANK([1]!ScoutingData[[#This Row],[leaveStartingZone]]),"",[1]!ScoutingData[[#This Row],[leaveStartingZone]])</f>
        <v/>
      </c>
      <c r="G534" t="str">
        <f>IF(ISBLANK([1]!ScoutingData[[#This Row],[autoAmpScore]]),"",[1]!ScoutingData[[#This Row],[autoAmpScore]])</f>
        <v/>
      </c>
      <c r="H534" t="str">
        <f>IF(ISBLANK([1]!ScoutingData[[#This Row],[autoSpeakerScore]]),"",[1]!ScoutingData[[#This Row],[autoSpeakerScore]])</f>
        <v/>
      </c>
    </row>
    <row r="535" spans="1:8" x14ac:dyDescent="0.45">
      <c r="A535" t="str">
        <f>IF(ISBLANK([1]!ScoutingData[[#This Row],[teamNumber]]),"",[1]!ScoutingData[[#This Row],[teamNumber]])</f>
        <v/>
      </c>
      <c r="B535" t="str">
        <f>IF(ISBLANK([1]!ScoutingData[[#This Row],[matchLevel]]),"",[1]!ScoutingData[[#This Row],[matchLevel]])</f>
        <v/>
      </c>
      <c r="C535" t="str">
        <f>IF(ISBLANK([1]!ScoutingData[[#This Row],[matchNumber]]),"",[1]!ScoutingData[[#This Row],[matchNumber]])</f>
        <v/>
      </c>
      <c r="D535" t="str">
        <f>IF(ISBLANK([1]!ScoutingData[[#This Row],[event]]),"",[1]!ScoutingData[[#This Row],[event]])</f>
        <v/>
      </c>
      <c r="E535" t="str">
        <f>IF(ISBLANK([1]!ScoutingData[[#This Row],[position]]),"",[1]!ScoutingData[[#This Row],[position]])</f>
        <v/>
      </c>
      <c r="F535" t="str">
        <f>IF(ISBLANK([1]!ScoutingData[[#This Row],[leaveStartingZone]]),"",[1]!ScoutingData[[#This Row],[leaveStartingZone]])</f>
        <v/>
      </c>
      <c r="G535" t="str">
        <f>IF(ISBLANK([1]!ScoutingData[[#This Row],[autoAmpScore]]),"",[1]!ScoutingData[[#This Row],[autoAmpScore]])</f>
        <v/>
      </c>
      <c r="H535" t="str">
        <f>IF(ISBLANK([1]!ScoutingData[[#This Row],[autoSpeakerScore]]),"",[1]!ScoutingData[[#This Row],[autoSpeakerScore]])</f>
        <v/>
      </c>
    </row>
    <row r="536" spans="1:8" x14ac:dyDescent="0.45">
      <c r="A536" t="str">
        <f>IF(ISBLANK([1]!ScoutingData[[#This Row],[teamNumber]]),"",[1]!ScoutingData[[#This Row],[teamNumber]])</f>
        <v/>
      </c>
      <c r="B536" t="str">
        <f>IF(ISBLANK([1]!ScoutingData[[#This Row],[matchLevel]]),"",[1]!ScoutingData[[#This Row],[matchLevel]])</f>
        <v/>
      </c>
      <c r="C536" t="str">
        <f>IF(ISBLANK([1]!ScoutingData[[#This Row],[matchNumber]]),"",[1]!ScoutingData[[#This Row],[matchNumber]])</f>
        <v/>
      </c>
      <c r="D536" t="str">
        <f>IF(ISBLANK([1]!ScoutingData[[#This Row],[event]]),"",[1]!ScoutingData[[#This Row],[event]])</f>
        <v/>
      </c>
      <c r="E536" t="str">
        <f>IF(ISBLANK([1]!ScoutingData[[#This Row],[position]]),"",[1]!ScoutingData[[#This Row],[position]])</f>
        <v/>
      </c>
      <c r="F536" t="str">
        <f>IF(ISBLANK([1]!ScoutingData[[#This Row],[leaveStartingZone]]),"",[1]!ScoutingData[[#This Row],[leaveStartingZone]])</f>
        <v/>
      </c>
      <c r="G536" t="str">
        <f>IF(ISBLANK([1]!ScoutingData[[#This Row],[autoAmpScore]]),"",[1]!ScoutingData[[#This Row],[autoAmpScore]])</f>
        <v/>
      </c>
      <c r="H536" t="str">
        <f>IF(ISBLANK([1]!ScoutingData[[#This Row],[autoSpeakerScore]]),"",[1]!ScoutingData[[#This Row],[autoSpeakerScore]])</f>
        <v/>
      </c>
    </row>
    <row r="537" spans="1:8" x14ac:dyDescent="0.45">
      <c r="A537" t="str">
        <f>IF(ISBLANK([1]!ScoutingData[[#This Row],[teamNumber]]),"",[1]!ScoutingData[[#This Row],[teamNumber]])</f>
        <v/>
      </c>
      <c r="B537" t="str">
        <f>IF(ISBLANK([1]!ScoutingData[[#This Row],[matchLevel]]),"",[1]!ScoutingData[[#This Row],[matchLevel]])</f>
        <v/>
      </c>
      <c r="C537" t="str">
        <f>IF(ISBLANK([1]!ScoutingData[[#This Row],[matchNumber]]),"",[1]!ScoutingData[[#This Row],[matchNumber]])</f>
        <v/>
      </c>
      <c r="D537" t="str">
        <f>IF(ISBLANK([1]!ScoutingData[[#This Row],[event]]),"",[1]!ScoutingData[[#This Row],[event]])</f>
        <v/>
      </c>
      <c r="E537" t="str">
        <f>IF(ISBLANK([1]!ScoutingData[[#This Row],[position]]),"",[1]!ScoutingData[[#This Row],[position]])</f>
        <v/>
      </c>
      <c r="F537" t="str">
        <f>IF(ISBLANK([1]!ScoutingData[[#This Row],[leaveStartingZone]]),"",[1]!ScoutingData[[#This Row],[leaveStartingZone]])</f>
        <v/>
      </c>
      <c r="G537" t="str">
        <f>IF(ISBLANK([1]!ScoutingData[[#This Row],[autoAmpScore]]),"",[1]!ScoutingData[[#This Row],[autoAmpScore]])</f>
        <v/>
      </c>
      <c r="H537" t="str">
        <f>IF(ISBLANK([1]!ScoutingData[[#This Row],[autoSpeakerScore]]),"",[1]!ScoutingData[[#This Row],[autoSpeakerScore]])</f>
        <v/>
      </c>
    </row>
    <row r="538" spans="1:8" x14ac:dyDescent="0.45">
      <c r="A538" t="str">
        <f>IF(ISBLANK([1]!ScoutingData[[#This Row],[teamNumber]]),"",[1]!ScoutingData[[#This Row],[teamNumber]])</f>
        <v/>
      </c>
      <c r="B538" t="str">
        <f>IF(ISBLANK([1]!ScoutingData[[#This Row],[matchLevel]]),"",[1]!ScoutingData[[#This Row],[matchLevel]])</f>
        <v/>
      </c>
      <c r="C538" t="str">
        <f>IF(ISBLANK([1]!ScoutingData[[#This Row],[matchNumber]]),"",[1]!ScoutingData[[#This Row],[matchNumber]])</f>
        <v/>
      </c>
      <c r="D538" t="str">
        <f>IF(ISBLANK([1]!ScoutingData[[#This Row],[event]]),"",[1]!ScoutingData[[#This Row],[event]])</f>
        <v/>
      </c>
      <c r="E538" t="str">
        <f>IF(ISBLANK([1]!ScoutingData[[#This Row],[position]]),"",[1]!ScoutingData[[#This Row],[position]])</f>
        <v/>
      </c>
      <c r="F538" t="str">
        <f>IF(ISBLANK([1]!ScoutingData[[#This Row],[leaveStartingZone]]),"",[1]!ScoutingData[[#This Row],[leaveStartingZone]])</f>
        <v/>
      </c>
      <c r="G538" t="str">
        <f>IF(ISBLANK([1]!ScoutingData[[#This Row],[autoAmpScore]]),"",[1]!ScoutingData[[#This Row],[autoAmpScore]])</f>
        <v/>
      </c>
      <c r="H538" t="str">
        <f>IF(ISBLANK([1]!ScoutingData[[#This Row],[autoSpeakerScore]]),"",[1]!ScoutingData[[#This Row],[autoSpeakerScore]])</f>
        <v/>
      </c>
    </row>
    <row r="539" spans="1:8" x14ac:dyDescent="0.45">
      <c r="A539" t="str">
        <f>IF(ISBLANK([1]!ScoutingData[[#This Row],[teamNumber]]),"",[1]!ScoutingData[[#This Row],[teamNumber]])</f>
        <v/>
      </c>
      <c r="B539" t="str">
        <f>IF(ISBLANK([1]!ScoutingData[[#This Row],[matchLevel]]),"",[1]!ScoutingData[[#This Row],[matchLevel]])</f>
        <v/>
      </c>
      <c r="C539" t="str">
        <f>IF(ISBLANK([1]!ScoutingData[[#This Row],[matchNumber]]),"",[1]!ScoutingData[[#This Row],[matchNumber]])</f>
        <v/>
      </c>
      <c r="D539" t="str">
        <f>IF(ISBLANK([1]!ScoutingData[[#This Row],[event]]),"",[1]!ScoutingData[[#This Row],[event]])</f>
        <v/>
      </c>
      <c r="E539" t="str">
        <f>IF(ISBLANK([1]!ScoutingData[[#This Row],[position]]),"",[1]!ScoutingData[[#This Row],[position]])</f>
        <v/>
      </c>
      <c r="F539" t="str">
        <f>IF(ISBLANK([1]!ScoutingData[[#This Row],[leaveStartingZone]]),"",[1]!ScoutingData[[#This Row],[leaveStartingZone]])</f>
        <v/>
      </c>
      <c r="G539" t="str">
        <f>IF(ISBLANK([1]!ScoutingData[[#This Row],[autoAmpScore]]),"",[1]!ScoutingData[[#This Row],[autoAmpScore]])</f>
        <v/>
      </c>
      <c r="H539" t="str">
        <f>IF(ISBLANK([1]!ScoutingData[[#This Row],[autoSpeakerScore]]),"",[1]!ScoutingData[[#This Row],[autoSpeakerScore]])</f>
        <v/>
      </c>
    </row>
    <row r="540" spans="1:8" x14ac:dyDescent="0.45">
      <c r="A540" t="str">
        <f>IF(ISBLANK([1]!ScoutingData[[#This Row],[teamNumber]]),"",[1]!ScoutingData[[#This Row],[teamNumber]])</f>
        <v/>
      </c>
      <c r="B540" t="str">
        <f>IF(ISBLANK([1]!ScoutingData[[#This Row],[matchLevel]]),"",[1]!ScoutingData[[#This Row],[matchLevel]])</f>
        <v/>
      </c>
      <c r="C540" t="str">
        <f>IF(ISBLANK([1]!ScoutingData[[#This Row],[matchNumber]]),"",[1]!ScoutingData[[#This Row],[matchNumber]])</f>
        <v/>
      </c>
      <c r="D540" t="str">
        <f>IF(ISBLANK([1]!ScoutingData[[#This Row],[event]]),"",[1]!ScoutingData[[#This Row],[event]])</f>
        <v/>
      </c>
      <c r="E540" t="str">
        <f>IF(ISBLANK([1]!ScoutingData[[#This Row],[position]]),"",[1]!ScoutingData[[#This Row],[position]])</f>
        <v/>
      </c>
      <c r="F540" t="str">
        <f>IF(ISBLANK([1]!ScoutingData[[#This Row],[leaveStartingZone]]),"",[1]!ScoutingData[[#This Row],[leaveStartingZone]])</f>
        <v/>
      </c>
      <c r="G540" t="str">
        <f>IF(ISBLANK([1]!ScoutingData[[#This Row],[autoAmpScore]]),"",[1]!ScoutingData[[#This Row],[autoAmpScore]])</f>
        <v/>
      </c>
      <c r="H540" t="str">
        <f>IF(ISBLANK([1]!ScoutingData[[#This Row],[autoSpeakerScore]]),"",[1]!ScoutingData[[#This Row],[autoSpeakerScore]])</f>
        <v/>
      </c>
    </row>
    <row r="541" spans="1:8" x14ac:dyDescent="0.45">
      <c r="A541" t="str">
        <f>IF(ISBLANK([1]!ScoutingData[[#This Row],[teamNumber]]),"",[1]!ScoutingData[[#This Row],[teamNumber]])</f>
        <v/>
      </c>
      <c r="B541" t="str">
        <f>IF(ISBLANK([1]!ScoutingData[[#This Row],[matchLevel]]),"",[1]!ScoutingData[[#This Row],[matchLevel]])</f>
        <v/>
      </c>
      <c r="C541" t="str">
        <f>IF(ISBLANK([1]!ScoutingData[[#This Row],[matchNumber]]),"",[1]!ScoutingData[[#This Row],[matchNumber]])</f>
        <v/>
      </c>
      <c r="D541" t="str">
        <f>IF(ISBLANK([1]!ScoutingData[[#This Row],[event]]),"",[1]!ScoutingData[[#This Row],[event]])</f>
        <v/>
      </c>
      <c r="E541" t="str">
        <f>IF(ISBLANK([1]!ScoutingData[[#This Row],[position]]),"",[1]!ScoutingData[[#This Row],[position]])</f>
        <v/>
      </c>
      <c r="F541" t="str">
        <f>IF(ISBLANK([1]!ScoutingData[[#This Row],[leaveStartingZone]]),"",[1]!ScoutingData[[#This Row],[leaveStartingZone]])</f>
        <v/>
      </c>
      <c r="G541" t="str">
        <f>IF(ISBLANK([1]!ScoutingData[[#This Row],[autoAmpScore]]),"",[1]!ScoutingData[[#This Row],[autoAmpScore]])</f>
        <v/>
      </c>
      <c r="H541" t="str">
        <f>IF(ISBLANK([1]!ScoutingData[[#This Row],[autoSpeakerScore]]),"",[1]!ScoutingData[[#This Row],[autoSpeakerScore]])</f>
        <v/>
      </c>
    </row>
    <row r="542" spans="1:8" x14ac:dyDescent="0.45">
      <c r="A542" t="str">
        <f>IF(ISBLANK([1]!ScoutingData[[#This Row],[teamNumber]]),"",[1]!ScoutingData[[#This Row],[teamNumber]])</f>
        <v/>
      </c>
      <c r="B542" t="str">
        <f>IF(ISBLANK([1]!ScoutingData[[#This Row],[matchLevel]]),"",[1]!ScoutingData[[#This Row],[matchLevel]])</f>
        <v/>
      </c>
      <c r="C542" t="str">
        <f>IF(ISBLANK([1]!ScoutingData[[#This Row],[matchNumber]]),"",[1]!ScoutingData[[#This Row],[matchNumber]])</f>
        <v/>
      </c>
      <c r="D542" t="str">
        <f>IF(ISBLANK([1]!ScoutingData[[#This Row],[event]]),"",[1]!ScoutingData[[#This Row],[event]])</f>
        <v/>
      </c>
      <c r="E542" t="str">
        <f>IF(ISBLANK([1]!ScoutingData[[#This Row],[position]]),"",[1]!ScoutingData[[#This Row],[position]])</f>
        <v/>
      </c>
      <c r="F542" t="str">
        <f>IF(ISBLANK([1]!ScoutingData[[#This Row],[leaveStartingZone]]),"",[1]!ScoutingData[[#This Row],[leaveStartingZone]])</f>
        <v/>
      </c>
      <c r="G542" t="str">
        <f>IF(ISBLANK([1]!ScoutingData[[#This Row],[autoAmpScore]]),"",[1]!ScoutingData[[#This Row],[autoAmpScore]])</f>
        <v/>
      </c>
      <c r="H542" t="str">
        <f>IF(ISBLANK([1]!ScoutingData[[#This Row],[autoSpeakerScore]]),"",[1]!ScoutingData[[#This Row],[autoSpeakerScore]])</f>
        <v/>
      </c>
    </row>
    <row r="543" spans="1:8" x14ac:dyDescent="0.45">
      <c r="A543" t="str">
        <f>IF(ISBLANK([1]!ScoutingData[[#This Row],[teamNumber]]),"",[1]!ScoutingData[[#This Row],[teamNumber]])</f>
        <v/>
      </c>
      <c r="B543" t="str">
        <f>IF(ISBLANK([1]!ScoutingData[[#This Row],[matchLevel]]),"",[1]!ScoutingData[[#This Row],[matchLevel]])</f>
        <v/>
      </c>
      <c r="C543" t="str">
        <f>IF(ISBLANK([1]!ScoutingData[[#This Row],[matchNumber]]),"",[1]!ScoutingData[[#This Row],[matchNumber]])</f>
        <v/>
      </c>
      <c r="D543" t="str">
        <f>IF(ISBLANK([1]!ScoutingData[[#This Row],[event]]),"",[1]!ScoutingData[[#This Row],[event]])</f>
        <v/>
      </c>
      <c r="E543" t="str">
        <f>IF(ISBLANK([1]!ScoutingData[[#This Row],[position]]),"",[1]!ScoutingData[[#This Row],[position]])</f>
        <v/>
      </c>
      <c r="F543" t="str">
        <f>IF(ISBLANK([1]!ScoutingData[[#This Row],[leaveStartingZone]]),"",[1]!ScoutingData[[#This Row],[leaveStartingZone]])</f>
        <v/>
      </c>
      <c r="G543" t="str">
        <f>IF(ISBLANK([1]!ScoutingData[[#This Row],[autoAmpScore]]),"",[1]!ScoutingData[[#This Row],[autoAmpScore]])</f>
        <v/>
      </c>
      <c r="H543" t="str">
        <f>IF(ISBLANK([1]!ScoutingData[[#This Row],[autoSpeakerScore]]),"",[1]!ScoutingData[[#This Row],[autoSpeakerScore]])</f>
        <v/>
      </c>
    </row>
    <row r="544" spans="1:8" x14ac:dyDescent="0.45">
      <c r="A544" t="str">
        <f>IF(ISBLANK([1]!ScoutingData[[#This Row],[teamNumber]]),"",[1]!ScoutingData[[#This Row],[teamNumber]])</f>
        <v/>
      </c>
      <c r="B544" t="str">
        <f>IF(ISBLANK([1]!ScoutingData[[#This Row],[matchLevel]]),"",[1]!ScoutingData[[#This Row],[matchLevel]])</f>
        <v/>
      </c>
      <c r="C544" t="str">
        <f>IF(ISBLANK([1]!ScoutingData[[#This Row],[matchNumber]]),"",[1]!ScoutingData[[#This Row],[matchNumber]])</f>
        <v/>
      </c>
      <c r="D544" t="str">
        <f>IF(ISBLANK([1]!ScoutingData[[#This Row],[event]]),"",[1]!ScoutingData[[#This Row],[event]])</f>
        <v/>
      </c>
      <c r="E544" t="str">
        <f>IF(ISBLANK([1]!ScoutingData[[#This Row],[position]]),"",[1]!ScoutingData[[#This Row],[position]])</f>
        <v/>
      </c>
      <c r="F544" t="str">
        <f>IF(ISBLANK([1]!ScoutingData[[#This Row],[leaveStartingZone]]),"",[1]!ScoutingData[[#This Row],[leaveStartingZone]])</f>
        <v/>
      </c>
      <c r="G544" t="str">
        <f>IF(ISBLANK([1]!ScoutingData[[#This Row],[autoAmpScore]]),"",[1]!ScoutingData[[#This Row],[autoAmpScore]])</f>
        <v/>
      </c>
      <c r="H544" t="str">
        <f>IF(ISBLANK([1]!ScoutingData[[#This Row],[autoSpeakerScore]]),"",[1]!ScoutingData[[#This Row],[autoSpeakerScore]])</f>
        <v/>
      </c>
    </row>
    <row r="545" spans="1:8" x14ac:dyDescent="0.45">
      <c r="A545" t="str">
        <f>IF(ISBLANK([1]!ScoutingData[[#This Row],[teamNumber]]),"",[1]!ScoutingData[[#This Row],[teamNumber]])</f>
        <v/>
      </c>
      <c r="B545" t="str">
        <f>IF(ISBLANK([1]!ScoutingData[[#This Row],[matchLevel]]),"",[1]!ScoutingData[[#This Row],[matchLevel]])</f>
        <v/>
      </c>
      <c r="C545" t="str">
        <f>IF(ISBLANK([1]!ScoutingData[[#This Row],[matchNumber]]),"",[1]!ScoutingData[[#This Row],[matchNumber]])</f>
        <v/>
      </c>
      <c r="D545" t="str">
        <f>IF(ISBLANK([1]!ScoutingData[[#This Row],[event]]),"",[1]!ScoutingData[[#This Row],[event]])</f>
        <v/>
      </c>
      <c r="E545" t="str">
        <f>IF(ISBLANK([1]!ScoutingData[[#This Row],[position]]),"",[1]!ScoutingData[[#This Row],[position]])</f>
        <v/>
      </c>
      <c r="F545" t="str">
        <f>IF(ISBLANK([1]!ScoutingData[[#This Row],[leaveStartingZone]]),"",[1]!ScoutingData[[#This Row],[leaveStartingZone]])</f>
        <v/>
      </c>
      <c r="G545" t="str">
        <f>IF(ISBLANK([1]!ScoutingData[[#This Row],[autoAmpScore]]),"",[1]!ScoutingData[[#This Row],[autoAmpScore]])</f>
        <v/>
      </c>
      <c r="H545" t="str">
        <f>IF(ISBLANK([1]!ScoutingData[[#This Row],[autoSpeakerScore]]),"",[1]!ScoutingData[[#This Row],[autoSpeakerScore]])</f>
        <v/>
      </c>
    </row>
    <row r="546" spans="1:8" x14ac:dyDescent="0.45">
      <c r="A546" t="str">
        <f>IF(ISBLANK([1]!ScoutingData[[#This Row],[teamNumber]]),"",[1]!ScoutingData[[#This Row],[teamNumber]])</f>
        <v/>
      </c>
      <c r="B546" t="str">
        <f>IF(ISBLANK([1]!ScoutingData[[#This Row],[matchLevel]]),"",[1]!ScoutingData[[#This Row],[matchLevel]])</f>
        <v/>
      </c>
      <c r="C546" t="str">
        <f>IF(ISBLANK([1]!ScoutingData[[#This Row],[matchNumber]]),"",[1]!ScoutingData[[#This Row],[matchNumber]])</f>
        <v/>
      </c>
      <c r="D546" t="str">
        <f>IF(ISBLANK([1]!ScoutingData[[#This Row],[event]]),"",[1]!ScoutingData[[#This Row],[event]])</f>
        <v/>
      </c>
      <c r="E546" t="str">
        <f>IF(ISBLANK([1]!ScoutingData[[#This Row],[position]]),"",[1]!ScoutingData[[#This Row],[position]])</f>
        <v/>
      </c>
      <c r="F546" t="str">
        <f>IF(ISBLANK([1]!ScoutingData[[#This Row],[leaveStartingZone]]),"",[1]!ScoutingData[[#This Row],[leaveStartingZone]])</f>
        <v/>
      </c>
      <c r="G546" t="str">
        <f>IF(ISBLANK([1]!ScoutingData[[#This Row],[autoAmpScore]]),"",[1]!ScoutingData[[#This Row],[autoAmpScore]])</f>
        <v/>
      </c>
      <c r="H546" t="str">
        <f>IF(ISBLANK([1]!ScoutingData[[#This Row],[autoSpeakerScore]]),"",[1]!ScoutingData[[#This Row],[autoSpeakerScore]])</f>
        <v/>
      </c>
    </row>
    <row r="547" spans="1:8" x14ac:dyDescent="0.45">
      <c r="A547" t="str">
        <f>IF(ISBLANK([1]!ScoutingData[[#This Row],[teamNumber]]),"",[1]!ScoutingData[[#This Row],[teamNumber]])</f>
        <v/>
      </c>
      <c r="B547" t="str">
        <f>IF(ISBLANK([1]!ScoutingData[[#This Row],[matchLevel]]),"",[1]!ScoutingData[[#This Row],[matchLevel]])</f>
        <v/>
      </c>
      <c r="C547" t="str">
        <f>IF(ISBLANK([1]!ScoutingData[[#This Row],[matchNumber]]),"",[1]!ScoutingData[[#This Row],[matchNumber]])</f>
        <v/>
      </c>
      <c r="D547" t="str">
        <f>IF(ISBLANK([1]!ScoutingData[[#This Row],[event]]),"",[1]!ScoutingData[[#This Row],[event]])</f>
        <v/>
      </c>
      <c r="E547" t="str">
        <f>IF(ISBLANK([1]!ScoutingData[[#This Row],[position]]),"",[1]!ScoutingData[[#This Row],[position]])</f>
        <v/>
      </c>
      <c r="F547" t="str">
        <f>IF(ISBLANK([1]!ScoutingData[[#This Row],[leaveStartingZone]]),"",[1]!ScoutingData[[#This Row],[leaveStartingZone]])</f>
        <v/>
      </c>
      <c r="G547" t="str">
        <f>IF(ISBLANK([1]!ScoutingData[[#This Row],[autoAmpScore]]),"",[1]!ScoutingData[[#This Row],[autoAmpScore]])</f>
        <v/>
      </c>
      <c r="H547" t="str">
        <f>IF(ISBLANK([1]!ScoutingData[[#This Row],[autoSpeakerScore]]),"",[1]!ScoutingData[[#This Row],[autoSpeakerScore]])</f>
        <v/>
      </c>
    </row>
    <row r="548" spans="1:8" x14ac:dyDescent="0.45">
      <c r="A548" t="str">
        <f>IF(ISBLANK([1]!ScoutingData[[#This Row],[teamNumber]]),"",[1]!ScoutingData[[#This Row],[teamNumber]])</f>
        <v/>
      </c>
      <c r="B548" t="str">
        <f>IF(ISBLANK([1]!ScoutingData[[#This Row],[matchLevel]]),"",[1]!ScoutingData[[#This Row],[matchLevel]])</f>
        <v/>
      </c>
      <c r="C548" t="str">
        <f>IF(ISBLANK([1]!ScoutingData[[#This Row],[matchNumber]]),"",[1]!ScoutingData[[#This Row],[matchNumber]])</f>
        <v/>
      </c>
      <c r="D548" t="str">
        <f>IF(ISBLANK([1]!ScoutingData[[#This Row],[event]]),"",[1]!ScoutingData[[#This Row],[event]])</f>
        <v/>
      </c>
      <c r="E548" t="str">
        <f>IF(ISBLANK([1]!ScoutingData[[#This Row],[position]]),"",[1]!ScoutingData[[#This Row],[position]])</f>
        <v/>
      </c>
      <c r="F548" t="str">
        <f>IF(ISBLANK([1]!ScoutingData[[#This Row],[leaveStartingZone]]),"",[1]!ScoutingData[[#This Row],[leaveStartingZone]])</f>
        <v/>
      </c>
      <c r="G548" t="str">
        <f>IF(ISBLANK([1]!ScoutingData[[#This Row],[autoAmpScore]]),"",[1]!ScoutingData[[#This Row],[autoAmpScore]])</f>
        <v/>
      </c>
      <c r="H548" t="str">
        <f>IF(ISBLANK([1]!ScoutingData[[#This Row],[autoSpeakerScore]]),"",[1]!ScoutingData[[#This Row],[autoSpeakerScore]])</f>
        <v/>
      </c>
    </row>
    <row r="549" spans="1:8" x14ac:dyDescent="0.45">
      <c r="A549" t="str">
        <f>IF(ISBLANK([1]!ScoutingData[[#This Row],[teamNumber]]),"",[1]!ScoutingData[[#This Row],[teamNumber]])</f>
        <v/>
      </c>
      <c r="B549" t="str">
        <f>IF(ISBLANK([1]!ScoutingData[[#This Row],[matchLevel]]),"",[1]!ScoutingData[[#This Row],[matchLevel]])</f>
        <v/>
      </c>
      <c r="C549" t="str">
        <f>IF(ISBLANK([1]!ScoutingData[[#This Row],[matchNumber]]),"",[1]!ScoutingData[[#This Row],[matchNumber]])</f>
        <v/>
      </c>
      <c r="D549" t="str">
        <f>IF(ISBLANK([1]!ScoutingData[[#This Row],[event]]),"",[1]!ScoutingData[[#This Row],[event]])</f>
        <v/>
      </c>
      <c r="E549" t="str">
        <f>IF(ISBLANK([1]!ScoutingData[[#This Row],[position]]),"",[1]!ScoutingData[[#This Row],[position]])</f>
        <v/>
      </c>
      <c r="F549" t="str">
        <f>IF(ISBLANK([1]!ScoutingData[[#This Row],[leaveStartingZone]]),"",[1]!ScoutingData[[#This Row],[leaveStartingZone]])</f>
        <v/>
      </c>
      <c r="G549" t="str">
        <f>IF(ISBLANK([1]!ScoutingData[[#This Row],[autoAmpScore]]),"",[1]!ScoutingData[[#This Row],[autoAmpScore]])</f>
        <v/>
      </c>
      <c r="H549" t="str">
        <f>IF(ISBLANK([1]!ScoutingData[[#This Row],[autoSpeakerScore]]),"",[1]!ScoutingData[[#This Row],[autoSpeakerScore]])</f>
        <v/>
      </c>
    </row>
    <row r="550" spans="1:8" x14ac:dyDescent="0.45">
      <c r="A550" t="str">
        <f>IF(ISBLANK([1]!ScoutingData[[#This Row],[teamNumber]]),"",[1]!ScoutingData[[#This Row],[teamNumber]])</f>
        <v/>
      </c>
      <c r="B550" t="str">
        <f>IF(ISBLANK([1]!ScoutingData[[#This Row],[matchLevel]]),"",[1]!ScoutingData[[#This Row],[matchLevel]])</f>
        <v/>
      </c>
      <c r="C550" t="str">
        <f>IF(ISBLANK([1]!ScoutingData[[#This Row],[matchNumber]]),"",[1]!ScoutingData[[#This Row],[matchNumber]])</f>
        <v/>
      </c>
      <c r="D550" t="str">
        <f>IF(ISBLANK([1]!ScoutingData[[#This Row],[event]]),"",[1]!ScoutingData[[#This Row],[event]])</f>
        <v/>
      </c>
      <c r="E550" t="str">
        <f>IF(ISBLANK([1]!ScoutingData[[#This Row],[position]]),"",[1]!ScoutingData[[#This Row],[position]])</f>
        <v/>
      </c>
      <c r="F550" t="str">
        <f>IF(ISBLANK([1]!ScoutingData[[#This Row],[leaveStartingZone]]),"",[1]!ScoutingData[[#This Row],[leaveStartingZone]])</f>
        <v/>
      </c>
      <c r="G550" t="str">
        <f>IF(ISBLANK([1]!ScoutingData[[#This Row],[autoAmpScore]]),"",[1]!ScoutingData[[#This Row],[autoAmpScore]])</f>
        <v/>
      </c>
      <c r="H550" t="str">
        <f>IF(ISBLANK([1]!ScoutingData[[#This Row],[autoSpeakerScore]]),"",[1]!ScoutingData[[#This Row],[autoSpeakerScore]])</f>
        <v/>
      </c>
    </row>
    <row r="551" spans="1:8" x14ac:dyDescent="0.45">
      <c r="A551" t="str">
        <f>IF(ISBLANK([1]!ScoutingData[[#This Row],[teamNumber]]),"",[1]!ScoutingData[[#This Row],[teamNumber]])</f>
        <v/>
      </c>
      <c r="B551" t="str">
        <f>IF(ISBLANK([1]!ScoutingData[[#This Row],[matchLevel]]),"",[1]!ScoutingData[[#This Row],[matchLevel]])</f>
        <v/>
      </c>
      <c r="C551" t="str">
        <f>IF(ISBLANK([1]!ScoutingData[[#This Row],[matchNumber]]),"",[1]!ScoutingData[[#This Row],[matchNumber]])</f>
        <v/>
      </c>
      <c r="D551" t="str">
        <f>IF(ISBLANK([1]!ScoutingData[[#This Row],[event]]),"",[1]!ScoutingData[[#This Row],[event]])</f>
        <v/>
      </c>
      <c r="E551" t="str">
        <f>IF(ISBLANK([1]!ScoutingData[[#This Row],[position]]),"",[1]!ScoutingData[[#This Row],[position]])</f>
        <v/>
      </c>
      <c r="F551" t="str">
        <f>IF(ISBLANK([1]!ScoutingData[[#This Row],[leaveStartingZone]]),"",[1]!ScoutingData[[#This Row],[leaveStartingZone]])</f>
        <v/>
      </c>
      <c r="G551" t="str">
        <f>IF(ISBLANK([1]!ScoutingData[[#This Row],[autoAmpScore]]),"",[1]!ScoutingData[[#This Row],[autoAmpScore]])</f>
        <v/>
      </c>
      <c r="H551" t="str">
        <f>IF(ISBLANK([1]!ScoutingData[[#This Row],[autoSpeakerScore]]),"",[1]!ScoutingData[[#This Row],[autoSpeakerScore]])</f>
        <v/>
      </c>
    </row>
    <row r="552" spans="1:8" x14ac:dyDescent="0.45">
      <c r="A552" t="str">
        <f>IF(ISBLANK([1]!ScoutingData[[#This Row],[teamNumber]]),"",[1]!ScoutingData[[#This Row],[teamNumber]])</f>
        <v/>
      </c>
      <c r="B552" t="str">
        <f>IF(ISBLANK([1]!ScoutingData[[#This Row],[matchLevel]]),"",[1]!ScoutingData[[#This Row],[matchLevel]])</f>
        <v/>
      </c>
      <c r="C552" t="str">
        <f>IF(ISBLANK([1]!ScoutingData[[#This Row],[matchNumber]]),"",[1]!ScoutingData[[#This Row],[matchNumber]])</f>
        <v/>
      </c>
      <c r="D552" t="str">
        <f>IF(ISBLANK([1]!ScoutingData[[#This Row],[event]]),"",[1]!ScoutingData[[#This Row],[event]])</f>
        <v/>
      </c>
      <c r="E552" t="str">
        <f>IF(ISBLANK([1]!ScoutingData[[#This Row],[position]]),"",[1]!ScoutingData[[#This Row],[position]])</f>
        <v/>
      </c>
      <c r="F552" t="str">
        <f>IF(ISBLANK([1]!ScoutingData[[#This Row],[leaveStartingZone]]),"",[1]!ScoutingData[[#This Row],[leaveStartingZone]])</f>
        <v/>
      </c>
      <c r="G552" t="str">
        <f>IF(ISBLANK([1]!ScoutingData[[#This Row],[autoAmpScore]]),"",[1]!ScoutingData[[#This Row],[autoAmpScore]])</f>
        <v/>
      </c>
      <c r="H552" t="str">
        <f>IF(ISBLANK([1]!ScoutingData[[#This Row],[autoSpeakerScore]]),"",[1]!ScoutingData[[#This Row],[autoSpeakerScore]])</f>
        <v/>
      </c>
    </row>
    <row r="553" spans="1:8" x14ac:dyDescent="0.45">
      <c r="A553" t="str">
        <f>IF(ISBLANK([1]!ScoutingData[[#This Row],[teamNumber]]),"",[1]!ScoutingData[[#This Row],[teamNumber]])</f>
        <v/>
      </c>
      <c r="B553" t="str">
        <f>IF(ISBLANK([1]!ScoutingData[[#This Row],[matchLevel]]),"",[1]!ScoutingData[[#This Row],[matchLevel]])</f>
        <v/>
      </c>
      <c r="C553" t="str">
        <f>IF(ISBLANK([1]!ScoutingData[[#This Row],[matchNumber]]),"",[1]!ScoutingData[[#This Row],[matchNumber]])</f>
        <v/>
      </c>
      <c r="D553" t="str">
        <f>IF(ISBLANK([1]!ScoutingData[[#This Row],[event]]),"",[1]!ScoutingData[[#This Row],[event]])</f>
        <v/>
      </c>
      <c r="E553" t="str">
        <f>IF(ISBLANK([1]!ScoutingData[[#This Row],[position]]),"",[1]!ScoutingData[[#This Row],[position]])</f>
        <v/>
      </c>
      <c r="F553" t="str">
        <f>IF(ISBLANK([1]!ScoutingData[[#This Row],[leaveStartingZone]]),"",[1]!ScoutingData[[#This Row],[leaveStartingZone]])</f>
        <v/>
      </c>
      <c r="G553" t="str">
        <f>IF(ISBLANK([1]!ScoutingData[[#This Row],[autoAmpScore]]),"",[1]!ScoutingData[[#This Row],[autoAmpScore]])</f>
        <v/>
      </c>
      <c r="H553" t="str">
        <f>IF(ISBLANK([1]!ScoutingData[[#This Row],[autoSpeakerScore]]),"",[1]!ScoutingData[[#This Row],[autoSpeakerScore]])</f>
        <v/>
      </c>
    </row>
    <row r="554" spans="1:8" x14ac:dyDescent="0.45">
      <c r="A554" t="str">
        <f>IF(ISBLANK([1]!ScoutingData[[#This Row],[teamNumber]]),"",[1]!ScoutingData[[#This Row],[teamNumber]])</f>
        <v/>
      </c>
      <c r="B554" t="str">
        <f>IF(ISBLANK([1]!ScoutingData[[#This Row],[matchLevel]]),"",[1]!ScoutingData[[#This Row],[matchLevel]])</f>
        <v/>
      </c>
      <c r="C554" t="str">
        <f>IF(ISBLANK([1]!ScoutingData[[#This Row],[matchNumber]]),"",[1]!ScoutingData[[#This Row],[matchNumber]])</f>
        <v/>
      </c>
      <c r="D554" t="str">
        <f>IF(ISBLANK([1]!ScoutingData[[#This Row],[event]]),"",[1]!ScoutingData[[#This Row],[event]])</f>
        <v/>
      </c>
      <c r="E554" t="str">
        <f>IF(ISBLANK([1]!ScoutingData[[#This Row],[position]]),"",[1]!ScoutingData[[#This Row],[position]])</f>
        <v/>
      </c>
      <c r="F554" t="str">
        <f>IF(ISBLANK([1]!ScoutingData[[#This Row],[leaveStartingZone]]),"",[1]!ScoutingData[[#This Row],[leaveStartingZone]])</f>
        <v/>
      </c>
      <c r="G554" t="str">
        <f>IF(ISBLANK([1]!ScoutingData[[#This Row],[autoAmpScore]]),"",[1]!ScoutingData[[#This Row],[autoAmpScore]])</f>
        <v/>
      </c>
      <c r="H554" t="str">
        <f>IF(ISBLANK([1]!ScoutingData[[#This Row],[autoSpeakerScore]]),"",[1]!ScoutingData[[#This Row],[autoSpeakerScore]])</f>
        <v/>
      </c>
    </row>
    <row r="555" spans="1:8" x14ac:dyDescent="0.45">
      <c r="A555" t="str">
        <f>IF(ISBLANK([1]!ScoutingData[[#This Row],[teamNumber]]),"",[1]!ScoutingData[[#This Row],[teamNumber]])</f>
        <v/>
      </c>
      <c r="B555" t="str">
        <f>IF(ISBLANK([1]!ScoutingData[[#This Row],[matchLevel]]),"",[1]!ScoutingData[[#This Row],[matchLevel]])</f>
        <v/>
      </c>
      <c r="C555" t="str">
        <f>IF(ISBLANK([1]!ScoutingData[[#This Row],[matchNumber]]),"",[1]!ScoutingData[[#This Row],[matchNumber]])</f>
        <v/>
      </c>
      <c r="D555" t="str">
        <f>IF(ISBLANK([1]!ScoutingData[[#This Row],[event]]),"",[1]!ScoutingData[[#This Row],[event]])</f>
        <v/>
      </c>
      <c r="E555" t="str">
        <f>IF(ISBLANK([1]!ScoutingData[[#This Row],[position]]),"",[1]!ScoutingData[[#This Row],[position]])</f>
        <v/>
      </c>
      <c r="F555" t="str">
        <f>IF(ISBLANK([1]!ScoutingData[[#This Row],[leaveStartingZone]]),"",[1]!ScoutingData[[#This Row],[leaveStartingZone]])</f>
        <v/>
      </c>
      <c r="G555" t="str">
        <f>IF(ISBLANK([1]!ScoutingData[[#This Row],[autoAmpScore]]),"",[1]!ScoutingData[[#This Row],[autoAmpScore]])</f>
        <v/>
      </c>
      <c r="H555" t="str">
        <f>IF(ISBLANK([1]!ScoutingData[[#This Row],[autoSpeakerScore]]),"",[1]!ScoutingData[[#This Row],[autoSpeakerScore]])</f>
        <v/>
      </c>
    </row>
    <row r="556" spans="1:8" x14ac:dyDescent="0.45">
      <c r="A556" t="str">
        <f>IF(ISBLANK([1]!ScoutingData[[#This Row],[teamNumber]]),"",[1]!ScoutingData[[#This Row],[teamNumber]])</f>
        <v/>
      </c>
      <c r="B556" t="str">
        <f>IF(ISBLANK([1]!ScoutingData[[#This Row],[matchLevel]]),"",[1]!ScoutingData[[#This Row],[matchLevel]])</f>
        <v/>
      </c>
      <c r="C556" t="str">
        <f>IF(ISBLANK([1]!ScoutingData[[#This Row],[matchNumber]]),"",[1]!ScoutingData[[#This Row],[matchNumber]])</f>
        <v/>
      </c>
      <c r="D556" t="str">
        <f>IF(ISBLANK([1]!ScoutingData[[#This Row],[event]]),"",[1]!ScoutingData[[#This Row],[event]])</f>
        <v/>
      </c>
      <c r="E556" t="str">
        <f>IF(ISBLANK([1]!ScoutingData[[#This Row],[position]]),"",[1]!ScoutingData[[#This Row],[position]])</f>
        <v/>
      </c>
      <c r="F556" t="str">
        <f>IF(ISBLANK([1]!ScoutingData[[#This Row],[leaveStartingZone]]),"",[1]!ScoutingData[[#This Row],[leaveStartingZone]])</f>
        <v/>
      </c>
      <c r="G556" t="str">
        <f>IF(ISBLANK([1]!ScoutingData[[#This Row],[autoAmpScore]]),"",[1]!ScoutingData[[#This Row],[autoAmpScore]])</f>
        <v/>
      </c>
      <c r="H556" t="str">
        <f>IF(ISBLANK([1]!ScoutingData[[#This Row],[autoSpeakerScore]]),"",[1]!ScoutingData[[#This Row],[autoSpeakerScore]])</f>
        <v/>
      </c>
    </row>
    <row r="557" spans="1:8" x14ac:dyDescent="0.45">
      <c r="A557" t="str">
        <f>IF(ISBLANK([1]!ScoutingData[[#This Row],[teamNumber]]),"",[1]!ScoutingData[[#This Row],[teamNumber]])</f>
        <v/>
      </c>
      <c r="B557" t="str">
        <f>IF(ISBLANK([1]!ScoutingData[[#This Row],[matchLevel]]),"",[1]!ScoutingData[[#This Row],[matchLevel]])</f>
        <v/>
      </c>
      <c r="C557" t="str">
        <f>IF(ISBLANK([1]!ScoutingData[[#This Row],[matchNumber]]),"",[1]!ScoutingData[[#This Row],[matchNumber]])</f>
        <v/>
      </c>
      <c r="D557" t="str">
        <f>IF(ISBLANK([1]!ScoutingData[[#This Row],[event]]),"",[1]!ScoutingData[[#This Row],[event]])</f>
        <v/>
      </c>
      <c r="E557" t="str">
        <f>IF(ISBLANK([1]!ScoutingData[[#This Row],[position]]),"",[1]!ScoutingData[[#This Row],[position]])</f>
        <v/>
      </c>
      <c r="F557" t="str">
        <f>IF(ISBLANK([1]!ScoutingData[[#This Row],[leaveStartingZone]]),"",[1]!ScoutingData[[#This Row],[leaveStartingZone]])</f>
        <v/>
      </c>
      <c r="G557" t="str">
        <f>IF(ISBLANK([1]!ScoutingData[[#This Row],[autoAmpScore]]),"",[1]!ScoutingData[[#This Row],[autoAmpScore]])</f>
        <v/>
      </c>
      <c r="H557" t="str">
        <f>IF(ISBLANK([1]!ScoutingData[[#This Row],[autoSpeakerScore]]),"",[1]!ScoutingData[[#This Row],[autoSpeakerScore]])</f>
        <v/>
      </c>
    </row>
    <row r="558" spans="1:8" x14ac:dyDescent="0.45">
      <c r="A558" t="str">
        <f>IF(ISBLANK([1]!ScoutingData[[#This Row],[teamNumber]]),"",[1]!ScoutingData[[#This Row],[teamNumber]])</f>
        <v/>
      </c>
      <c r="B558" t="str">
        <f>IF(ISBLANK([1]!ScoutingData[[#This Row],[matchLevel]]),"",[1]!ScoutingData[[#This Row],[matchLevel]])</f>
        <v/>
      </c>
      <c r="C558" t="str">
        <f>IF(ISBLANK([1]!ScoutingData[[#This Row],[matchNumber]]),"",[1]!ScoutingData[[#This Row],[matchNumber]])</f>
        <v/>
      </c>
      <c r="D558" t="str">
        <f>IF(ISBLANK([1]!ScoutingData[[#This Row],[event]]),"",[1]!ScoutingData[[#This Row],[event]])</f>
        <v/>
      </c>
      <c r="E558" t="str">
        <f>IF(ISBLANK([1]!ScoutingData[[#This Row],[position]]),"",[1]!ScoutingData[[#This Row],[position]])</f>
        <v/>
      </c>
      <c r="F558" t="str">
        <f>IF(ISBLANK([1]!ScoutingData[[#This Row],[leaveStartingZone]]),"",[1]!ScoutingData[[#This Row],[leaveStartingZone]])</f>
        <v/>
      </c>
      <c r="G558" t="str">
        <f>IF(ISBLANK([1]!ScoutingData[[#This Row],[autoAmpScore]]),"",[1]!ScoutingData[[#This Row],[autoAmpScore]])</f>
        <v/>
      </c>
      <c r="H558" t="str">
        <f>IF(ISBLANK([1]!ScoutingData[[#This Row],[autoSpeakerScore]]),"",[1]!ScoutingData[[#This Row],[autoSpeakerScore]])</f>
        <v/>
      </c>
    </row>
    <row r="559" spans="1:8" x14ac:dyDescent="0.45">
      <c r="A559" t="str">
        <f>IF(ISBLANK([1]!ScoutingData[[#This Row],[teamNumber]]),"",[1]!ScoutingData[[#This Row],[teamNumber]])</f>
        <v/>
      </c>
      <c r="B559" t="str">
        <f>IF(ISBLANK([1]!ScoutingData[[#This Row],[matchLevel]]),"",[1]!ScoutingData[[#This Row],[matchLevel]])</f>
        <v/>
      </c>
      <c r="C559" t="str">
        <f>IF(ISBLANK([1]!ScoutingData[[#This Row],[matchNumber]]),"",[1]!ScoutingData[[#This Row],[matchNumber]])</f>
        <v/>
      </c>
      <c r="D559" t="str">
        <f>IF(ISBLANK([1]!ScoutingData[[#This Row],[event]]),"",[1]!ScoutingData[[#This Row],[event]])</f>
        <v/>
      </c>
      <c r="E559" t="str">
        <f>IF(ISBLANK([1]!ScoutingData[[#This Row],[position]]),"",[1]!ScoutingData[[#This Row],[position]])</f>
        <v/>
      </c>
      <c r="F559" t="str">
        <f>IF(ISBLANK([1]!ScoutingData[[#This Row],[leaveStartingZone]]),"",[1]!ScoutingData[[#This Row],[leaveStartingZone]])</f>
        <v/>
      </c>
      <c r="G559" t="str">
        <f>IF(ISBLANK([1]!ScoutingData[[#This Row],[autoAmpScore]]),"",[1]!ScoutingData[[#This Row],[autoAmpScore]])</f>
        <v/>
      </c>
      <c r="H559" t="str">
        <f>IF(ISBLANK([1]!ScoutingData[[#This Row],[autoSpeakerScore]]),"",[1]!ScoutingData[[#This Row],[autoSpeakerScore]])</f>
        <v/>
      </c>
    </row>
    <row r="560" spans="1:8" x14ac:dyDescent="0.45">
      <c r="A560" t="str">
        <f>IF(ISBLANK([1]!ScoutingData[[#This Row],[teamNumber]]),"",[1]!ScoutingData[[#This Row],[teamNumber]])</f>
        <v/>
      </c>
      <c r="B560" t="str">
        <f>IF(ISBLANK([1]!ScoutingData[[#This Row],[matchLevel]]),"",[1]!ScoutingData[[#This Row],[matchLevel]])</f>
        <v/>
      </c>
      <c r="C560" t="str">
        <f>IF(ISBLANK([1]!ScoutingData[[#This Row],[matchNumber]]),"",[1]!ScoutingData[[#This Row],[matchNumber]])</f>
        <v/>
      </c>
      <c r="D560" t="str">
        <f>IF(ISBLANK([1]!ScoutingData[[#This Row],[event]]),"",[1]!ScoutingData[[#This Row],[event]])</f>
        <v/>
      </c>
      <c r="E560" t="str">
        <f>IF(ISBLANK([1]!ScoutingData[[#This Row],[position]]),"",[1]!ScoutingData[[#This Row],[position]])</f>
        <v/>
      </c>
      <c r="F560" t="str">
        <f>IF(ISBLANK([1]!ScoutingData[[#This Row],[leaveStartingZone]]),"",[1]!ScoutingData[[#This Row],[leaveStartingZone]])</f>
        <v/>
      </c>
      <c r="G560" t="str">
        <f>IF(ISBLANK([1]!ScoutingData[[#This Row],[autoAmpScore]]),"",[1]!ScoutingData[[#This Row],[autoAmpScore]])</f>
        <v/>
      </c>
      <c r="H560" t="str">
        <f>IF(ISBLANK([1]!ScoutingData[[#This Row],[autoSpeakerScore]]),"",[1]!ScoutingData[[#This Row],[autoSpeakerScore]])</f>
        <v/>
      </c>
    </row>
    <row r="561" spans="1:8" x14ac:dyDescent="0.45">
      <c r="A561" t="str">
        <f>IF(ISBLANK([1]!ScoutingData[[#This Row],[teamNumber]]),"",[1]!ScoutingData[[#This Row],[teamNumber]])</f>
        <v/>
      </c>
      <c r="B561" t="str">
        <f>IF(ISBLANK([1]!ScoutingData[[#This Row],[matchLevel]]),"",[1]!ScoutingData[[#This Row],[matchLevel]])</f>
        <v/>
      </c>
      <c r="C561" t="str">
        <f>IF(ISBLANK([1]!ScoutingData[[#This Row],[matchNumber]]),"",[1]!ScoutingData[[#This Row],[matchNumber]])</f>
        <v/>
      </c>
      <c r="D561" t="str">
        <f>IF(ISBLANK([1]!ScoutingData[[#This Row],[event]]),"",[1]!ScoutingData[[#This Row],[event]])</f>
        <v/>
      </c>
      <c r="E561" t="str">
        <f>IF(ISBLANK([1]!ScoutingData[[#This Row],[position]]),"",[1]!ScoutingData[[#This Row],[position]])</f>
        <v/>
      </c>
      <c r="F561" t="str">
        <f>IF(ISBLANK([1]!ScoutingData[[#This Row],[leaveStartingZone]]),"",[1]!ScoutingData[[#This Row],[leaveStartingZone]])</f>
        <v/>
      </c>
      <c r="G561" t="str">
        <f>IF(ISBLANK([1]!ScoutingData[[#This Row],[autoAmpScore]]),"",[1]!ScoutingData[[#This Row],[autoAmpScore]])</f>
        <v/>
      </c>
      <c r="H561" t="str">
        <f>IF(ISBLANK([1]!ScoutingData[[#This Row],[autoSpeakerScore]]),"",[1]!ScoutingData[[#This Row],[autoSpeakerScore]])</f>
        <v/>
      </c>
    </row>
    <row r="562" spans="1:8" x14ac:dyDescent="0.45">
      <c r="A562" t="str">
        <f>IF(ISBLANK([1]!ScoutingData[[#This Row],[teamNumber]]),"",[1]!ScoutingData[[#This Row],[teamNumber]])</f>
        <v/>
      </c>
      <c r="B562" t="str">
        <f>IF(ISBLANK([1]!ScoutingData[[#This Row],[matchLevel]]),"",[1]!ScoutingData[[#This Row],[matchLevel]])</f>
        <v/>
      </c>
      <c r="C562" t="str">
        <f>IF(ISBLANK([1]!ScoutingData[[#This Row],[matchNumber]]),"",[1]!ScoutingData[[#This Row],[matchNumber]])</f>
        <v/>
      </c>
      <c r="D562" t="str">
        <f>IF(ISBLANK([1]!ScoutingData[[#This Row],[event]]),"",[1]!ScoutingData[[#This Row],[event]])</f>
        <v/>
      </c>
      <c r="E562" t="str">
        <f>IF(ISBLANK([1]!ScoutingData[[#This Row],[position]]),"",[1]!ScoutingData[[#This Row],[position]])</f>
        <v/>
      </c>
      <c r="F562" t="str">
        <f>IF(ISBLANK([1]!ScoutingData[[#This Row],[leaveStartingZone]]),"",[1]!ScoutingData[[#This Row],[leaveStartingZone]])</f>
        <v/>
      </c>
      <c r="G562" t="str">
        <f>IF(ISBLANK([1]!ScoutingData[[#This Row],[autoAmpScore]]),"",[1]!ScoutingData[[#This Row],[autoAmpScore]])</f>
        <v/>
      </c>
      <c r="H562" t="str">
        <f>IF(ISBLANK([1]!ScoutingData[[#This Row],[autoSpeakerScore]]),"",[1]!ScoutingData[[#This Row],[autoSpeakerScore]])</f>
        <v/>
      </c>
    </row>
    <row r="563" spans="1:8" x14ac:dyDescent="0.45">
      <c r="A563" t="str">
        <f>IF(ISBLANK([1]!ScoutingData[[#This Row],[teamNumber]]),"",[1]!ScoutingData[[#This Row],[teamNumber]])</f>
        <v/>
      </c>
      <c r="B563" t="str">
        <f>IF(ISBLANK([1]!ScoutingData[[#This Row],[matchLevel]]),"",[1]!ScoutingData[[#This Row],[matchLevel]])</f>
        <v/>
      </c>
      <c r="C563" t="str">
        <f>IF(ISBLANK([1]!ScoutingData[[#This Row],[matchNumber]]),"",[1]!ScoutingData[[#This Row],[matchNumber]])</f>
        <v/>
      </c>
      <c r="D563" t="str">
        <f>IF(ISBLANK([1]!ScoutingData[[#This Row],[event]]),"",[1]!ScoutingData[[#This Row],[event]])</f>
        <v/>
      </c>
      <c r="E563" t="str">
        <f>IF(ISBLANK([1]!ScoutingData[[#This Row],[position]]),"",[1]!ScoutingData[[#This Row],[position]])</f>
        <v/>
      </c>
      <c r="F563" t="str">
        <f>IF(ISBLANK([1]!ScoutingData[[#This Row],[leaveStartingZone]]),"",[1]!ScoutingData[[#This Row],[leaveStartingZone]])</f>
        <v/>
      </c>
      <c r="G563" t="str">
        <f>IF(ISBLANK([1]!ScoutingData[[#This Row],[autoAmpScore]]),"",[1]!ScoutingData[[#This Row],[autoAmpScore]])</f>
        <v/>
      </c>
      <c r="H563" t="str">
        <f>IF(ISBLANK([1]!ScoutingData[[#This Row],[autoSpeakerScore]]),"",[1]!ScoutingData[[#This Row],[autoSpeakerScore]])</f>
        <v/>
      </c>
    </row>
    <row r="564" spans="1:8" x14ac:dyDescent="0.45">
      <c r="A564" t="str">
        <f>IF(ISBLANK([1]!ScoutingData[[#This Row],[teamNumber]]),"",[1]!ScoutingData[[#This Row],[teamNumber]])</f>
        <v/>
      </c>
      <c r="B564" t="str">
        <f>IF(ISBLANK([1]!ScoutingData[[#This Row],[matchLevel]]),"",[1]!ScoutingData[[#This Row],[matchLevel]])</f>
        <v/>
      </c>
      <c r="C564" t="str">
        <f>IF(ISBLANK([1]!ScoutingData[[#This Row],[matchNumber]]),"",[1]!ScoutingData[[#This Row],[matchNumber]])</f>
        <v/>
      </c>
      <c r="D564" t="str">
        <f>IF(ISBLANK([1]!ScoutingData[[#This Row],[event]]),"",[1]!ScoutingData[[#This Row],[event]])</f>
        <v/>
      </c>
      <c r="E564" t="str">
        <f>IF(ISBLANK([1]!ScoutingData[[#This Row],[position]]),"",[1]!ScoutingData[[#This Row],[position]])</f>
        <v/>
      </c>
      <c r="F564" t="str">
        <f>IF(ISBLANK([1]!ScoutingData[[#This Row],[leaveStartingZone]]),"",[1]!ScoutingData[[#This Row],[leaveStartingZone]])</f>
        <v/>
      </c>
      <c r="G564" t="str">
        <f>IF(ISBLANK([1]!ScoutingData[[#This Row],[autoAmpScore]]),"",[1]!ScoutingData[[#This Row],[autoAmpScore]])</f>
        <v/>
      </c>
      <c r="H564" t="str">
        <f>IF(ISBLANK([1]!ScoutingData[[#This Row],[autoSpeakerScore]]),"",[1]!ScoutingData[[#This Row],[autoSpeakerScore]])</f>
        <v/>
      </c>
    </row>
    <row r="565" spans="1:8" x14ac:dyDescent="0.45">
      <c r="A565" t="str">
        <f>IF(ISBLANK([1]!ScoutingData[[#This Row],[teamNumber]]),"",[1]!ScoutingData[[#This Row],[teamNumber]])</f>
        <v/>
      </c>
      <c r="B565" t="str">
        <f>IF(ISBLANK([1]!ScoutingData[[#This Row],[matchLevel]]),"",[1]!ScoutingData[[#This Row],[matchLevel]])</f>
        <v/>
      </c>
      <c r="C565" t="str">
        <f>IF(ISBLANK([1]!ScoutingData[[#This Row],[matchNumber]]),"",[1]!ScoutingData[[#This Row],[matchNumber]])</f>
        <v/>
      </c>
      <c r="D565" t="str">
        <f>IF(ISBLANK([1]!ScoutingData[[#This Row],[event]]),"",[1]!ScoutingData[[#This Row],[event]])</f>
        <v/>
      </c>
      <c r="E565" t="str">
        <f>IF(ISBLANK([1]!ScoutingData[[#This Row],[position]]),"",[1]!ScoutingData[[#This Row],[position]])</f>
        <v/>
      </c>
      <c r="F565" t="str">
        <f>IF(ISBLANK([1]!ScoutingData[[#This Row],[leaveStartingZone]]),"",[1]!ScoutingData[[#This Row],[leaveStartingZone]])</f>
        <v/>
      </c>
      <c r="G565" t="str">
        <f>IF(ISBLANK([1]!ScoutingData[[#This Row],[autoAmpScore]]),"",[1]!ScoutingData[[#This Row],[autoAmpScore]])</f>
        <v/>
      </c>
      <c r="H565" t="str">
        <f>IF(ISBLANK([1]!ScoutingData[[#This Row],[autoSpeakerScore]]),"",[1]!ScoutingData[[#This Row],[autoSpeakerScore]])</f>
        <v/>
      </c>
    </row>
    <row r="566" spans="1:8" x14ac:dyDescent="0.45">
      <c r="A566" t="str">
        <f>IF(ISBLANK([1]!ScoutingData[[#This Row],[teamNumber]]),"",[1]!ScoutingData[[#This Row],[teamNumber]])</f>
        <v/>
      </c>
      <c r="B566" t="str">
        <f>IF(ISBLANK([1]!ScoutingData[[#This Row],[matchLevel]]),"",[1]!ScoutingData[[#This Row],[matchLevel]])</f>
        <v/>
      </c>
      <c r="C566" t="str">
        <f>IF(ISBLANK([1]!ScoutingData[[#This Row],[matchNumber]]),"",[1]!ScoutingData[[#This Row],[matchNumber]])</f>
        <v/>
      </c>
      <c r="D566" t="str">
        <f>IF(ISBLANK([1]!ScoutingData[[#This Row],[event]]),"",[1]!ScoutingData[[#This Row],[event]])</f>
        <v/>
      </c>
      <c r="E566" t="str">
        <f>IF(ISBLANK([1]!ScoutingData[[#This Row],[position]]),"",[1]!ScoutingData[[#This Row],[position]])</f>
        <v/>
      </c>
      <c r="F566" t="str">
        <f>IF(ISBLANK([1]!ScoutingData[[#This Row],[leaveStartingZone]]),"",[1]!ScoutingData[[#This Row],[leaveStartingZone]])</f>
        <v/>
      </c>
      <c r="G566" t="str">
        <f>IF(ISBLANK([1]!ScoutingData[[#This Row],[autoAmpScore]]),"",[1]!ScoutingData[[#This Row],[autoAmpScore]])</f>
        <v/>
      </c>
      <c r="H566" t="str">
        <f>IF(ISBLANK([1]!ScoutingData[[#This Row],[autoSpeakerScore]]),"",[1]!ScoutingData[[#This Row],[autoSpeakerScore]])</f>
        <v/>
      </c>
    </row>
    <row r="567" spans="1:8" x14ac:dyDescent="0.45">
      <c r="A567" t="str">
        <f>IF(ISBLANK([1]!ScoutingData[[#This Row],[teamNumber]]),"",[1]!ScoutingData[[#This Row],[teamNumber]])</f>
        <v/>
      </c>
      <c r="B567" t="str">
        <f>IF(ISBLANK([1]!ScoutingData[[#This Row],[matchLevel]]),"",[1]!ScoutingData[[#This Row],[matchLevel]])</f>
        <v/>
      </c>
      <c r="C567" t="str">
        <f>IF(ISBLANK([1]!ScoutingData[[#This Row],[matchNumber]]),"",[1]!ScoutingData[[#This Row],[matchNumber]])</f>
        <v/>
      </c>
      <c r="D567" t="str">
        <f>IF(ISBLANK([1]!ScoutingData[[#This Row],[event]]),"",[1]!ScoutingData[[#This Row],[event]])</f>
        <v/>
      </c>
      <c r="E567" t="str">
        <f>IF(ISBLANK([1]!ScoutingData[[#This Row],[position]]),"",[1]!ScoutingData[[#This Row],[position]])</f>
        <v/>
      </c>
      <c r="F567" t="str">
        <f>IF(ISBLANK([1]!ScoutingData[[#This Row],[leaveStartingZone]]),"",[1]!ScoutingData[[#This Row],[leaveStartingZone]])</f>
        <v/>
      </c>
      <c r="G567" t="str">
        <f>IF(ISBLANK([1]!ScoutingData[[#This Row],[autoAmpScore]]),"",[1]!ScoutingData[[#This Row],[autoAmpScore]])</f>
        <v/>
      </c>
      <c r="H567" t="str">
        <f>IF(ISBLANK([1]!ScoutingData[[#This Row],[autoSpeakerScore]]),"",[1]!ScoutingData[[#This Row],[autoSpeakerScore]])</f>
        <v/>
      </c>
    </row>
    <row r="568" spans="1:8" x14ac:dyDescent="0.45">
      <c r="A568" t="str">
        <f>IF(ISBLANK([1]!ScoutingData[[#This Row],[teamNumber]]),"",[1]!ScoutingData[[#This Row],[teamNumber]])</f>
        <v/>
      </c>
      <c r="B568" t="str">
        <f>IF(ISBLANK([1]!ScoutingData[[#This Row],[matchLevel]]),"",[1]!ScoutingData[[#This Row],[matchLevel]])</f>
        <v/>
      </c>
      <c r="C568" t="str">
        <f>IF(ISBLANK([1]!ScoutingData[[#This Row],[matchNumber]]),"",[1]!ScoutingData[[#This Row],[matchNumber]])</f>
        <v/>
      </c>
      <c r="D568" t="str">
        <f>IF(ISBLANK([1]!ScoutingData[[#This Row],[event]]),"",[1]!ScoutingData[[#This Row],[event]])</f>
        <v/>
      </c>
      <c r="E568" t="str">
        <f>IF(ISBLANK([1]!ScoutingData[[#This Row],[position]]),"",[1]!ScoutingData[[#This Row],[position]])</f>
        <v/>
      </c>
      <c r="F568" t="str">
        <f>IF(ISBLANK([1]!ScoutingData[[#This Row],[leaveStartingZone]]),"",[1]!ScoutingData[[#This Row],[leaveStartingZone]])</f>
        <v/>
      </c>
      <c r="G568" t="str">
        <f>IF(ISBLANK([1]!ScoutingData[[#This Row],[autoAmpScore]]),"",[1]!ScoutingData[[#This Row],[autoAmpScore]])</f>
        <v/>
      </c>
      <c r="H568" t="str">
        <f>IF(ISBLANK([1]!ScoutingData[[#This Row],[autoSpeakerScore]]),"",[1]!ScoutingData[[#This Row],[autoSpeakerScore]])</f>
        <v/>
      </c>
    </row>
    <row r="569" spans="1:8" x14ac:dyDescent="0.45">
      <c r="A569" t="str">
        <f>IF(ISBLANK([1]!ScoutingData[[#This Row],[teamNumber]]),"",[1]!ScoutingData[[#This Row],[teamNumber]])</f>
        <v/>
      </c>
      <c r="B569" t="str">
        <f>IF(ISBLANK([1]!ScoutingData[[#This Row],[matchLevel]]),"",[1]!ScoutingData[[#This Row],[matchLevel]])</f>
        <v/>
      </c>
      <c r="C569" t="str">
        <f>IF(ISBLANK([1]!ScoutingData[[#This Row],[matchNumber]]),"",[1]!ScoutingData[[#This Row],[matchNumber]])</f>
        <v/>
      </c>
      <c r="D569" t="str">
        <f>IF(ISBLANK([1]!ScoutingData[[#This Row],[event]]),"",[1]!ScoutingData[[#This Row],[event]])</f>
        <v/>
      </c>
      <c r="E569" t="str">
        <f>IF(ISBLANK([1]!ScoutingData[[#This Row],[position]]),"",[1]!ScoutingData[[#This Row],[position]])</f>
        <v/>
      </c>
      <c r="F569" t="str">
        <f>IF(ISBLANK([1]!ScoutingData[[#This Row],[leaveStartingZone]]),"",[1]!ScoutingData[[#This Row],[leaveStartingZone]])</f>
        <v/>
      </c>
      <c r="G569" t="str">
        <f>IF(ISBLANK([1]!ScoutingData[[#This Row],[autoAmpScore]]),"",[1]!ScoutingData[[#This Row],[autoAmpScore]])</f>
        <v/>
      </c>
      <c r="H569" t="str">
        <f>IF(ISBLANK([1]!ScoutingData[[#This Row],[autoSpeakerScore]]),"",[1]!ScoutingData[[#This Row],[autoSpeakerScore]])</f>
        <v/>
      </c>
    </row>
    <row r="570" spans="1:8" x14ac:dyDescent="0.45">
      <c r="A570" t="str">
        <f>IF(ISBLANK([1]!ScoutingData[[#This Row],[teamNumber]]),"",[1]!ScoutingData[[#This Row],[teamNumber]])</f>
        <v/>
      </c>
      <c r="B570" t="str">
        <f>IF(ISBLANK([1]!ScoutingData[[#This Row],[matchLevel]]),"",[1]!ScoutingData[[#This Row],[matchLevel]])</f>
        <v/>
      </c>
      <c r="C570" t="str">
        <f>IF(ISBLANK([1]!ScoutingData[[#This Row],[matchNumber]]),"",[1]!ScoutingData[[#This Row],[matchNumber]])</f>
        <v/>
      </c>
      <c r="D570" t="str">
        <f>IF(ISBLANK([1]!ScoutingData[[#This Row],[event]]),"",[1]!ScoutingData[[#This Row],[event]])</f>
        <v/>
      </c>
      <c r="E570" t="str">
        <f>IF(ISBLANK([1]!ScoutingData[[#This Row],[position]]),"",[1]!ScoutingData[[#This Row],[position]])</f>
        <v/>
      </c>
      <c r="F570" t="str">
        <f>IF(ISBLANK([1]!ScoutingData[[#This Row],[leaveStartingZone]]),"",[1]!ScoutingData[[#This Row],[leaveStartingZone]])</f>
        <v/>
      </c>
      <c r="G570" t="str">
        <f>IF(ISBLANK([1]!ScoutingData[[#This Row],[autoAmpScore]]),"",[1]!ScoutingData[[#This Row],[autoAmpScore]])</f>
        <v/>
      </c>
      <c r="H570" t="str">
        <f>IF(ISBLANK([1]!ScoutingData[[#This Row],[autoSpeakerScore]]),"",[1]!ScoutingData[[#This Row],[autoSpeakerScore]])</f>
        <v/>
      </c>
    </row>
    <row r="571" spans="1:8" x14ac:dyDescent="0.45">
      <c r="A571" t="str">
        <f>IF(ISBLANK([1]!ScoutingData[[#This Row],[teamNumber]]),"",[1]!ScoutingData[[#This Row],[teamNumber]])</f>
        <v/>
      </c>
      <c r="B571" t="str">
        <f>IF(ISBLANK([1]!ScoutingData[[#This Row],[matchLevel]]),"",[1]!ScoutingData[[#This Row],[matchLevel]])</f>
        <v/>
      </c>
      <c r="C571" t="str">
        <f>IF(ISBLANK([1]!ScoutingData[[#This Row],[matchNumber]]),"",[1]!ScoutingData[[#This Row],[matchNumber]])</f>
        <v/>
      </c>
      <c r="D571" t="str">
        <f>IF(ISBLANK([1]!ScoutingData[[#This Row],[event]]),"",[1]!ScoutingData[[#This Row],[event]])</f>
        <v/>
      </c>
      <c r="E571" t="str">
        <f>IF(ISBLANK([1]!ScoutingData[[#This Row],[position]]),"",[1]!ScoutingData[[#This Row],[position]])</f>
        <v/>
      </c>
      <c r="F571" t="str">
        <f>IF(ISBLANK([1]!ScoutingData[[#This Row],[leaveStartingZone]]),"",[1]!ScoutingData[[#This Row],[leaveStartingZone]])</f>
        <v/>
      </c>
      <c r="G571" t="str">
        <f>IF(ISBLANK([1]!ScoutingData[[#This Row],[autoAmpScore]]),"",[1]!ScoutingData[[#This Row],[autoAmpScore]])</f>
        <v/>
      </c>
      <c r="H571" t="str">
        <f>IF(ISBLANK([1]!ScoutingData[[#This Row],[autoSpeakerScore]]),"",[1]!ScoutingData[[#This Row],[autoSpeakerScore]])</f>
        <v/>
      </c>
    </row>
    <row r="572" spans="1:8" x14ac:dyDescent="0.45">
      <c r="A572" t="str">
        <f>IF(ISBLANK([1]!ScoutingData[[#This Row],[teamNumber]]),"",[1]!ScoutingData[[#This Row],[teamNumber]])</f>
        <v/>
      </c>
      <c r="B572" t="str">
        <f>IF(ISBLANK([1]!ScoutingData[[#This Row],[matchLevel]]),"",[1]!ScoutingData[[#This Row],[matchLevel]])</f>
        <v/>
      </c>
      <c r="C572" t="str">
        <f>IF(ISBLANK([1]!ScoutingData[[#This Row],[matchNumber]]),"",[1]!ScoutingData[[#This Row],[matchNumber]])</f>
        <v/>
      </c>
      <c r="D572" t="str">
        <f>IF(ISBLANK([1]!ScoutingData[[#This Row],[event]]),"",[1]!ScoutingData[[#This Row],[event]])</f>
        <v/>
      </c>
      <c r="E572" t="str">
        <f>IF(ISBLANK([1]!ScoutingData[[#This Row],[position]]),"",[1]!ScoutingData[[#This Row],[position]])</f>
        <v/>
      </c>
      <c r="F572" t="str">
        <f>IF(ISBLANK([1]!ScoutingData[[#This Row],[leaveStartingZone]]),"",[1]!ScoutingData[[#This Row],[leaveStartingZone]])</f>
        <v/>
      </c>
      <c r="G572" t="str">
        <f>IF(ISBLANK([1]!ScoutingData[[#This Row],[autoAmpScore]]),"",[1]!ScoutingData[[#This Row],[autoAmpScore]])</f>
        <v/>
      </c>
      <c r="H572" t="str">
        <f>IF(ISBLANK([1]!ScoutingData[[#This Row],[autoSpeakerScore]]),"",[1]!ScoutingData[[#This Row],[autoSpeakerScore]])</f>
        <v/>
      </c>
    </row>
    <row r="573" spans="1:8" x14ac:dyDescent="0.45">
      <c r="A573" t="str">
        <f>IF(ISBLANK([1]!ScoutingData[[#This Row],[teamNumber]]),"",[1]!ScoutingData[[#This Row],[teamNumber]])</f>
        <v/>
      </c>
      <c r="B573" t="str">
        <f>IF(ISBLANK([1]!ScoutingData[[#This Row],[matchLevel]]),"",[1]!ScoutingData[[#This Row],[matchLevel]])</f>
        <v/>
      </c>
      <c r="C573" t="str">
        <f>IF(ISBLANK([1]!ScoutingData[[#This Row],[matchNumber]]),"",[1]!ScoutingData[[#This Row],[matchNumber]])</f>
        <v/>
      </c>
      <c r="D573" t="str">
        <f>IF(ISBLANK([1]!ScoutingData[[#This Row],[event]]),"",[1]!ScoutingData[[#This Row],[event]])</f>
        <v/>
      </c>
      <c r="E573" t="str">
        <f>IF(ISBLANK([1]!ScoutingData[[#This Row],[position]]),"",[1]!ScoutingData[[#This Row],[position]])</f>
        <v/>
      </c>
      <c r="F573" t="str">
        <f>IF(ISBLANK([1]!ScoutingData[[#This Row],[leaveStartingZone]]),"",[1]!ScoutingData[[#This Row],[leaveStartingZone]])</f>
        <v/>
      </c>
      <c r="G573" t="str">
        <f>IF(ISBLANK([1]!ScoutingData[[#This Row],[autoAmpScore]]),"",[1]!ScoutingData[[#This Row],[autoAmpScore]])</f>
        <v/>
      </c>
      <c r="H573" t="str">
        <f>IF(ISBLANK([1]!ScoutingData[[#This Row],[autoSpeakerScore]]),"",[1]!ScoutingData[[#This Row],[autoSpeakerScore]])</f>
        <v/>
      </c>
    </row>
    <row r="574" spans="1:8" x14ac:dyDescent="0.45">
      <c r="A574" t="str">
        <f>IF(ISBLANK([1]!ScoutingData[[#This Row],[teamNumber]]),"",[1]!ScoutingData[[#This Row],[teamNumber]])</f>
        <v/>
      </c>
      <c r="B574" t="str">
        <f>IF(ISBLANK([1]!ScoutingData[[#This Row],[matchLevel]]),"",[1]!ScoutingData[[#This Row],[matchLevel]])</f>
        <v/>
      </c>
      <c r="C574" t="str">
        <f>IF(ISBLANK([1]!ScoutingData[[#This Row],[matchNumber]]),"",[1]!ScoutingData[[#This Row],[matchNumber]])</f>
        <v/>
      </c>
      <c r="D574" t="str">
        <f>IF(ISBLANK([1]!ScoutingData[[#This Row],[event]]),"",[1]!ScoutingData[[#This Row],[event]])</f>
        <v/>
      </c>
      <c r="E574" t="str">
        <f>IF(ISBLANK([1]!ScoutingData[[#This Row],[position]]),"",[1]!ScoutingData[[#This Row],[position]])</f>
        <v/>
      </c>
      <c r="F574" t="str">
        <f>IF(ISBLANK([1]!ScoutingData[[#This Row],[leaveStartingZone]]),"",[1]!ScoutingData[[#This Row],[leaveStartingZone]])</f>
        <v/>
      </c>
      <c r="G574" t="str">
        <f>IF(ISBLANK([1]!ScoutingData[[#This Row],[autoAmpScore]]),"",[1]!ScoutingData[[#This Row],[autoAmpScore]])</f>
        <v/>
      </c>
      <c r="H574" t="str">
        <f>IF(ISBLANK([1]!ScoutingData[[#This Row],[autoSpeakerScore]]),"",[1]!ScoutingData[[#This Row],[autoSpeakerScore]])</f>
        <v/>
      </c>
    </row>
    <row r="575" spans="1:8" x14ac:dyDescent="0.45">
      <c r="A575" t="str">
        <f>IF(ISBLANK([1]!ScoutingData[[#This Row],[teamNumber]]),"",[1]!ScoutingData[[#This Row],[teamNumber]])</f>
        <v/>
      </c>
      <c r="B575" t="str">
        <f>IF(ISBLANK([1]!ScoutingData[[#This Row],[matchLevel]]),"",[1]!ScoutingData[[#This Row],[matchLevel]])</f>
        <v/>
      </c>
      <c r="C575" t="str">
        <f>IF(ISBLANK([1]!ScoutingData[[#This Row],[matchNumber]]),"",[1]!ScoutingData[[#This Row],[matchNumber]])</f>
        <v/>
      </c>
      <c r="D575" t="str">
        <f>IF(ISBLANK([1]!ScoutingData[[#This Row],[event]]),"",[1]!ScoutingData[[#This Row],[event]])</f>
        <v/>
      </c>
      <c r="E575" t="str">
        <f>IF(ISBLANK([1]!ScoutingData[[#This Row],[position]]),"",[1]!ScoutingData[[#This Row],[position]])</f>
        <v/>
      </c>
      <c r="F575" t="str">
        <f>IF(ISBLANK([1]!ScoutingData[[#This Row],[leaveStartingZone]]),"",[1]!ScoutingData[[#This Row],[leaveStartingZone]])</f>
        <v/>
      </c>
      <c r="G575" t="str">
        <f>IF(ISBLANK([1]!ScoutingData[[#This Row],[autoAmpScore]]),"",[1]!ScoutingData[[#This Row],[autoAmpScore]])</f>
        <v/>
      </c>
      <c r="H575" t="str">
        <f>IF(ISBLANK([1]!ScoutingData[[#This Row],[autoSpeakerScore]]),"",[1]!ScoutingData[[#This Row],[autoSpeakerScore]])</f>
        <v/>
      </c>
    </row>
    <row r="576" spans="1:8" x14ac:dyDescent="0.45">
      <c r="A576" t="str">
        <f>IF(ISBLANK([1]!ScoutingData[[#This Row],[teamNumber]]),"",[1]!ScoutingData[[#This Row],[teamNumber]])</f>
        <v/>
      </c>
      <c r="B576" t="str">
        <f>IF(ISBLANK([1]!ScoutingData[[#This Row],[matchLevel]]),"",[1]!ScoutingData[[#This Row],[matchLevel]])</f>
        <v/>
      </c>
      <c r="C576" t="str">
        <f>IF(ISBLANK([1]!ScoutingData[[#This Row],[matchNumber]]),"",[1]!ScoutingData[[#This Row],[matchNumber]])</f>
        <v/>
      </c>
      <c r="D576" t="str">
        <f>IF(ISBLANK([1]!ScoutingData[[#This Row],[event]]),"",[1]!ScoutingData[[#This Row],[event]])</f>
        <v/>
      </c>
      <c r="E576" t="str">
        <f>IF(ISBLANK([1]!ScoutingData[[#This Row],[position]]),"",[1]!ScoutingData[[#This Row],[position]])</f>
        <v/>
      </c>
      <c r="F576" t="str">
        <f>IF(ISBLANK([1]!ScoutingData[[#This Row],[leaveStartingZone]]),"",[1]!ScoutingData[[#This Row],[leaveStartingZone]])</f>
        <v/>
      </c>
      <c r="G576" t="str">
        <f>IF(ISBLANK([1]!ScoutingData[[#This Row],[autoAmpScore]]),"",[1]!ScoutingData[[#This Row],[autoAmpScore]])</f>
        <v/>
      </c>
      <c r="H576" t="str">
        <f>IF(ISBLANK([1]!ScoutingData[[#This Row],[autoSpeakerScore]]),"",[1]!ScoutingData[[#This Row],[autoSpeakerScore]])</f>
        <v/>
      </c>
    </row>
    <row r="577" spans="1:8" x14ac:dyDescent="0.45">
      <c r="A577" t="str">
        <f>IF(ISBLANK([1]!ScoutingData[[#This Row],[teamNumber]]),"",[1]!ScoutingData[[#This Row],[teamNumber]])</f>
        <v/>
      </c>
      <c r="B577" t="str">
        <f>IF(ISBLANK([1]!ScoutingData[[#This Row],[matchLevel]]),"",[1]!ScoutingData[[#This Row],[matchLevel]])</f>
        <v/>
      </c>
      <c r="C577" t="str">
        <f>IF(ISBLANK([1]!ScoutingData[[#This Row],[matchNumber]]),"",[1]!ScoutingData[[#This Row],[matchNumber]])</f>
        <v/>
      </c>
      <c r="D577" t="str">
        <f>IF(ISBLANK([1]!ScoutingData[[#This Row],[event]]),"",[1]!ScoutingData[[#This Row],[event]])</f>
        <v/>
      </c>
      <c r="E577" t="str">
        <f>IF(ISBLANK([1]!ScoutingData[[#This Row],[position]]),"",[1]!ScoutingData[[#This Row],[position]])</f>
        <v/>
      </c>
      <c r="F577" t="str">
        <f>IF(ISBLANK([1]!ScoutingData[[#This Row],[leaveStartingZone]]),"",[1]!ScoutingData[[#This Row],[leaveStartingZone]])</f>
        <v/>
      </c>
      <c r="G577" t="str">
        <f>IF(ISBLANK([1]!ScoutingData[[#This Row],[autoAmpScore]]),"",[1]!ScoutingData[[#This Row],[autoAmpScore]])</f>
        <v/>
      </c>
      <c r="H577" t="str">
        <f>IF(ISBLANK([1]!ScoutingData[[#This Row],[autoSpeakerScore]]),"",[1]!ScoutingData[[#This Row],[autoSpeakerScore]])</f>
        <v/>
      </c>
    </row>
    <row r="578" spans="1:8" x14ac:dyDescent="0.45">
      <c r="A578" t="str">
        <f>IF(ISBLANK([1]!ScoutingData[[#This Row],[teamNumber]]),"",[1]!ScoutingData[[#This Row],[teamNumber]])</f>
        <v/>
      </c>
      <c r="B578" t="str">
        <f>IF(ISBLANK([1]!ScoutingData[[#This Row],[matchLevel]]),"",[1]!ScoutingData[[#This Row],[matchLevel]])</f>
        <v/>
      </c>
      <c r="C578" t="str">
        <f>IF(ISBLANK([1]!ScoutingData[[#This Row],[matchNumber]]),"",[1]!ScoutingData[[#This Row],[matchNumber]])</f>
        <v/>
      </c>
      <c r="D578" t="str">
        <f>IF(ISBLANK([1]!ScoutingData[[#This Row],[event]]),"",[1]!ScoutingData[[#This Row],[event]])</f>
        <v/>
      </c>
      <c r="E578" t="str">
        <f>IF(ISBLANK([1]!ScoutingData[[#This Row],[position]]),"",[1]!ScoutingData[[#This Row],[position]])</f>
        <v/>
      </c>
      <c r="F578" t="str">
        <f>IF(ISBLANK([1]!ScoutingData[[#This Row],[leaveStartingZone]]),"",[1]!ScoutingData[[#This Row],[leaveStartingZone]])</f>
        <v/>
      </c>
      <c r="G578" t="str">
        <f>IF(ISBLANK([1]!ScoutingData[[#This Row],[autoAmpScore]]),"",[1]!ScoutingData[[#This Row],[autoAmpScore]])</f>
        <v/>
      </c>
      <c r="H578" t="str">
        <f>IF(ISBLANK([1]!ScoutingData[[#This Row],[autoSpeakerScore]]),"",[1]!ScoutingData[[#This Row],[autoSpeakerScore]])</f>
        <v/>
      </c>
    </row>
    <row r="579" spans="1:8" x14ac:dyDescent="0.45">
      <c r="A579" t="str">
        <f>IF(ISBLANK([1]!ScoutingData[[#This Row],[teamNumber]]),"",[1]!ScoutingData[[#This Row],[teamNumber]])</f>
        <v/>
      </c>
      <c r="B579" t="str">
        <f>IF(ISBLANK([1]!ScoutingData[[#This Row],[matchLevel]]),"",[1]!ScoutingData[[#This Row],[matchLevel]])</f>
        <v/>
      </c>
      <c r="C579" t="str">
        <f>IF(ISBLANK([1]!ScoutingData[[#This Row],[matchNumber]]),"",[1]!ScoutingData[[#This Row],[matchNumber]])</f>
        <v/>
      </c>
      <c r="D579" t="str">
        <f>IF(ISBLANK([1]!ScoutingData[[#This Row],[event]]),"",[1]!ScoutingData[[#This Row],[event]])</f>
        <v/>
      </c>
      <c r="E579" t="str">
        <f>IF(ISBLANK([1]!ScoutingData[[#This Row],[position]]),"",[1]!ScoutingData[[#This Row],[position]])</f>
        <v/>
      </c>
      <c r="F579" t="str">
        <f>IF(ISBLANK([1]!ScoutingData[[#This Row],[leaveStartingZone]]),"",[1]!ScoutingData[[#This Row],[leaveStartingZone]])</f>
        <v/>
      </c>
      <c r="G579" t="str">
        <f>IF(ISBLANK([1]!ScoutingData[[#This Row],[autoAmpScore]]),"",[1]!ScoutingData[[#This Row],[autoAmpScore]])</f>
        <v/>
      </c>
      <c r="H579" t="str">
        <f>IF(ISBLANK([1]!ScoutingData[[#This Row],[autoSpeakerScore]]),"",[1]!ScoutingData[[#This Row],[autoSpeakerScore]])</f>
        <v/>
      </c>
    </row>
    <row r="580" spans="1:8" x14ac:dyDescent="0.45">
      <c r="A580" t="str">
        <f>IF(ISBLANK([1]!ScoutingData[[#This Row],[teamNumber]]),"",[1]!ScoutingData[[#This Row],[teamNumber]])</f>
        <v/>
      </c>
      <c r="B580" t="str">
        <f>IF(ISBLANK([1]!ScoutingData[[#This Row],[matchLevel]]),"",[1]!ScoutingData[[#This Row],[matchLevel]])</f>
        <v/>
      </c>
      <c r="C580" t="str">
        <f>IF(ISBLANK([1]!ScoutingData[[#This Row],[matchNumber]]),"",[1]!ScoutingData[[#This Row],[matchNumber]])</f>
        <v/>
      </c>
      <c r="D580" t="str">
        <f>IF(ISBLANK([1]!ScoutingData[[#This Row],[event]]),"",[1]!ScoutingData[[#This Row],[event]])</f>
        <v/>
      </c>
      <c r="E580" t="str">
        <f>IF(ISBLANK([1]!ScoutingData[[#This Row],[position]]),"",[1]!ScoutingData[[#This Row],[position]])</f>
        <v/>
      </c>
      <c r="F580" t="str">
        <f>IF(ISBLANK([1]!ScoutingData[[#This Row],[leaveStartingZone]]),"",[1]!ScoutingData[[#This Row],[leaveStartingZone]])</f>
        <v/>
      </c>
      <c r="G580" t="str">
        <f>IF(ISBLANK([1]!ScoutingData[[#This Row],[autoAmpScore]]),"",[1]!ScoutingData[[#This Row],[autoAmpScore]])</f>
        <v/>
      </c>
      <c r="H580" t="str">
        <f>IF(ISBLANK([1]!ScoutingData[[#This Row],[autoSpeakerScore]]),"",[1]!ScoutingData[[#This Row],[autoSpeakerScore]])</f>
        <v/>
      </c>
    </row>
    <row r="581" spans="1:8" x14ac:dyDescent="0.45">
      <c r="A581" t="str">
        <f>IF(ISBLANK([1]!ScoutingData[[#This Row],[teamNumber]]),"",[1]!ScoutingData[[#This Row],[teamNumber]])</f>
        <v/>
      </c>
      <c r="B581" t="str">
        <f>IF(ISBLANK([1]!ScoutingData[[#This Row],[matchLevel]]),"",[1]!ScoutingData[[#This Row],[matchLevel]])</f>
        <v/>
      </c>
      <c r="C581" t="str">
        <f>IF(ISBLANK([1]!ScoutingData[[#This Row],[matchNumber]]),"",[1]!ScoutingData[[#This Row],[matchNumber]])</f>
        <v/>
      </c>
      <c r="D581" t="str">
        <f>IF(ISBLANK([1]!ScoutingData[[#This Row],[event]]),"",[1]!ScoutingData[[#This Row],[event]])</f>
        <v/>
      </c>
      <c r="E581" t="str">
        <f>IF(ISBLANK([1]!ScoutingData[[#This Row],[position]]),"",[1]!ScoutingData[[#This Row],[position]])</f>
        <v/>
      </c>
      <c r="F581" t="str">
        <f>IF(ISBLANK([1]!ScoutingData[[#This Row],[leaveStartingZone]]),"",[1]!ScoutingData[[#This Row],[leaveStartingZone]])</f>
        <v/>
      </c>
      <c r="G581" t="str">
        <f>IF(ISBLANK([1]!ScoutingData[[#This Row],[autoAmpScore]]),"",[1]!ScoutingData[[#This Row],[autoAmpScore]])</f>
        <v/>
      </c>
      <c r="H581" t="str">
        <f>IF(ISBLANK([1]!ScoutingData[[#This Row],[autoSpeakerScore]]),"",[1]!ScoutingData[[#This Row],[autoSpeakerScore]])</f>
        <v/>
      </c>
    </row>
    <row r="582" spans="1:8" x14ac:dyDescent="0.45">
      <c r="A582" t="str">
        <f>IF(ISBLANK([1]!ScoutingData[[#This Row],[teamNumber]]),"",[1]!ScoutingData[[#This Row],[teamNumber]])</f>
        <v/>
      </c>
      <c r="B582" t="str">
        <f>IF(ISBLANK([1]!ScoutingData[[#This Row],[matchLevel]]),"",[1]!ScoutingData[[#This Row],[matchLevel]])</f>
        <v/>
      </c>
      <c r="C582" t="str">
        <f>IF(ISBLANK([1]!ScoutingData[[#This Row],[matchNumber]]),"",[1]!ScoutingData[[#This Row],[matchNumber]])</f>
        <v/>
      </c>
      <c r="D582" t="str">
        <f>IF(ISBLANK([1]!ScoutingData[[#This Row],[event]]),"",[1]!ScoutingData[[#This Row],[event]])</f>
        <v/>
      </c>
      <c r="E582" t="str">
        <f>IF(ISBLANK([1]!ScoutingData[[#This Row],[position]]),"",[1]!ScoutingData[[#This Row],[position]])</f>
        <v/>
      </c>
      <c r="F582" t="str">
        <f>IF(ISBLANK([1]!ScoutingData[[#This Row],[leaveStartingZone]]),"",[1]!ScoutingData[[#This Row],[leaveStartingZone]])</f>
        <v/>
      </c>
      <c r="G582" t="str">
        <f>IF(ISBLANK([1]!ScoutingData[[#This Row],[autoAmpScore]]),"",[1]!ScoutingData[[#This Row],[autoAmpScore]])</f>
        <v/>
      </c>
      <c r="H582" t="str">
        <f>IF(ISBLANK([1]!ScoutingData[[#This Row],[autoSpeakerScore]]),"",[1]!ScoutingData[[#This Row],[autoSpeakerScore]])</f>
        <v/>
      </c>
    </row>
    <row r="583" spans="1:8" x14ac:dyDescent="0.45">
      <c r="A583" t="str">
        <f>IF(ISBLANK([1]!ScoutingData[[#This Row],[teamNumber]]),"",[1]!ScoutingData[[#This Row],[teamNumber]])</f>
        <v/>
      </c>
      <c r="B583" t="str">
        <f>IF(ISBLANK([1]!ScoutingData[[#This Row],[matchLevel]]),"",[1]!ScoutingData[[#This Row],[matchLevel]])</f>
        <v/>
      </c>
      <c r="C583" t="str">
        <f>IF(ISBLANK([1]!ScoutingData[[#This Row],[matchNumber]]),"",[1]!ScoutingData[[#This Row],[matchNumber]])</f>
        <v/>
      </c>
      <c r="D583" t="str">
        <f>IF(ISBLANK([1]!ScoutingData[[#This Row],[event]]),"",[1]!ScoutingData[[#This Row],[event]])</f>
        <v/>
      </c>
      <c r="E583" t="str">
        <f>IF(ISBLANK([1]!ScoutingData[[#This Row],[position]]),"",[1]!ScoutingData[[#This Row],[position]])</f>
        <v/>
      </c>
      <c r="F583" t="str">
        <f>IF(ISBLANK([1]!ScoutingData[[#This Row],[leaveStartingZone]]),"",[1]!ScoutingData[[#This Row],[leaveStartingZone]])</f>
        <v/>
      </c>
      <c r="G583" t="str">
        <f>IF(ISBLANK([1]!ScoutingData[[#This Row],[autoAmpScore]]),"",[1]!ScoutingData[[#This Row],[autoAmpScore]])</f>
        <v/>
      </c>
      <c r="H583" t="str">
        <f>IF(ISBLANK([1]!ScoutingData[[#This Row],[autoSpeakerScore]]),"",[1]!ScoutingData[[#This Row],[autoSpeakerScore]])</f>
        <v/>
      </c>
    </row>
    <row r="584" spans="1:8" x14ac:dyDescent="0.45">
      <c r="A584" t="str">
        <f>IF(ISBLANK([1]!ScoutingData[[#This Row],[teamNumber]]),"",[1]!ScoutingData[[#This Row],[teamNumber]])</f>
        <v/>
      </c>
      <c r="B584" t="str">
        <f>IF(ISBLANK([1]!ScoutingData[[#This Row],[matchLevel]]),"",[1]!ScoutingData[[#This Row],[matchLevel]])</f>
        <v/>
      </c>
      <c r="C584" t="str">
        <f>IF(ISBLANK([1]!ScoutingData[[#This Row],[matchNumber]]),"",[1]!ScoutingData[[#This Row],[matchNumber]])</f>
        <v/>
      </c>
      <c r="D584" t="str">
        <f>IF(ISBLANK([1]!ScoutingData[[#This Row],[event]]),"",[1]!ScoutingData[[#This Row],[event]])</f>
        <v/>
      </c>
      <c r="E584" t="str">
        <f>IF(ISBLANK([1]!ScoutingData[[#This Row],[position]]),"",[1]!ScoutingData[[#This Row],[position]])</f>
        <v/>
      </c>
      <c r="F584" t="str">
        <f>IF(ISBLANK([1]!ScoutingData[[#This Row],[leaveStartingZone]]),"",[1]!ScoutingData[[#This Row],[leaveStartingZone]])</f>
        <v/>
      </c>
      <c r="G584" t="str">
        <f>IF(ISBLANK([1]!ScoutingData[[#This Row],[autoAmpScore]]),"",[1]!ScoutingData[[#This Row],[autoAmpScore]])</f>
        <v/>
      </c>
      <c r="H584" t="str">
        <f>IF(ISBLANK([1]!ScoutingData[[#This Row],[autoSpeakerScore]]),"",[1]!ScoutingData[[#This Row],[autoSpeakerScore]])</f>
        <v/>
      </c>
    </row>
    <row r="585" spans="1:8" x14ac:dyDescent="0.45">
      <c r="A585" t="str">
        <f>IF(ISBLANK([1]!ScoutingData[[#This Row],[teamNumber]]),"",[1]!ScoutingData[[#This Row],[teamNumber]])</f>
        <v/>
      </c>
      <c r="B585" t="str">
        <f>IF(ISBLANK([1]!ScoutingData[[#This Row],[matchLevel]]),"",[1]!ScoutingData[[#This Row],[matchLevel]])</f>
        <v/>
      </c>
      <c r="C585" t="str">
        <f>IF(ISBLANK([1]!ScoutingData[[#This Row],[matchNumber]]),"",[1]!ScoutingData[[#This Row],[matchNumber]])</f>
        <v/>
      </c>
      <c r="D585" t="str">
        <f>IF(ISBLANK([1]!ScoutingData[[#This Row],[event]]),"",[1]!ScoutingData[[#This Row],[event]])</f>
        <v/>
      </c>
      <c r="E585" t="str">
        <f>IF(ISBLANK([1]!ScoutingData[[#This Row],[position]]),"",[1]!ScoutingData[[#This Row],[position]])</f>
        <v/>
      </c>
      <c r="F585" t="str">
        <f>IF(ISBLANK([1]!ScoutingData[[#This Row],[leaveStartingZone]]),"",[1]!ScoutingData[[#This Row],[leaveStartingZone]])</f>
        <v/>
      </c>
      <c r="G585" t="str">
        <f>IF(ISBLANK([1]!ScoutingData[[#This Row],[autoAmpScore]]),"",[1]!ScoutingData[[#This Row],[autoAmpScore]])</f>
        <v/>
      </c>
      <c r="H585" t="str">
        <f>IF(ISBLANK([1]!ScoutingData[[#This Row],[autoSpeakerScore]]),"",[1]!ScoutingData[[#This Row],[autoSpeakerScore]])</f>
        <v/>
      </c>
    </row>
    <row r="586" spans="1:8" x14ac:dyDescent="0.45">
      <c r="A586" t="str">
        <f>IF(ISBLANK([1]!ScoutingData[[#This Row],[teamNumber]]),"",[1]!ScoutingData[[#This Row],[teamNumber]])</f>
        <v/>
      </c>
      <c r="B586" t="str">
        <f>IF(ISBLANK([1]!ScoutingData[[#This Row],[matchLevel]]),"",[1]!ScoutingData[[#This Row],[matchLevel]])</f>
        <v/>
      </c>
      <c r="C586" t="str">
        <f>IF(ISBLANK([1]!ScoutingData[[#This Row],[matchNumber]]),"",[1]!ScoutingData[[#This Row],[matchNumber]])</f>
        <v/>
      </c>
      <c r="D586" t="str">
        <f>IF(ISBLANK([1]!ScoutingData[[#This Row],[event]]),"",[1]!ScoutingData[[#This Row],[event]])</f>
        <v/>
      </c>
      <c r="E586" t="str">
        <f>IF(ISBLANK([1]!ScoutingData[[#This Row],[position]]),"",[1]!ScoutingData[[#This Row],[position]])</f>
        <v/>
      </c>
      <c r="F586" t="str">
        <f>IF(ISBLANK([1]!ScoutingData[[#This Row],[leaveStartingZone]]),"",[1]!ScoutingData[[#This Row],[leaveStartingZone]])</f>
        <v/>
      </c>
      <c r="G586" t="str">
        <f>IF(ISBLANK([1]!ScoutingData[[#This Row],[autoAmpScore]]),"",[1]!ScoutingData[[#This Row],[autoAmpScore]])</f>
        <v/>
      </c>
      <c r="H586" t="str">
        <f>IF(ISBLANK([1]!ScoutingData[[#This Row],[autoSpeakerScore]]),"",[1]!ScoutingData[[#This Row],[autoSpeakerScore]])</f>
        <v/>
      </c>
    </row>
    <row r="587" spans="1:8" x14ac:dyDescent="0.45">
      <c r="A587" t="str">
        <f>IF(ISBLANK([1]!ScoutingData[[#This Row],[teamNumber]]),"",[1]!ScoutingData[[#This Row],[teamNumber]])</f>
        <v/>
      </c>
      <c r="B587" t="str">
        <f>IF(ISBLANK([1]!ScoutingData[[#This Row],[matchLevel]]),"",[1]!ScoutingData[[#This Row],[matchLevel]])</f>
        <v/>
      </c>
      <c r="C587" t="str">
        <f>IF(ISBLANK([1]!ScoutingData[[#This Row],[matchNumber]]),"",[1]!ScoutingData[[#This Row],[matchNumber]])</f>
        <v/>
      </c>
      <c r="D587" t="str">
        <f>IF(ISBLANK([1]!ScoutingData[[#This Row],[event]]),"",[1]!ScoutingData[[#This Row],[event]])</f>
        <v/>
      </c>
      <c r="E587" t="str">
        <f>IF(ISBLANK([1]!ScoutingData[[#This Row],[position]]),"",[1]!ScoutingData[[#This Row],[position]])</f>
        <v/>
      </c>
      <c r="F587" t="str">
        <f>IF(ISBLANK([1]!ScoutingData[[#This Row],[leaveStartingZone]]),"",[1]!ScoutingData[[#This Row],[leaveStartingZone]])</f>
        <v/>
      </c>
      <c r="G587" t="str">
        <f>IF(ISBLANK([1]!ScoutingData[[#This Row],[autoAmpScore]]),"",[1]!ScoutingData[[#This Row],[autoAmpScore]])</f>
        <v/>
      </c>
      <c r="H587" t="str">
        <f>IF(ISBLANK([1]!ScoutingData[[#This Row],[autoSpeakerScore]]),"",[1]!ScoutingData[[#This Row],[autoSpeakerScore]])</f>
        <v/>
      </c>
    </row>
    <row r="588" spans="1:8" x14ac:dyDescent="0.45">
      <c r="A588" t="str">
        <f>IF(ISBLANK([1]!ScoutingData[[#This Row],[teamNumber]]),"",[1]!ScoutingData[[#This Row],[teamNumber]])</f>
        <v/>
      </c>
      <c r="B588" t="str">
        <f>IF(ISBLANK([1]!ScoutingData[[#This Row],[matchLevel]]),"",[1]!ScoutingData[[#This Row],[matchLevel]])</f>
        <v/>
      </c>
      <c r="C588" t="str">
        <f>IF(ISBLANK([1]!ScoutingData[[#This Row],[matchNumber]]),"",[1]!ScoutingData[[#This Row],[matchNumber]])</f>
        <v/>
      </c>
      <c r="D588" t="str">
        <f>IF(ISBLANK([1]!ScoutingData[[#This Row],[event]]),"",[1]!ScoutingData[[#This Row],[event]])</f>
        <v/>
      </c>
      <c r="E588" t="str">
        <f>IF(ISBLANK([1]!ScoutingData[[#This Row],[position]]),"",[1]!ScoutingData[[#This Row],[position]])</f>
        <v/>
      </c>
      <c r="F588" t="str">
        <f>IF(ISBLANK([1]!ScoutingData[[#This Row],[leaveStartingZone]]),"",[1]!ScoutingData[[#This Row],[leaveStartingZone]])</f>
        <v/>
      </c>
      <c r="G588" t="str">
        <f>IF(ISBLANK([1]!ScoutingData[[#This Row],[autoAmpScore]]),"",[1]!ScoutingData[[#This Row],[autoAmpScore]])</f>
        <v/>
      </c>
      <c r="H588" t="str">
        <f>IF(ISBLANK([1]!ScoutingData[[#This Row],[autoSpeakerScore]]),"",[1]!ScoutingData[[#This Row],[autoSpeakerScore]])</f>
        <v/>
      </c>
    </row>
    <row r="589" spans="1:8" x14ac:dyDescent="0.45">
      <c r="A589" t="str">
        <f>IF(ISBLANK([1]!ScoutingData[[#This Row],[teamNumber]]),"",[1]!ScoutingData[[#This Row],[teamNumber]])</f>
        <v/>
      </c>
      <c r="B589" t="str">
        <f>IF(ISBLANK([1]!ScoutingData[[#This Row],[matchLevel]]),"",[1]!ScoutingData[[#This Row],[matchLevel]])</f>
        <v/>
      </c>
      <c r="C589" t="str">
        <f>IF(ISBLANK([1]!ScoutingData[[#This Row],[matchNumber]]),"",[1]!ScoutingData[[#This Row],[matchNumber]])</f>
        <v/>
      </c>
      <c r="D589" t="str">
        <f>IF(ISBLANK([1]!ScoutingData[[#This Row],[event]]),"",[1]!ScoutingData[[#This Row],[event]])</f>
        <v/>
      </c>
      <c r="E589" t="str">
        <f>IF(ISBLANK([1]!ScoutingData[[#This Row],[position]]),"",[1]!ScoutingData[[#This Row],[position]])</f>
        <v/>
      </c>
      <c r="F589" t="str">
        <f>IF(ISBLANK([1]!ScoutingData[[#This Row],[leaveStartingZone]]),"",[1]!ScoutingData[[#This Row],[leaveStartingZone]])</f>
        <v/>
      </c>
      <c r="G589" t="str">
        <f>IF(ISBLANK([1]!ScoutingData[[#This Row],[autoAmpScore]]),"",[1]!ScoutingData[[#This Row],[autoAmpScore]])</f>
        <v/>
      </c>
      <c r="H589" t="str">
        <f>IF(ISBLANK([1]!ScoutingData[[#This Row],[autoSpeakerScore]]),"",[1]!ScoutingData[[#This Row],[autoSpeakerScore]])</f>
        <v/>
      </c>
    </row>
    <row r="590" spans="1:8" x14ac:dyDescent="0.45">
      <c r="A590" t="str">
        <f>IF(ISBLANK([1]!ScoutingData[[#This Row],[teamNumber]]),"",[1]!ScoutingData[[#This Row],[teamNumber]])</f>
        <v/>
      </c>
      <c r="B590" t="str">
        <f>IF(ISBLANK([1]!ScoutingData[[#This Row],[matchLevel]]),"",[1]!ScoutingData[[#This Row],[matchLevel]])</f>
        <v/>
      </c>
      <c r="C590" t="str">
        <f>IF(ISBLANK([1]!ScoutingData[[#This Row],[matchNumber]]),"",[1]!ScoutingData[[#This Row],[matchNumber]])</f>
        <v/>
      </c>
      <c r="D590" t="str">
        <f>IF(ISBLANK([1]!ScoutingData[[#This Row],[event]]),"",[1]!ScoutingData[[#This Row],[event]])</f>
        <v/>
      </c>
      <c r="E590" t="str">
        <f>IF(ISBLANK([1]!ScoutingData[[#This Row],[position]]),"",[1]!ScoutingData[[#This Row],[position]])</f>
        <v/>
      </c>
      <c r="F590" t="str">
        <f>IF(ISBLANK([1]!ScoutingData[[#This Row],[leaveStartingZone]]),"",[1]!ScoutingData[[#This Row],[leaveStartingZone]])</f>
        <v/>
      </c>
      <c r="G590" t="str">
        <f>IF(ISBLANK([1]!ScoutingData[[#This Row],[autoAmpScore]]),"",[1]!ScoutingData[[#This Row],[autoAmpScore]])</f>
        <v/>
      </c>
      <c r="H590" t="str">
        <f>IF(ISBLANK([1]!ScoutingData[[#This Row],[autoSpeakerScore]]),"",[1]!ScoutingData[[#This Row],[autoSpeakerScore]])</f>
        <v/>
      </c>
    </row>
    <row r="591" spans="1:8" x14ac:dyDescent="0.45">
      <c r="A591" t="str">
        <f>IF(ISBLANK([1]!ScoutingData[[#This Row],[teamNumber]]),"",[1]!ScoutingData[[#This Row],[teamNumber]])</f>
        <v/>
      </c>
      <c r="B591" t="str">
        <f>IF(ISBLANK([1]!ScoutingData[[#This Row],[matchLevel]]),"",[1]!ScoutingData[[#This Row],[matchLevel]])</f>
        <v/>
      </c>
      <c r="C591" t="str">
        <f>IF(ISBLANK([1]!ScoutingData[[#This Row],[matchNumber]]),"",[1]!ScoutingData[[#This Row],[matchNumber]])</f>
        <v/>
      </c>
      <c r="D591" t="str">
        <f>IF(ISBLANK([1]!ScoutingData[[#This Row],[event]]),"",[1]!ScoutingData[[#This Row],[event]])</f>
        <v/>
      </c>
      <c r="E591" t="str">
        <f>IF(ISBLANK([1]!ScoutingData[[#This Row],[position]]),"",[1]!ScoutingData[[#This Row],[position]])</f>
        <v/>
      </c>
      <c r="F591" t="str">
        <f>IF(ISBLANK([1]!ScoutingData[[#This Row],[leaveStartingZone]]),"",[1]!ScoutingData[[#This Row],[leaveStartingZone]])</f>
        <v/>
      </c>
      <c r="G591" t="str">
        <f>IF(ISBLANK([1]!ScoutingData[[#This Row],[autoAmpScore]]),"",[1]!ScoutingData[[#This Row],[autoAmpScore]])</f>
        <v/>
      </c>
      <c r="H591" t="str">
        <f>IF(ISBLANK([1]!ScoutingData[[#This Row],[autoSpeakerScore]]),"",[1]!ScoutingData[[#This Row],[autoSpeakerScore]])</f>
        <v/>
      </c>
    </row>
    <row r="592" spans="1:8" x14ac:dyDescent="0.45">
      <c r="A592" t="str">
        <f>IF(ISBLANK([1]!ScoutingData[[#This Row],[teamNumber]]),"",[1]!ScoutingData[[#This Row],[teamNumber]])</f>
        <v/>
      </c>
      <c r="B592" t="str">
        <f>IF(ISBLANK([1]!ScoutingData[[#This Row],[matchLevel]]),"",[1]!ScoutingData[[#This Row],[matchLevel]])</f>
        <v/>
      </c>
      <c r="C592" t="str">
        <f>IF(ISBLANK([1]!ScoutingData[[#This Row],[matchNumber]]),"",[1]!ScoutingData[[#This Row],[matchNumber]])</f>
        <v/>
      </c>
      <c r="D592" t="str">
        <f>IF(ISBLANK([1]!ScoutingData[[#This Row],[event]]),"",[1]!ScoutingData[[#This Row],[event]])</f>
        <v/>
      </c>
      <c r="E592" t="str">
        <f>IF(ISBLANK([1]!ScoutingData[[#This Row],[position]]),"",[1]!ScoutingData[[#This Row],[position]])</f>
        <v/>
      </c>
      <c r="F592" t="str">
        <f>IF(ISBLANK([1]!ScoutingData[[#This Row],[leaveStartingZone]]),"",[1]!ScoutingData[[#This Row],[leaveStartingZone]])</f>
        <v/>
      </c>
      <c r="G592" t="str">
        <f>IF(ISBLANK([1]!ScoutingData[[#This Row],[autoAmpScore]]),"",[1]!ScoutingData[[#This Row],[autoAmpScore]])</f>
        <v/>
      </c>
      <c r="H592" t="str">
        <f>IF(ISBLANK([1]!ScoutingData[[#This Row],[autoSpeakerScore]]),"",[1]!ScoutingData[[#This Row],[autoSpeakerScore]])</f>
        <v/>
      </c>
    </row>
    <row r="593" spans="1:8" x14ac:dyDescent="0.45">
      <c r="A593" t="str">
        <f>IF(ISBLANK([1]!ScoutingData[[#This Row],[teamNumber]]),"",[1]!ScoutingData[[#This Row],[teamNumber]])</f>
        <v/>
      </c>
      <c r="B593" t="str">
        <f>IF(ISBLANK([1]!ScoutingData[[#This Row],[matchLevel]]),"",[1]!ScoutingData[[#This Row],[matchLevel]])</f>
        <v/>
      </c>
      <c r="C593" t="str">
        <f>IF(ISBLANK([1]!ScoutingData[[#This Row],[matchNumber]]),"",[1]!ScoutingData[[#This Row],[matchNumber]])</f>
        <v/>
      </c>
      <c r="D593" t="str">
        <f>IF(ISBLANK([1]!ScoutingData[[#This Row],[event]]),"",[1]!ScoutingData[[#This Row],[event]])</f>
        <v/>
      </c>
      <c r="E593" t="str">
        <f>IF(ISBLANK([1]!ScoutingData[[#This Row],[position]]),"",[1]!ScoutingData[[#This Row],[position]])</f>
        <v/>
      </c>
      <c r="F593" t="str">
        <f>IF(ISBLANK([1]!ScoutingData[[#This Row],[leaveStartingZone]]),"",[1]!ScoutingData[[#This Row],[leaveStartingZone]])</f>
        <v/>
      </c>
      <c r="G593" t="str">
        <f>IF(ISBLANK([1]!ScoutingData[[#This Row],[autoAmpScore]]),"",[1]!ScoutingData[[#This Row],[autoAmpScore]])</f>
        <v/>
      </c>
      <c r="H593" t="str">
        <f>IF(ISBLANK([1]!ScoutingData[[#This Row],[autoSpeakerScore]]),"",[1]!ScoutingData[[#This Row],[autoSpeakerScore]])</f>
        <v/>
      </c>
    </row>
    <row r="594" spans="1:8" x14ac:dyDescent="0.45">
      <c r="A594" t="str">
        <f>IF(ISBLANK([1]!ScoutingData[[#This Row],[teamNumber]]),"",[1]!ScoutingData[[#This Row],[teamNumber]])</f>
        <v/>
      </c>
      <c r="B594" t="str">
        <f>IF(ISBLANK([1]!ScoutingData[[#This Row],[matchLevel]]),"",[1]!ScoutingData[[#This Row],[matchLevel]])</f>
        <v/>
      </c>
      <c r="C594" t="str">
        <f>IF(ISBLANK([1]!ScoutingData[[#This Row],[matchNumber]]),"",[1]!ScoutingData[[#This Row],[matchNumber]])</f>
        <v/>
      </c>
      <c r="D594" t="str">
        <f>IF(ISBLANK([1]!ScoutingData[[#This Row],[event]]),"",[1]!ScoutingData[[#This Row],[event]])</f>
        <v/>
      </c>
      <c r="E594" t="str">
        <f>IF(ISBLANK([1]!ScoutingData[[#This Row],[position]]),"",[1]!ScoutingData[[#This Row],[position]])</f>
        <v/>
      </c>
      <c r="F594" t="str">
        <f>IF(ISBLANK([1]!ScoutingData[[#This Row],[leaveStartingZone]]),"",[1]!ScoutingData[[#This Row],[leaveStartingZone]])</f>
        <v/>
      </c>
      <c r="G594" t="str">
        <f>IF(ISBLANK([1]!ScoutingData[[#This Row],[autoAmpScore]]),"",[1]!ScoutingData[[#This Row],[autoAmpScore]])</f>
        <v/>
      </c>
      <c r="H594" t="str">
        <f>IF(ISBLANK([1]!ScoutingData[[#This Row],[autoSpeakerScore]]),"",[1]!ScoutingData[[#This Row],[autoSpeakerScore]])</f>
        <v/>
      </c>
    </row>
    <row r="595" spans="1:8" x14ac:dyDescent="0.45">
      <c r="A595" t="str">
        <f>IF(ISBLANK([1]!ScoutingData[[#This Row],[teamNumber]]),"",[1]!ScoutingData[[#This Row],[teamNumber]])</f>
        <v/>
      </c>
      <c r="B595" t="str">
        <f>IF(ISBLANK([1]!ScoutingData[[#This Row],[matchLevel]]),"",[1]!ScoutingData[[#This Row],[matchLevel]])</f>
        <v/>
      </c>
      <c r="C595" t="str">
        <f>IF(ISBLANK([1]!ScoutingData[[#This Row],[matchNumber]]),"",[1]!ScoutingData[[#This Row],[matchNumber]])</f>
        <v/>
      </c>
      <c r="D595" t="str">
        <f>IF(ISBLANK([1]!ScoutingData[[#This Row],[event]]),"",[1]!ScoutingData[[#This Row],[event]])</f>
        <v/>
      </c>
      <c r="E595" t="str">
        <f>IF(ISBLANK([1]!ScoutingData[[#This Row],[position]]),"",[1]!ScoutingData[[#This Row],[position]])</f>
        <v/>
      </c>
      <c r="F595" t="str">
        <f>IF(ISBLANK([1]!ScoutingData[[#This Row],[leaveStartingZone]]),"",[1]!ScoutingData[[#This Row],[leaveStartingZone]])</f>
        <v/>
      </c>
      <c r="G595" t="str">
        <f>IF(ISBLANK([1]!ScoutingData[[#This Row],[autoAmpScore]]),"",[1]!ScoutingData[[#This Row],[autoAmpScore]])</f>
        <v/>
      </c>
      <c r="H595" t="str">
        <f>IF(ISBLANK([1]!ScoutingData[[#This Row],[autoSpeakerScore]]),"",[1]!ScoutingData[[#This Row],[autoSpeakerScore]])</f>
        <v/>
      </c>
    </row>
    <row r="596" spans="1:8" x14ac:dyDescent="0.45">
      <c r="A596" t="str">
        <f>IF(ISBLANK([1]!ScoutingData[[#This Row],[teamNumber]]),"",[1]!ScoutingData[[#This Row],[teamNumber]])</f>
        <v/>
      </c>
      <c r="B596" t="str">
        <f>IF(ISBLANK([1]!ScoutingData[[#This Row],[matchLevel]]),"",[1]!ScoutingData[[#This Row],[matchLevel]])</f>
        <v/>
      </c>
      <c r="C596" t="str">
        <f>IF(ISBLANK([1]!ScoutingData[[#This Row],[matchNumber]]),"",[1]!ScoutingData[[#This Row],[matchNumber]])</f>
        <v/>
      </c>
      <c r="D596" t="str">
        <f>IF(ISBLANK([1]!ScoutingData[[#This Row],[event]]),"",[1]!ScoutingData[[#This Row],[event]])</f>
        <v/>
      </c>
      <c r="E596" t="str">
        <f>IF(ISBLANK([1]!ScoutingData[[#This Row],[position]]),"",[1]!ScoutingData[[#This Row],[position]])</f>
        <v/>
      </c>
      <c r="F596" t="str">
        <f>IF(ISBLANK([1]!ScoutingData[[#This Row],[leaveStartingZone]]),"",[1]!ScoutingData[[#This Row],[leaveStartingZone]])</f>
        <v/>
      </c>
      <c r="G596" t="str">
        <f>IF(ISBLANK([1]!ScoutingData[[#This Row],[autoAmpScore]]),"",[1]!ScoutingData[[#This Row],[autoAmpScore]])</f>
        <v/>
      </c>
      <c r="H596" t="str">
        <f>IF(ISBLANK([1]!ScoutingData[[#This Row],[autoSpeakerScore]]),"",[1]!ScoutingData[[#This Row],[autoSpeakerScore]])</f>
        <v/>
      </c>
    </row>
    <row r="597" spans="1:8" x14ac:dyDescent="0.45">
      <c r="A597" t="str">
        <f>IF(ISBLANK([1]!ScoutingData[[#This Row],[teamNumber]]),"",[1]!ScoutingData[[#This Row],[teamNumber]])</f>
        <v/>
      </c>
      <c r="B597" t="str">
        <f>IF(ISBLANK([1]!ScoutingData[[#This Row],[matchLevel]]),"",[1]!ScoutingData[[#This Row],[matchLevel]])</f>
        <v/>
      </c>
      <c r="C597" t="str">
        <f>IF(ISBLANK([1]!ScoutingData[[#This Row],[matchNumber]]),"",[1]!ScoutingData[[#This Row],[matchNumber]])</f>
        <v/>
      </c>
      <c r="D597" t="str">
        <f>IF(ISBLANK([1]!ScoutingData[[#This Row],[event]]),"",[1]!ScoutingData[[#This Row],[event]])</f>
        <v/>
      </c>
      <c r="E597" t="str">
        <f>IF(ISBLANK([1]!ScoutingData[[#This Row],[position]]),"",[1]!ScoutingData[[#This Row],[position]])</f>
        <v/>
      </c>
      <c r="F597" t="str">
        <f>IF(ISBLANK([1]!ScoutingData[[#This Row],[leaveStartingZone]]),"",[1]!ScoutingData[[#This Row],[leaveStartingZone]])</f>
        <v/>
      </c>
      <c r="G597" t="str">
        <f>IF(ISBLANK([1]!ScoutingData[[#This Row],[autoAmpScore]]),"",[1]!ScoutingData[[#This Row],[autoAmpScore]])</f>
        <v/>
      </c>
      <c r="H597" t="str">
        <f>IF(ISBLANK([1]!ScoutingData[[#This Row],[autoSpeakerScore]]),"",[1]!ScoutingData[[#This Row],[autoSpeakerScore]])</f>
        <v/>
      </c>
    </row>
    <row r="598" spans="1:8" x14ac:dyDescent="0.45">
      <c r="A598" t="str">
        <f>IF(ISBLANK([1]!ScoutingData[[#This Row],[teamNumber]]),"",[1]!ScoutingData[[#This Row],[teamNumber]])</f>
        <v/>
      </c>
      <c r="B598" t="str">
        <f>IF(ISBLANK([1]!ScoutingData[[#This Row],[matchLevel]]),"",[1]!ScoutingData[[#This Row],[matchLevel]])</f>
        <v/>
      </c>
      <c r="C598" t="str">
        <f>IF(ISBLANK([1]!ScoutingData[[#This Row],[matchNumber]]),"",[1]!ScoutingData[[#This Row],[matchNumber]])</f>
        <v/>
      </c>
      <c r="D598" t="str">
        <f>IF(ISBLANK([1]!ScoutingData[[#This Row],[event]]),"",[1]!ScoutingData[[#This Row],[event]])</f>
        <v/>
      </c>
      <c r="E598" t="str">
        <f>IF(ISBLANK([1]!ScoutingData[[#This Row],[position]]),"",[1]!ScoutingData[[#This Row],[position]])</f>
        <v/>
      </c>
      <c r="F598" t="str">
        <f>IF(ISBLANK([1]!ScoutingData[[#This Row],[leaveStartingZone]]),"",[1]!ScoutingData[[#This Row],[leaveStartingZone]])</f>
        <v/>
      </c>
      <c r="G598" t="str">
        <f>IF(ISBLANK([1]!ScoutingData[[#This Row],[autoAmpScore]]),"",[1]!ScoutingData[[#This Row],[autoAmpScore]])</f>
        <v/>
      </c>
      <c r="H598" t="str">
        <f>IF(ISBLANK([1]!ScoutingData[[#This Row],[autoSpeakerScore]]),"",[1]!ScoutingData[[#This Row],[autoSpeakerScore]])</f>
        <v/>
      </c>
    </row>
    <row r="599" spans="1:8" x14ac:dyDescent="0.45">
      <c r="A599" t="str">
        <f>IF(ISBLANK([1]!ScoutingData[[#This Row],[teamNumber]]),"",[1]!ScoutingData[[#This Row],[teamNumber]])</f>
        <v/>
      </c>
      <c r="B599" t="str">
        <f>IF(ISBLANK([1]!ScoutingData[[#This Row],[matchLevel]]),"",[1]!ScoutingData[[#This Row],[matchLevel]])</f>
        <v/>
      </c>
      <c r="C599" t="str">
        <f>IF(ISBLANK([1]!ScoutingData[[#This Row],[matchNumber]]),"",[1]!ScoutingData[[#This Row],[matchNumber]])</f>
        <v/>
      </c>
      <c r="D599" t="str">
        <f>IF(ISBLANK([1]!ScoutingData[[#This Row],[event]]),"",[1]!ScoutingData[[#This Row],[event]])</f>
        <v/>
      </c>
      <c r="E599" t="str">
        <f>IF(ISBLANK([1]!ScoutingData[[#This Row],[position]]),"",[1]!ScoutingData[[#This Row],[position]])</f>
        <v/>
      </c>
      <c r="F599" t="str">
        <f>IF(ISBLANK([1]!ScoutingData[[#This Row],[leaveStartingZone]]),"",[1]!ScoutingData[[#This Row],[leaveStartingZone]])</f>
        <v/>
      </c>
      <c r="G599" t="str">
        <f>IF(ISBLANK([1]!ScoutingData[[#This Row],[autoAmpScore]]),"",[1]!ScoutingData[[#This Row],[autoAmpScore]])</f>
        <v/>
      </c>
      <c r="H599" t="str">
        <f>IF(ISBLANK([1]!ScoutingData[[#This Row],[autoSpeakerScore]]),"",[1]!ScoutingData[[#This Row],[autoSpeakerScore]])</f>
        <v/>
      </c>
    </row>
    <row r="600" spans="1:8" x14ac:dyDescent="0.45">
      <c r="A600" t="str">
        <f>IF(ISBLANK([1]!ScoutingData[[#This Row],[teamNumber]]),"",[1]!ScoutingData[[#This Row],[teamNumber]])</f>
        <v/>
      </c>
      <c r="B600" t="str">
        <f>IF(ISBLANK([1]!ScoutingData[[#This Row],[matchLevel]]),"",[1]!ScoutingData[[#This Row],[matchLevel]])</f>
        <v/>
      </c>
      <c r="C600" t="str">
        <f>IF(ISBLANK([1]!ScoutingData[[#This Row],[matchNumber]]),"",[1]!ScoutingData[[#This Row],[matchNumber]])</f>
        <v/>
      </c>
      <c r="D600" t="str">
        <f>IF(ISBLANK([1]!ScoutingData[[#This Row],[event]]),"",[1]!ScoutingData[[#This Row],[event]])</f>
        <v/>
      </c>
      <c r="E600" t="str">
        <f>IF(ISBLANK([1]!ScoutingData[[#This Row],[position]]),"",[1]!ScoutingData[[#This Row],[position]])</f>
        <v/>
      </c>
      <c r="F600" t="str">
        <f>IF(ISBLANK([1]!ScoutingData[[#This Row],[leaveStartingZone]]),"",[1]!ScoutingData[[#This Row],[leaveStartingZone]])</f>
        <v/>
      </c>
      <c r="G600" t="str">
        <f>IF(ISBLANK([1]!ScoutingData[[#This Row],[autoAmpScore]]),"",[1]!ScoutingData[[#This Row],[autoAmpScore]])</f>
        <v/>
      </c>
      <c r="H600" t="str">
        <f>IF(ISBLANK([1]!ScoutingData[[#This Row],[autoSpeakerScore]]),"",[1]!ScoutingData[[#This Row],[autoSpeakerScore]])</f>
        <v/>
      </c>
    </row>
    <row r="601" spans="1:8" x14ac:dyDescent="0.45">
      <c r="A601" t="str">
        <f>IF(ISBLANK([1]!ScoutingData[[#This Row],[teamNumber]]),"",[1]!ScoutingData[[#This Row],[teamNumber]])</f>
        <v/>
      </c>
      <c r="B601" t="str">
        <f>IF(ISBLANK([1]!ScoutingData[[#This Row],[matchLevel]]),"",[1]!ScoutingData[[#This Row],[matchLevel]])</f>
        <v/>
      </c>
      <c r="C601" t="str">
        <f>IF(ISBLANK([1]!ScoutingData[[#This Row],[matchNumber]]),"",[1]!ScoutingData[[#This Row],[matchNumber]])</f>
        <v/>
      </c>
      <c r="D601" t="str">
        <f>IF(ISBLANK([1]!ScoutingData[[#This Row],[event]]),"",[1]!ScoutingData[[#This Row],[event]])</f>
        <v/>
      </c>
      <c r="E601" t="str">
        <f>IF(ISBLANK([1]!ScoutingData[[#This Row],[position]]),"",[1]!ScoutingData[[#This Row],[position]])</f>
        <v/>
      </c>
      <c r="F601" t="str">
        <f>IF(ISBLANK([1]!ScoutingData[[#This Row],[leaveStartingZone]]),"",[1]!ScoutingData[[#This Row],[leaveStartingZone]])</f>
        <v/>
      </c>
      <c r="G601" t="str">
        <f>IF(ISBLANK([1]!ScoutingData[[#This Row],[autoAmpScore]]),"",[1]!ScoutingData[[#This Row],[autoAmpScore]])</f>
        <v/>
      </c>
      <c r="H601" t="str">
        <f>IF(ISBLANK([1]!ScoutingData[[#This Row],[autoSpeakerScore]]),"",[1]!ScoutingData[[#This Row],[autoSpeakerScore]])</f>
        <v/>
      </c>
    </row>
    <row r="602" spans="1:8" x14ac:dyDescent="0.45">
      <c r="A602" t="str">
        <f>IF(ISBLANK([1]!ScoutingData[[#This Row],[teamNumber]]),"",[1]!ScoutingData[[#This Row],[teamNumber]])</f>
        <v/>
      </c>
      <c r="B602" t="str">
        <f>IF(ISBLANK([1]!ScoutingData[[#This Row],[matchLevel]]),"",[1]!ScoutingData[[#This Row],[matchLevel]])</f>
        <v/>
      </c>
      <c r="C602" t="str">
        <f>IF(ISBLANK([1]!ScoutingData[[#This Row],[matchNumber]]),"",[1]!ScoutingData[[#This Row],[matchNumber]])</f>
        <v/>
      </c>
      <c r="D602" t="str">
        <f>IF(ISBLANK([1]!ScoutingData[[#This Row],[event]]),"",[1]!ScoutingData[[#This Row],[event]])</f>
        <v/>
      </c>
      <c r="E602" t="str">
        <f>IF(ISBLANK([1]!ScoutingData[[#This Row],[position]]),"",[1]!ScoutingData[[#This Row],[position]])</f>
        <v/>
      </c>
      <c r="F602" t="str">
        <f>IF(ISBLANK([1]!ScoutingData[[#This Row],[leaveStartingZone]]),"",[1]!ScoutingData[[#This Row],[leaveStartingZone]])</f>
        <v/>
      </c>
      <c r="G602" t="str">
        <f>IF(ISBLANK([1]!ScoutingData[[#This Row],[autoAmpScore]]),"",[1]!ScoutingData[[#This Row],[autoAmpScore]])</f>
        <v/>
      </c>
      <c r="H602" t="str">
        <f>IF(ISBLANK([1]!ScoutingData[[#This Row],[autoSpeakerScore]]),"",[1]!ScoutingData[[#This Row],[autoSpeakerScore]])</f>
        <v/>
      </c>
    </row>
    <row r="603" spans="1:8" x14ac:dyDescent="0.45">
      <c r="A603" t="str">
        <f>IF(ISBLANK([1]!ScoutingData[[#This Row],[teamNumber]]),"",[1]!ScoutingData[[#This Row],[teamNumber]])</f>
        <v/>
      </c>
      <c r="B603" t="str">
        <f>IF(ISBLANK([1]!ScoutingData[[#This Row],[matchLevel]]),"",[1]!ScoutingData[[#This Row],[matchLevel]])</f>
        <v/>
      </c>
      <c r="C603" t="str">
        <f>IF(ISBLANK([1]!ScoutingData[[#This Row],[matchNumber]]),"",[1]!ScoutingData[[#This Row],[matchNumber]])</f>
        <v/>
      </c>
      <c r="D603" t="str">
        <f>IF(ISBLANK([1]!ScoutingData[[#This Row],[event]]),"",[1]!ScoutingData[[#This Row],[event]])</f>
        <v/>
      </c>
      <c r="E603" t="str">
        <f>IF(ISBLANK([1]!ScoutingData[[#This Row],[position]]),"",[1]!ScoutingData[[#This Row],[position]])</f>
        <v/>
      </c>
      <c r="F603" t="str">
        <f>IF(ISBLANK([1]!ScoutingData[[#This Row],[leaveStartingZone]]),"",[1]!ScoutingData[[#This Row],[leaveStartingZone]])</f>
        <v/>
      </c>
      <c r="G603" t="str">
        <f>IF(ISBLANK([1]!ScoutingData[[#This Row],[autoAmpScore]]),"",[1]!ScoutingData[[#This Row],[autoAmpScore]])</f>
        <v/>
      </c>
      <c r="H603" t="str">
        <f>IF(ISBLANK([1]!ScoutingData[[#This Row],[autoSpeakerScore]]),"",[1]!ScoutingData[[#This Row],[autoSpeakerScore]])</f>
        <v/>
      </c>
    </row>
    <row r="604" spans="1:8" x14ac:dyDescent="0.45">
      <c r="A604" t="str">
        <f>IF(ISBLANK([1]!ScoutingData[[#This Row],[teamNumber]]),"",[1]!ScoutingData[[#This Row],[teamNumber]])</f>
        <v/>
      </c>
      <c r="B604" t="str">
        <f>IF(ISBLANK([1]!ScoutingData[[#This Row],[matchLevel]]),"",[1]!ScoutingData[[#This Row],[matchLevel]])</f>
        <v/>
      </c>
      <c r="C604" t="str">
        <f>IF(ISBLANK([1]!ScoutingData[[#This Row],[matchNumber]]),"",[1]!ScoutingData[[#This Row],[matchNumber]])</f>
        <v/>
      </c>
      <c r="D604" t="str">
        <f>IF(ISBLANK([1]!ScoutingData[[#This Row],[event]]),"",[1]!ScoutingData[[#This Row],[event]])</f>
        <v/>
      </c>
      <c r="E604" t="str">
        <f>IF(ISBLANK([1]!ScoutingData[[#This Row],[position]]),"",[1]!ScoutingData[[#This Row],[position]])</f>
        <v/>
      </c>
      <c r="F604" t="str">
        <f>IF(ISBLANK([1]!ScoutingData[[#This Row],[leaveStartingZone]]),"",[1]!ScoutingData[[#This Row],[leaveStartingZone]])</f>
        <v/>
      </c>
      <c r="G604" t="str">
        <f>IF(ISBLANK([1]!ScoutingData[[#This Row],[autoAmpScore]]),"",[1]!ScoutingData[[#This Row],[autoAmpScore]])</f>
        <v/>
      </c>
      <c r="H604" t="str">
        <f>IF(ISBLANK([1]!ScoutingData[[#This Row],[autoSpeakerScore]]),"",[1]!ScoutingData[[#This Row],[autoSpeakerScore]])</f>
        <v/>
      </c>
    </row>
    <row r="605" spans="1:8" x14ac:dyDescent="0.45">
      <c r="A605" t="str">
        <f>IF(ISBLANK([1]!ScoutingData[[#This Row],[teamNumber]]),"",[1]!ScoutingData[[#This Row],[teamNumber]])</f>
        <v/>
      </c>
      <c r="B605" t="str">
        <f>IF(ISBLANK([1]!ScoutingData[[#This Row],[matchLevel]]),"",[1]!ScoutingData[[#This Row],[matchLevel]])</f>
        <v/>
      </c>
      <c r="C605" t="str">
        <f>IF(ISBLANK([1]!ScoutingData[[#This Row],[matchNumber]]),"",[1]!ScoutingData[[#This Row],[matchNumber]])</f>
        <v/>
      </c>
      <c r="D605" t="str">
        <f>IF(ISBLANK([1]!ScoutingData[[#This Row],[event]]),"",[1]!ScoutingData[[#This Row],[event]])</f>
        <v/>
      </c>
      <c r="E605" t="str">
        <f>IF(ISBLANK([1]!ScoutingData[[#This Row],[position]]),"",[1]!ScoutingData[[#This Row],[position]])</f>
        <v/>
      </c>
      <c r="F605" t="str">
        <f>IF(ISBLANK([1]!ScoutingData[[#This Row],[leaveStartingZone]]),"",[1]!ScoutingData[[#This Row],[leaveStartingZone]])</f>
        <v/>
      </c>
      <c r="G605" t="str">
        <f>IF(ISBLANK([1]!ScoutingData[[#This Row],[autoAmpScore]]),"",[1]!ScoutingData[[#This Row],[autoAmpScore]])</f>
        <v/>
      </c>
      <c r="H605" t="str">
        <f>IF(ISBLANK([1]!ScoutingData[[#This Row],[autoSpeakerScore]]),"",[1]!ScoutingData[[#This Row],[autoSpeakerScore]])</f>
        <v/>
      </c>
    </row>
    <row r="606" spans="1:8" x14ac:dyDescent="0.45">
      <c r="A606" t="str">
        <f>IF(ISBLANK([1]!ScoutingData[[#This Row],[teamNumber]]),"",[1]!ScoutingData[[#This Row],[teamNumber]])</f>
        <v/>
      </c>
      <c r="B606" t="str">
        <f>IF(ISBLANK([1]!ScoutingData[[#This Row],[matchLevel]]),"",[1]!ScoutingData[[#This Row],[matchLevel]])</f>
        <v/>
      </c>
      <c r="C606" t="str">
        <f>IF(ISBLANK([1]!ScoutingData[[#This Row],[matchNumber]]),"",[1]!ScoutingData[[#This Row],[matchNumber]])</f>
        <v/>
      </c>
      <c r="D606" t="str">
        <f>IF(ISBLANK([1]!ScoutingData[[#This Row],[event]]),"",[1]!ScoutingData[[#This Row],[event]])</f>
        <v/>
      </c>
      <c r="E606" t="str">
        <f>IF(ISBLANK([1]!ScoutingData[[#This Row],[position]]),"",[1]!ScoutingData[[#This Row],[position]])</f>
        <v/>
      </c>
      <c r="F606" t="str">
        <f>IF(ISBLANK([1]!ScoutingData[[#This Row],[leaveStartingZone]]),"",[1]!ScoutingData[[#This Row],[leaveStartingZone]])</f>
        <v/>
      </c>
      <c r="G606" t="str">
        <f>IF(ISBLANK([1]!ScoutingData[[#This Row],[autoAmpScore]]),"",[1]!ScoutingData[[#This Row],[autoAmpScore]])</f>
        <v/>
      </c>
      <c r="H606" t="str">
        <f>IF(ISBLANK([1]!ScoutingData[[#This Row],[autoSpeakerScore]]),"",[1]!ScoutingData[[#This Row],[autoSpeakerScore]])</f>
        <v/>
      </c>
    </row>
    <row r="607" spans="1:8" x14ac:dyDescent="0.45">
      <c r="A607" t="str">
        <f>IF(ISBLANK([1]!ScoutingData[[#This Row],[teamNumber]]),"",[1]!ScoutingData[[#This Row],[teamNumber]])</f>
        <v/>
      </c>
      <c r="B607" t="str">
        <f>IF(ISBLANK([1]!ScoutingData[[#This Row],[matchLevel]]),"",[1]!ScoutingData[[#This Row],[matchLevel]])</f>
        <v/>
      </c>
      <c r="C607" t="str">
        <f>IF(ISBLANK([1]!ScoutingData[[#This Row],[matchNumber]]),"",[1]!ScoutingData[[#This Row],[matchNumber]])</f>
        <v/>
      </c>
      <c r="D607" t="str">
        <f>IF(ISBLANK([1]!ScoutingData[[#This Row],[event]]),"",[1]!ScoutingData[[#This Row],[event]])</f>
        <v/>
      </c>
      <c r="E607" t="str">
        <f>IF(ISBLANK([1]!ScoutingData[[#This Row],[position]]),"",[1]!ScoutingData[[#This Row],[position]])</f>
        <v/>
      </c>
      <c r="F607" t="str">
        <f>IF(ISBLANK([1]!ScoutingData[[#This Row],[leaveStartingZone]]),"",[1]!ScoutingData[[#This Row],[leaveStartingZone]])</f>
        <v/>
      </c>
      <c r="G607" t="str">
        <f>IF(ISBLANK([1]!ScoutingData[[#This Row],[autoAmpScore]]),"",[1]!ScoutingData[[#This Row],[autoAmpScore]])</f>
        <v/>
      </c>
      <c r="H607" t="str">
        <f>IF(ISBLANK([1]!ScoutingData[[#This Row],[autoSpeakerScore]]),"",[1]!ScoutingData[[#This Row],[autoSpeakerScore]])</f>
        <v/>
      </c>
    </row>
    <row r="608" spans="1:8" x14ac:dyDescent="0.45">
      <c r="A608" t="str">
        <f>IF(ISBLANK([1]!ScoutingData[[#This Row],[teamNumber]]),"",[1]!ScoutingData[[#This Row],[teamNumber]])</f>
        <v/>
      </c>
      <c r="B608" t="str">
        <f>IF(ISBLANK([1]!ScoutingData[[#This Row],[matchLevel]]),"",[1]!ScoutingData[[#This Row],[matchLevel]])</f>
        <v/>
      </c>
      <c r="C608" t="str">
        <f>IF(ISBLANK([1]!ScoutingData[[#This Row],[matchNumber]]),"",[1]!ScoutingData[[#This Row],[matchNumber]])</f>
        <v/>
      </c>
      <c r="D608" t="str">
        <f>IF(ISBLANK([1]!ScoutingData[[#This Row],[event]]),"",[1]!ScoutingData[[#This Row],[event]])</f>
        <v/>
      </c>
      <c r="E608" t="str">
        <f>IF(ISBLANK([1]!ScoutingData[[#This Row],[position]]),"",[1]!ScoutingData[[#This Row],[position]])</f>
        <v/>
      </c>
      <c r="F608" t="str">
        <f>IF(ISBLANK([1]!ScoutingData[[#This Row],[leaveStartingZone]]),"",[1]!ScoutingData[[#This Row],[leaveStartingZone]])</f>
        <v/>
      </c>
      <c r="G608" t="str">
        <f>IF(ISBLANK([1]!ScoutingData[[#This Row],[autoAmpScore]]),"",[1]!ScoutingData[[#This Row],[autoAmpScore]])</f>
        <v/>
      </c>
      <c r="H608" t="str">
        <f>IF(ISBLANK([1]!ScoutingData[[#This Row],[autoSpeakerScore]]),"",[1]!ScoutingData[[#This Row],[autoSpeakerScore]])</f>
        <v/>
      </c>
    </row>
    <row r="609" spans="1:8" x14ac:dyDescent="0.45">
      <c r="A609" t="str">
        <f>IF(ISBLANK([1]!ScoutingData[[#This Row],[teamNumber]]),"",[1]!ScoutingData[[#This Row],[teamNumber]])</f>
        <v/>
      </c>
      <c r="B609" t="str">
        <f>IF(ISBLANK([1]!ScoutingData[[#This Row],[matchLevel]]),"",[1]!ScoutingData[[#This Row],[matchLevel]])</f>
        <v/>
      </c>
      <c r="C609" t="str">
        <f>IF(ISBLANK([1]!ScoutingData[[#This Row],[matchNumber]]),"",[1]!ScoutingData[[#This Row],[matchNumber]])</f>
        <v/>
      </c>
      <c r="D609" t="str">
        <f>IF(ISBLANK([1]!ScoutingData[[#This Row],[event]]),"",[1]!ScoutingData[[#This Row],[event]])</f>
        <v/>
      </c>
      <c r="E609" t="str">
        <f>IF(ISBLANK([1]!ScoutingData[[#This Row],[position]]),"",[1]!ScoutingData[[#This Row],[position]])</f>
        <v/>
      </c>
      <c r="F609" t="str">
        <f>IF(ISBLANK([1]!ScoutingData[[#This Row],[leaveStartingZone]]),"",[1]!ScoutingData[[#This Row],[leaveStartingZone]])</f>
        <v/>
      </c>
      <c r="G609" t="str">
        <f>IF(ISBLANK([1]!ScoutingData[[#This Row],[autoAmpScore]]),"",[1]!ScoutingData[[#This Row],[autoAmpScore]])</f>
        <v/>
      </c>
      <c r="H609" t="str">
        <f>IF(ISBLANK([1]!ScoutingData[[#This Row],[autoSpeakerScore]]),"",[1]!ScoutingData[[#This Row],[autoSpeakerScore]])</f>
        <v/>
      </c>
    </row>
    <row r="610" spans="1:8" x14ac:dyDescent="0.45">
      <c r="A610" t="str">
        <f>IF(ISBLANK([1]!ScoutingData[[#This Row],[teamNumber]]),"",[1]!ScoutingData[[#This Row],[teamNumber]])</f>
        <v/>
      </c>
      <c r="B610" t="str">
        <f>IF(ISBLANK([1]!ScoutingData[[#This Row],[matchLevel]]),"",[1]!ScoutingData[[#This Row],[matchLevel]])</f>
        <v/>
      </c>
      <c r="C610" t="str">
        <f>IF(ISBLANK([1]!ScoutingData[[#This Row],[matchNumber]]),"",[1]!ScoutingData[[#This Row],[matchNumber]])</f>
        <v/>
      </c>
      <c r="D610" t="str">
        <f>IF(ISBLANK([1]!ScoutingData[[#This Row],[event]]),"",[1]!ScoutingData[[#This Row],[event]])</f>
        <v/>
      </c>
      <c r="E610" t="str">
        <f>IF(ISBLANK([1]!ScoutingData[[#This Row],[position]]),"",[1]!ScoutingData[[#This Row],[position]])</f>
        <v/>
      </c>
      <c r="F610" t="str">
        <f>IF(ISBLANK([1]!ScoutingData[[#This Row],[leaveStartingZone]]),"",[1]!ScoutingData[[#This Row],[leaveStartingZone]])</f>
        <v/>
      </c>
      <c r="G610" t="str">
        <f>IF(ISBLANK([1]!ScoutingData[[#This Row],[autoAmpScore]]),"",[1]!ScoutingData[[#This Row],[autoAmpScore]])</f>
        <v/>
      </c>
      <c r="H610" t="str">
        <f>IF(ISBLANK([1]!ScoutingData[[#This Row],[autoSpeakerScore]]),"",[1]!ScoutingData[[#This Row],[autoSpeakerScore]])</f>
        <v/>
      </c>
    </row>
    <row r="611" spans="1:8" x14ac:dyDescent="0.45">
      <c r="A611" t="str">
        <f>IF(ISBLANK([1]!ScoutingData[[#This Row],[teamNumber]]),"",[1]!ScoutingData[[#This Row],[teamNumber]])</f>
        <v/>
      </c>
      <c r="B611" t="str">
        <f>IF(ISBLANK([1]!ScoutingData[[#This Row],[matchLevel]]),"",[1]!ScoutingData[[#This Row],[matchLevel]])</f>
        <v/>
      </c>
      <c r="C611" t="str">
        <f>IF(ISBLANK([1]!ScoutingData[[#This Row],[matchNumber]]),"",[1]!ScoutingData[[#This Row],[matchNumber]])</f>
        <v/>
      </c>
      <c r="D611" t="str">
        <f>IF(ISBLANK([1]!ScoutingData[[#This Row],[event]]),"",[1]!ScoutingData[[#This Row],[event]])</f>
        <v/>
      </c>
      <c r="E611" t="str">
        <f>IF(ISBLANK([1]!ScoutingData[[#This Row],[position]]),"",[1]!ScoutingData[[#This Row],[position]])</f>
        <v/>
      </c>
      <c r="F611" t="str">
        <f>IF(ISBLANK([1]!ScoutingData[[#This Row],[leaveStartingZone]]),"",[1]!ScoutingData[[#This Row],[leaveStartingZone]])</f>
        <v/>
      </c>
      <c r="G611" t="str">
        <f>IF(ISBLANK([1]!ScoutingData[[#This Row],[autoAmpScore]]),"",[1]!ScoutingData[[#This Row],[autoAmpScore]])</f>
        <v/>
      </c>
      <c r="H611" t="str">
        <f>IF(ISBLANK([1]!ScoutingData[[#This Row],[autoSpeakerScore]]),"",[1]!ScoutingData[[#This Row],[autoSpeakerScore]])</f>
        <v/>
      </c>
    </row>
    <row r="612" spans="1:8" x14ac:dyDescent="0.45">
      <c r="A612" t="str">
        <f>IF(ISBLANK([1]!ScoutingData[[#This Row],[teamNumber]]),"",[1]!ScoutingData[[#This Row],[teamNumber]])</f>
        <v/>
      </c>
      <c r="B612" t="str">
        <f>IF(ISBLANK([1]!ScoutingData[[#This Row],[matchLevel]]),"",[1]!ScoutingData[[#This Row],[matchLevel]])</f>
        <v/>
      </c>
      <c r="C612" t="str">
        <f>IF(ISBLANK([1]!ScoutingData[[#This Row],[matchNumber]]),"",[1]!ScoutingData[[#This Row],[matchNumber]])</f>
        <v/>
      </c>
      <c r="D612" t="str">
        <f>IF(ISBLANK([1]!ScoutingData[[#This Row],[event]]),"",[1]!ScoutingData[[#This Row],[event]])</f>
        <v/>
      </c>
      <c r="E612" t="str">
        <f>IF(ISBLANK([1]!ScoutingData[[#This Row],[position]]),"",[1]!ScoutingData[[#This Row],[position]])</f>
        <v/>
      </c>
      <c r="F612" t="str">
        <f>IF(ISBLANK([1]!ScoutingData[[#This Row],[leaveStartingZone]]),"",[1]!ScoutingData[[#This Row],[leaveStartingZone]])</f>
        <v/>
      </c>
      <c r="G612" t="str">
        <f>IF(ISBLANK([1]!ScoutingData[[#This Row],[autoAmpScore]]),"",[1]!ScoutingData[[#This Row],[autoAmpScore]])</f>
        <v/>
      </c>
      <c r="H612" t="str">
        <f>IF(ISBLANK([1]!ScoutingData[[#This Row],[autoSpeakerScore]]),"",[1]!ScoutingData[[#This Row],[autoSpeakerScore]])</f>
        <v/>
      </c>
    </row>
    <row r="613" spans="1:8" x14ac:dyDescent="0.45">
      <c r="A613" t="str">
        <f>IF(ISBLANK([1]!ScoutingData[[#This Row],[teamNumber]]),"",[1]!ScoutingData[[#This Row],[teamNumber]])</f>
        <v/>
      </c>
      <c r="B613" t="str">
        <f>IF(ISBLANK([1]!ScoutingData[[#This Row],[matchLevel]]),"",[1]!ScoutingData[[#This Row],[matchLevel]])</f>
        <v/>
      </c>
      <c r="C613" t="str">
        <f>IF(ISBLANK([1]!ScoutingData[[#This Row],[matchNumber]]),"",[1]!ScoutingData[[#This Row],[matchNumber]])</f>
        <v/>
      </c>
      <c r="D613" t="str">
        <f>IF(ISBLANK([1]!ScoutingData[[#This Row],[event]]),"",[1]!ScoutingData[[#This Row],[event]])</f>
        <v/>
      </c>
      <c r="E613" t="str">
        <f>IF(ISBLANK([1]!ScoutingData[[#This Row],[position]]),"",[1]!ScoutingData[[#This Row],[position]])</f>
        <v/>
      </c>
      <c r="F613" t="str">
        <f>IF(ISBLANK([1]!ScoutingData[[#This Row],[leaveStartingZone]]),"",[1]!ScoutingData[[#This Row],[leaveStartingZone]])</f>
        <v/>
      </c>
      <c r="G613" t="str">
        <f>IF(ISBLANK([1]!ScoutingData[[#This Row],[autoAmpScore]]),"",[1]!ScoutingData[[#This Row],[autoAmpScore]])</f>
        <v/>
      </c>
      <c r="H613" t="str">
        <f>IF(ISBLANK([1]!ScoutingData[[#This Row],[autoSpeakerScore]]),"",[1]!ScoutingData[[#This Row],[autoSpeakerScore]])</f>
        <v/>
      </c>
    </row>
    <row r="614" spans="1:8" x14ac:dyDescent="0.45">
      <c r="A614" t="str">
        <f>IF(ISBLANK([1]!ScoutingData[[#This Row],[teamNumber]]),"",[1]!ScoutingData[[#This Row],[teamNumber]])</f>
        <v/>
      </c>
      <c r="B614" t="str">
        <f>IF(ISBLANK([1]!ScoutingData[[#This Row],[matchLevel]]),"",[1]!ScoutingData[[#This Row],[matchLevel]])</f>
        <v/>
      </c>
      <c r="C614" t="str">
        <f>IF(ISBLANK([1]!ScoutingData[[#This Row],[matchNumber]]),"",[1]!ScoutingData[[#This Row],[matchNumber]])</f>
        <v/>
      </c>
      <c r="D614" t="str">
        <f>IF(ISBLANK([1]!ScoutingData[[#This Row],[event]]),"",[1]!ScoutingData[[#This Row],[event]])</f>
        <v/>
      </c>
      <c r="E614" t="str">
        <f>IF(ISBLANK([1]!ScoutingData[[#This Row],[position]]),"",[1]!ScoutingData[[#This Row],[position]])</f>
        <v/>
      </c>
      <c r="F614" t="str">
        <f>IF(ISBLANK([1]!ScoutingData[[#This Row],[leaveStartingZone]]),"",[1]!ScoutingData[[#This Row],[leaveStartingZone]])</f>
        <v/>
      </c>
      <c r="G614" t="str">
        <f>IF(ISBLANK([1]!ScoutingData[[#This Row],[autoAmpScore]]),"",[1]!ScoutingData[[#This Row],[autoAmpScore]])</f>
        <v/>
      </c>
      <c r="H614" t="str">
        <f>IF(ISBLANK([1]!ScoutingData[[#This Row],[autoSpeakerScore]]),"",[1]!ScoutingData[[#This Row],[autoSpeakerScore]])</f>
        <v/>
      </c>
    </row>
    <row r="615" spans="1:8" x14ac:dyDescent="0.45">
      <c r="A615" t="str">
        <f>IF(ISBLANK([1]!ScoutingData[[#This Row],[teamNumber]]),"",[1]!ScoutingData[[#This Row],[teamNumber]])</f>
        <v/>
      </c>
      <c r="B615" t="str">
        <f>IF(ISBLANK([1]!ScoutingData[[#This Row],[matchLevel]]),"",[1]!ScoutingData[[#This Row],[matchLevel]])</f>
        <v/>
      </c>
      <c r="C615" t="str">
        <f>IF(ISBLANK([1]!ScoutingData[[#This Row],[matchNumber]]),"",[1]!ScoutingData[[#This Row],[matchNumber]])</f>
        <v/>
      </c>
      <c r="D615" t="str">
        <f>IF(ISBLANK([1]!ScoutingData[[#This Row],[event]]),"",[1]!ScoutingData[[#This Row],[event]])</f>
        <v/>
      </c>
      <c r="E615" t="str">
        <f>IF(ISBLANK([1]!ScoutingData[[#This Row],[position]]),"",[1]!ScoutingData[[#This Row],[position]])</f>
        <v/>
      </c>
      <c r="F615" t="str">
        <f>IF(ISBLANK([1]!ScoutingData[[#This Row],[leaveStartingZone]]),"",[1]!ScoutingData[[#This Row],[leaveStartingZone]])</f>
        <v/>
      </c>
      <c r="G615" t="str">
        <f>IF(ISBLANK([1]!ScoutingData[[#This Row],[autoAmpScore]]),"",[1]!ScoutingData[[#This Row],[autoAmpScore]])</f>
        <v/>
      </c>
      <c r="H615" t="str">
        <f>IF(ISBLANK([1]!ScoutingData[[#This Row],[autoSpeakerScore]]),"",[1]!ScoutingData[[#This Row],[autoSpeakerScore]])</f>
        <v/>
      </c>
    </row>
    <row r="616" spans="1:8" x14ac:dyDescent="0.45">
      <c r="A616" t="str">
        <f>IF(ISBLANK([1]!ScoutingData[[#This Row],[teamNumber]]),"",[1]!ScoutingData[[#This Row],[teamNumber]])</f>
        <v/>
      </c>
      <c r="B616" t="str">
        <f>IF(ISBLANK([1]!ScoutingData[[#This Row],[matchLevel]]),"",[1]!ScoutingData[[#This Row],[matchLevel]])</f>
        <v/>
      </c>
      <c r="C616" t="str">
        <f>IF(ISBLANK([1]!ScoutingData[[#This Row],[matchNumber]]),"",[1]!ScoutingData[[#This Row],[matchNumber]])</f>
        <v/>
      </c>
      <c r="D616" t="str">
        <f>IF(ISBLANK([1]!ScoutingData[[#This Row],[event]]),"",[1]!ScoutingData[[#This Row],[event]])</f>
        <v/>
      </c>
      <c r="E616" t="str">
        <f>IF(ISBLANK([1]!ScoutingData[[#This Row],[position]]),"",[1]!ScoutingData[[#This Row],[position]])</f>
        <v/>
      </c>
      <c r="F616" t="str">
        <f>IF(ISBLANK([1]!ScoutingData[[#This Row],[leaveStartingZone]]),"",[1]!ScoutingData[[#This Row],[leaveStartingZone]])</f>
        <v/>
      </c>
      <c r="G616" t="str">
        <f>IF(ISBLANK([1]!ScoutingData[[#This Row],[autoAmpScore]]),"",[1]!ScoutingData[[#This Row],[autoAmpScore]])</f>
        <v/>
      </c>
      <c r="H616" t="str">
        <f>IF(ISBLANK([1]!ScoutingData[[#This Row],[autoSpeakerScore]]),"",[1]!ScoutingData[[#This Row],[autoSpeakerScore]])</f>
        <v/>
      </c>
    </row>
    <row r="617" spans="1:8" x14ac:dyDescent="0.45">
      <c r="A617" t="str">
        <f>IF(ISBLANK([1]!ScoutingData[[#This Row],[teamNumber]]),"",[1]!ScoutingData[[#This Row],[teamNumber]])</f>
        <v/>
      </c>
      <c r="B617" t="str">
        <f>IF(ISBLANK([1]!ScoutingData[[#This Row],[matchLevel]]),"",[1]!ScoutingData[[#This Row],[matchLevel]])</f>
        <v/>
      </c>
      <c r="C617" t="str">
        <f>IF(ISBLANK([1]!ScoutingData[[#This Row],[matchNumber]]),"",[1]!ScoutingData[[#This Row],[matchNumber]])</f>
        <v/>
      </c>
      <c r="D617" t="str">
        <f>IF(ISBLANK([1]!ScoutingData[[#This Row],[event]]),"",[1]!ScoutingData[[#This Row],[event]])</f>
        <v/>
      </c>
      <c r="E617" t="str">
        <f>IF(ISBLANK([1]!ScoutingData[[#This Row],[position]]),"",[1]!ScoutingData[[#This Row],[position]])</f>
        <v/>
      </c>
      <c r="F617" t="str">
        <f>IF(ISBLANK([1]!ScoutingData[[#This Row],[leaveStartingZone]]),"",[1]!ScoutingData[[#This Row],[leaveStartingZone]])</f>
        <v/>
      </c>
      <c r="G617" t="str">
        <f>IF(ISBLANK([1]!ScoutingData[[#This Row],[autoAmpScore]]),"",[1]!ScoutingData[[#This Row],[autoAmpScore]])</f>
        <v/>
      </c>
      <c r="H617" t="str">
        <f>IF(ISBLANK([1]!ScoutingData[[#This Row],[autoSpeakerScore]]),"",[1]!ScoutingData[[#This Row],[autoSpeakerScore]])</f>
        <v/>
      </c>
    </row>
    <row r="618" spans="1:8" x14ac:dyDescent="0.45">
      <c r="A618" t="str">
        <f>IF(ISBLANK([1]!ScoutingData[[#This Row],[teamNumber]]),"",[1]!ScoutingData[[#This Row],[teamNumber]])</f>
        <v/>
      </c>
      <c r="B618" t="str">
        <f>IF(ISBLANK([1]!ScoutingData[[#This Row],[matchLevel]]),"",[1]!ScoutingData[[#This Row],[matchLevel]])</f>
        <v/>
      </c>
      <c r="C618" t="str">
        <f>IF(ISBLANK([1]!ScoutingData[[#This Row],[matchNumber]]),"",[1]!ScoutingData[[#This Row],[matchNumber]])</f>
        <v/>
      </c>
      <c r="D618" t="str">
        <f>IF(ISBLANK([1]!ScoutingData[[#This Row],[event]]),"",[1]!ScoutingData[[#This Row],[event]])</f>
        <v/>
      </c>
      <c r="E618" t="str">
        <f>IF(ISBLANK([1]!ScoutingData[[#This Row],[position]]),"",[1]!ScoutingData[[#This Row],[position]])</f>
        <v/>
      </c>
      <c r="F618" t="str">
        <f>IF(ISBLANK([1]!ScoutingData[[#This Row],[leaveStartingZone]]),"",[1]!ScoutingData[[#This Row],[leaveStartingZone]])</f>
        <v/>
      </c>
      <c r="G618" t="str">
        <f>IF(ISBLANK([1]!ScoutingData[[#This Row],[autoAmpScore]]),"",[1]!ScoutingData[[#This Row],[autoAmpScore]])</f>
        <v/>
      </c>
      <c r="H618" t="str">
        <f>IF(ISBLANK([1]!ScoutingData[[#This Row],[autoSpeakerScore]]),"",[1]!ScoutingData[[#This Row],[autoSpeakerScore]])</f>
        <v/>
      </c>
    </row>
    <row r="619" spans="1:8" x14ac:dyDescent="0.45">
      <c r="A619" t="str">
        <f>IF(ISBLANK([1]!ScoutingData[[#This Row],[teamNumber]]),"",[1]!ScoutingData[[#This Row],[teamNumber]])</f>
        <v/>
      </c>
      <c r="B619" t="str">
        <f>IF(ISBLANK([1]!ScoutingData[[#This Row],[matchLevel]]),"",[1]!ScoutingData[[#This Row],[matchLevel]])</f>
        <v/>
      </c>
      <c r="C619" t="str">
        <f>IF(ISBLANK([1]!ScoutingData[[#This Row],[matchNumber]]),"",[1]!ScoutingData[[#This Row],[matchNumber]])</f>
        <v/>
      </c>
      <c r="D619" t="str">
        <f>IF(ISBLANK([1]!ScoutingData[[#This Row],[event]]),"",[1]!ScoutingData[[#This Row],[event]])</f>
        <v/>
      </c>
      <c r="E619" t="str">
        <f>IF(ISBLANK([1]!ScoutingData[[#This Row],[position]]),"",[1]!ScoutingData[[#This Row],[position]])</f>
        <v/>
      </c>
      <c r="F619" t="str">
        <f>IF(ISBLANK([1]!ScoutingData[[#This Row],[leaveStartingZone]]),"",[1]!ScoutingData[[#This Row],[leaveStartingZone]])</f>
        <v/>
      </c>
      <c r="G619" t="str">
        <f>IF(ISBLANK([1]!ScoutingData[[#This Row],[autoAmpScore]]),"",[1]!ScoutingData[[#This Row],[autoAmpScore]])</f>
        <v/>
      </c>
      <c r="H619" t="str">
        <f>IF(ISBLANK([1]!ScoutingData[[#This Row],[autoSpeakerScore]]),"",[1]!ScoutingData[[#This Row],[autoSpeakerScore]])</f>
        <v/>
      </c>
    </row>
    <row r="620" spans="1:8" x14ac:dyDescent="0.45">
      <c r="A620" t="str">
        <f>IF(ISBLANK([1]!ScoutingData[[#This Row],[teamNumber]]),"",[1]!ScoutingData[[#This Row],[teamNumber]])</f>
        <v/>
      </c>
      <c r="B620" t="str">
        <f>IF(ISBLANK([1]!ScoutingData[[#This Row],[matchLevel]]),"",[1]!ScoutingData[[#This Row],[matchLevel]])</f>
        <v/>
      </c>
      <c r="C620" t="str">
        <f>IF(ISBLANK([1]!ScoutingData[[#This Row],[matchNumber]]),"",[1]!ScoutingData[[#This Row],[matchNumber]])</f>
        <v/>
      </c>
      <c r="D620" t="str">
        <f>IF(ISBLANK([1]!ScoutingData[[#This Row],[event]]),"",[1]!ScoutingData[[#This Row],[event]])</f>
        <v/>
      </c>
      <c r="E620" t="str">
        <f>IF(ISBLANK([1]!ScoutingData[[#This Row],[position]]),"",[1]!ScoutingData[[#This Row],[position]])</f>
        <v/>
      </c>
      <c r="F620" t="str">
        <f>IF(ISBLANK([1]!ScoutingData[[#This Row],[leaveStartingZone]]),"",[1]!ScoutingData[[#This Row],[leaveStartingZone]])</f>
        <v/>
      </c>
      <c r="G620" t="str">
        <f>IF(ISBLANK([1]!ScoutingData[[#This Row],[autoAmpScore]]),"",[1]!ScoutingData[[#This Row],[autoAmpScore]])</f>
        <v/>
      </c>
      <c r="H620" t="str">
        <f>IF(ISBLANK([1]!ScoutingData[[#This Row],[autoSpeakerScore]]),"",[1]!ScoutingData[[#This Row],[autoSpeakerScore]])</f>
        <v/>
      </c>
    </row>
    <row r="621" spans="1:8" x14ac:dyDescent="0.45">
      <c r="A621" t="str">
        <f>IF(ISBLANK([1]!ScoutingData[[#This Row],[teamNumber]]),"",[1]!ScoutingData[[#This Row],[teamNumber]])</f>
        <v/>
      </c>
      <c r="B621" t="str">
        <f>IF(ISBLANK([1]!ScoutingData[[#This Row],[matchLevel]]),"",[1]!ScoutingData[[#This Row],[matchLevel]])</f>
        <v/>
      </c>
      <c r="C621" t="str">
        <f>IF(ISBLANK([1]!ScoutingData[[#This Row],[matchNumber]]),"",[1]!ScoutingData[[#This Row],[matchNumber]])</f>
        <v/>
      </c>
      <c r="D621" t="str">
        <f>IF(ISBLANK([1]!ScoutingData[[#This Row],[event]]),"",[1]!ScoutingData[[#This Row],[event]])</f>
        <v/>
      </c>
      <c r="E621" t="str">
        <f>IF(ISBLANK([1]!ScoutingData[[#This Row],[position]]),"",[1]!ScoutingData[[#This Row],[position]])</f>
        <v/>
      </c>
      <c r="F621" t="str">
        <f>IF(ISBLANK([1]!ScoutingData[[#This Row],[leaveStartingZone]]),"",[1]!ScoutingData[[#This Row],[leaveStartingZone]])</f>
        <v/>
      </c>
      <c r="G621" t="str">
        <f>IF(ISBLANK([1]!ScoutingData[[#This Row],[autoAmpScore]]),"",[1]!ScoutingData[[#This Row],[autoAmpScore]])</f>
        <v/>
      </c>
      <c r="H621" t="str">
        <f>IF(ISBLANK([1]!ScoutingData[[#This Row],[autoSpeakerScore]]),"",[1]!ScoutingData[[#This Row],[autoSpeakerScore]])</f>
        <v/>
      </c>
    </row>
    <row r="622" spans="1:8" x14ac:dyDescent="0.45">
      <c r="A622" t="str">
        <f>IF(ISBLANK([1]!ScoutingData[[#This Row],[teamNumber]]),"",[1]!ScoutingData[[#This Row],[teamNumber]])</f>
        <v/>
      </c>
      <c r="B622" t="str">
        <f>IF(ISBLANK([1]!ScoutingData[[#This Row],[matchLevel]]),"",[1]!ScoutingData[[#This Row],[matchLevel]])</f>
        <v/>
      </c>
      <c r="C622" t="str">
        <f>IF(ISBLANK([1]!ScoutingData[[#This Row],[matchNumber]]),"",[1]!ScoutingData[[#This Row],[matchNumber]])</f>
        <v/>
      </c>
      <c r="D622" t="str">
        <f>IF(ISBLANK([1]!ScoutingData[[#This Row],[event]]),"",[1]!ScoutingData[[#This Row],[event]])</f>
        <v/>
      </c>
      <c r="E622" t="str">
        <f>IF(ISBLANK([1]!ScoutingData[[#This Row],[position]]),"",[1]!ScoutingData[[#This Row],[position]])</f>
        <v/>
      </c>
      <c r="F622" t="str">
        <f>IF(ISBLANK([1]!ScoutingData[[#This Row],[leaveStartingZone]]),"",[1]!ScoutingData[[#This Row],[leaveStartingZone]])</f>
        <v/>
      </c>
      <c r="G622" t="str">
        <f>IF(ISBLANK([1]!ScoutingData[[#This Row],[autoAmpScore]]),"",[1]!ScoutingData[[#This Row],[autoAmpScore]])</f>
        <v/>
      </c>
      <c r="H622" t="str">
        <f>IF(ISBLANK([1]!ScoutingData[[#This Row],[autoSpeakerScore]]),"",[1]!ScoutingData[[#This Row],[autoSpeakerScore]])</f>
        <v/>
      </c>
    </row>
    <row r="623" spans="1:8" x14ac:dyDescent="0.45">
      <c r="A623" t="str">
        <f>IF(ISBLANK([1]!ScoutingData[[#This Row],[teamNumber]]),"",[1]!ScoutingData[[#This Row],[teamNumber]])</f>
        <v/>
      </c>
      <c r="B623" t="str">
        <f>IF(ISBLANK([1]!ScoutingData[[#This Row],[matchLevel]]),"",[1]!ScoutingData[[#This Row],[matchLevel]])</f>
        <v/>
      </c>
      <c r="C623" t="str">
        <f>IF(ISBLANK([1]!ScoutingData[[#This Row],[matchNumber]]),"",[1]!ScoutingData[[#This Row],[matchNumber]])</f>
        <v/>
      </c>
      <c r="D623" t="str">
        <f>IF(ISBLANK([1]!ScoutingData[[#This Row],[event]]),"",[1]!ScoutingData[[#This Row],[event]])</f>
        <v/>
      </c>
      <c r="E623" t="str">
        <f>IF(ISBLANK([1]!ScoutingData[[#This Row],[position]]),"",[1]!ScoutingData[[#This Row],[position]])</f>
        <v/>
      </c>
      <c r="F623" t="str">
        <f>IF(ISBLANK([1]!ScoutingData[[#This Row],[leaveStartingZone]]),"",[1]!ScoutingData[[#This Row],[leaveStartingZone]])</f>
        <v/>
      </c>
      <c r="G623" t="str">
        <f>IF(ISBLANK([1]!ScoutingData[[#This Row],[autoAmpScore]]),"",[1]!ScoutingData[[#This Row],[autoAmpScore]])</f>
        <v/>
      </c>
      <c r="H623" t="str">
        <f>IF(ISBLANK([1]!ScoutingData[[#This Row],[autoSpeakerScore]]),"",[1]!ScoutingData[[#This Row],[autoSpeakerScore]])</f>
        <v/>
      </c>
    </row>
    <row r="624" spans="1:8" x14ac:dyDescent="0.45">
      <c r="A624" t="str">
        <f>IF(ISBLANK([1]!ScoutingData[[#This Row],[teamNumber]]),"",[1]!ScoutingData[[#This Row],[teamNumber]])</f>
        <v/>
      </c>
      <c r="B624" t="str">
        <f>IF(ISBLANK([1]!ScoutingData[[#This Row],[matchLevel]]),"",[1]!ScoutingData[[#This Row],[matchLevel]])</f>
        <v/>
      </c>
      <c r="C624" t="str">
        <f>IF(ISBLANK([1]!ScoutingData[[#This Row],[matchNumber]]),"",[1]!ScoutingData[[#This Row],[matchNumber]])</f>
        <v/>
      </c>
      <c r="D624" t="str">
        <f>IF(ISBLANK([1]!ScoutingData[[#This Row],[event]]),"",[1]!ScoutingData[[#This Row],[event]])</f>
        <v/>
      </c>
      <c r="E624" t="str">
        <f>IF(ISBLANK([1]!ScoutingData[[#This Row],[position]]),"",[1]!ScoutingData[[#This Row],[position]])</f>
        <v/>
      </c>
      <c r="F624" t="str">
        <f>IF(ISBLANK([1]!ScoutingData[[#This Row],[leaveStartingZone]]),"",[1]!ScoutingData[[#This Row],[leaveStartingZone]])</f>
        <v/>
      </c>
      <c r="G624" t="str">
        <f>IF(ISBLANK([1]!ScoutingData[[#This Row],[autoAmpScore]]),"",[1]!ScoutingData[[#This Row],[autoAmpScore]])</f>
        <v/>
      </c>
      <c r="H624" t="str">
        <f>IF(ISBLANK([1]!ScoutingData[[#This Row],[autoSpeakerScore]]),"",[1]!ScoutingData[[#This Row],[autoSpeakerScore]])</f>
        <v/>
      </c>
    </row>
    <row r="625" spans="1:8" x14ac:dyDescent="0.45">
      <c r="A625" t="str">
        <f>IF(ISBLANK([1]!ScoutingData[[#This Row],[teamNumber]]),"",[1]!ScoutingData[[#This Row],[teamNumber]])</f>
        <v/>
      </c>
      <c r="B625" t="str">
        <f>IF(ISBLANK([1]!ScoutingData[[#This Row],[matchLevel]]),"",[1]!ScoutingData[[#This Row],[matchLevel]])</f>
        <v/>
      </c>
      <c r="C625" t="str">
        <f>IF(ISBLANK([1]!ScoutingData[[#This Row],[matchNumber]]),"",[1]!ScoutingData[[#This Row],[matchNumber]])</f>
        <v/>
      </c>
      <c r="D625" t="str">
        <f>IF(ISBLANK([1]!ScoutingData[[#This Row],[event]]),"",[1]!ScoutingData[[#This Row],[event]])</f>
        <v/>
      </c>
      <c r="E625" t="str">
        <f>IF(ISBLANK([1]!ScoutingData[[#This Row],[position]]),"",[1]!ScoutingData[[#This Row],[position]])</f>
        <v/>
      </c>
      <c r="F625" t="str">
        <f>IF(ISBLANK([1]!ScoutingData[[#This Row],[leaveStartingZone]]),"",[1]!ScoutingData[[#This Row],[leaveStartingZone]])</f>
        <v/>
      </c>
      <c r="G625" t="str">
        <f>IF(ISBLANK([1]!ScoutingData[[#This Row],[autoAmpScore]]),"",[1]!ScoutingData[[#This Row],[autoAmpScore]])</f>
        <v/>
      </c>
      <c r="H625" t="str">
        <f>IF(ISBLANK([1]!ScoutingData[[#This Row],[autoSpeakerScore]]),"",[1]!ScoutingData[[#This Row],[autoSpeakerScore]])</f>
        <v/>
      </c>
    </row>
    <row r="626" spans="1:8" x14ac:dyDescent="0.45">
      <c r="A626" t="str">
        <f>IF(ISBLANK([1]!ScoutingData[[#This Row],[teamNumber]]),"",[1]!ScoutingData[[#This Row],[teamNumber]])</f>
        <v/>
      </c>
      <c r="B626" t="str">
        <f>IF(ISBLANK([1]!ScoutingData[[#This Row],[matchLevel]]),"",[1]!ScoutingData[[#This Row],[matchLevel]])</f>
        <v/>
      </c>
      <c r="C626" t="str">
        <f>IF(ISBLANK([1]!ScoutingData[[#This Row],[matchNumber]]),"",[1]!ScoutingData[[#This Row],[matchNumber]])</f>
        <v/>
      </c>
      <c r="D626" t="str">
        <f>IF(ISBLANK([1]!ScoutingData[[#This Row],[event]]),"",[1]!ScoutingData[[#This Row],[event]])</f>
        <v/>
      </c>
      <c r="E626" t="str">
        <f>IF(ISBLANK([1]!ScoutingData[[#This Row],[position]]),"",[1]!ScoutingData[[#This Row],[position]])</f>
        <v/>
      </c>
      <c r="F626" t="str">
        <f>IF(ISBLANK([1]!ScoutingData[[#This Row],[leaveStartingZone]]),"",[1]!ScoutingData[[#This Row],[leaveStartingZone]])</f>
        <v/>
      </c>
      <c r="G626" t="str">
        <f>IF(ISBLANK([1]!ScoutingData[[#This Row],[autoAmpScore]]),"",[1]!ScoutingData[[#This Row],[autoAmpScore]])</f>
        <v/>
      </c>
      <c r="H626" t="str">
        <f>IF(ISBLANK([1]!ScoutingData[[#This Row],[autoSpeakerScore]]),"",[1]!ScoutingData[[#This Row],[autoSpeakerScore]])</f>
        <v/>
      </c>
    </row>
    <row r="627" spans="1:8" x14ac:dyDescent="0.45">
      <c r="A627" t="str">
        <f>IF(ISBLANK([1]!ScoutingData[[#This Row],[teamNumber]]),"",[1]!ScoutingData[[#This Row],[teamNumber]])</f>
        <v/>
      </c>
      <c r="B627" t="str">
        <f>IF(ISBLANK([1]!ScoutingData[[#This Row],[matchLevel]]),"",[1]!ScoutingData[[#This Row],[matchLevel]])</f>
        <v/>
      </c>
      <c r="C627" t="str">
        <f>IF(ISBLANK([1]!ScoutingData[[#This Row],[matchNumber]]),"",[1]!ScoutingData[[#This Row],[matchNumber]])</f>
        <v/>
      </c>
      <c r="D627" t="str">
        <f>IF(ISBLANK([1]!ScoutingData[[#This Row],[event]]),"",[1]!ScoutingData[[#This Row],[event]])</f>
        <v/>
      </c>
      <c r="E627" t="str">
        <f>IF(ISBLANK([1]!ScoutingData[[#This Row],[position]]),"",[1]!ScoutingData[[#This Row],[position]])</f>
        <v/>
      </c>
      <c r="F627" t="str">
        <f>IF(ISBLANK([1]!ScoutingData[[#This Row],[leaveStartingZone]]),"",[1]!ScoutingData[[#This Row],[leaveStartingZone]])</f>
        <v/>
      </c>
      <c r="G627" t="str">
        <f>IF(ISBLANK([1]!ScoutingData[[#This Row],[autoAmpScore]]),"",[1]!ScoutingData[[#This Row],[autoAmpScore]])</f>
        <v/>
      </c>
      <c r="H627" t="str">
        <f>IF(ISBLANK([1]!ScoutingData[[#This Row],[autoSpeakerScore]]),"",[1]!ScoutingData[[#This Row],[autoSpeakerScore]])</f>
        <v/>
      </c>
    </row>
    <row r="628" spans="1:8" x14ac:dyDescent="0.45">
      <c r="A628" t="str">
        <f>IF(ISBLANK([1]!ScoutingData[[#This Row],[teamNumber]]),"",[1]!ScoutingData[[#This Row],[teamNumber]])</f>
        <v/>
      </c>
      <c r="B628" t="str">
        <f>IF(ISBLANK([1]!ScoutingData[[#This Row],[matchLevel]]),"",[1]!ScoutingData[[#This Row],[matchLevel]])</f>
        <v/>
      </c>
      <c r="C628" t="str">
        <f>IF(ISBLANK([1]!ScoutingData[[#This Row],[matchNumber]]),"",[1]!ScoutingData[[#This Row],[matchNumber]])</f>
        <v/>
      </c>
      <c r="D628" t="str">
        <f>IF(ISBLANK([1]!ScoutingData[[#This Row],[event]]),"",[1]!ScoutingData[[#This Row],[event]])</f>
        <v/>
      </c>
      <c r="E628" t="str">
        <f>IF(ISBLANK([1]!ScoutingData[[#This Row],[position]]),"",[1]!ScoutingData[[#This Row],[position]])</f>
        <v/>
      </c>
      <c r="F628" t="str">
        <f>IF(ISBLANK([1]!ScoutingData[[#This Row],[leaveStartingZone]]),"",[1]!ScoutingData[[#This Row],[leaveStartingZone]])</f>
        <v/>
      </c>
      <c r="G628" t="str">
        <f>IF(ISBLANK([1]!ScoutingData[[#This Row],[autoAmpScore]]),"",[1]!ScoutingData[[#This Row],[autoAmpScore]])</f>
        <v/>
      </c>
      <c r="H628" t="str">
        <f>IF(ISBLANK([1]!ScoutingData[[#This Row],[autoSpeakerScore]]),"",[1]!ScoutingData[[#This Row],[autoSpeakerScore]])</f>
        <v/>
      </c>
    </row>
    <row r="629" spans="1:8" x14ac:dyDescent="0.45">
      <c r="A629" t="str">
        <f>IF(ISBLANK([1]!ScoutingData[[#This Row],[teamNumber]]),"",[1]!ScoutingData[[#This Row],[teamNumber]])</f>
        <v/>
      </c>
      <c r="B629" t="str">
        <f>IF(ISBLANK([1]!ScoutingData[[#This Row],[matchLevel]]),"",[1]!ScoutingData[[#This Row],[matchLevel]])</f>
        <v/>
      </c>
      <c r="C629" t="str">
        <f>IF(ISBLANK([1]!ScoutingData[[#This Row],[matchNumber]]),"",[1]!ScoutingData[[#This Row],[matchNumber]])</f>
        <v/>
      </c>
      <c r="D629" t="str">
        <f>IF(ISBLANK([1]!ScoutingData[[#This Row],[event]]),"",[1]!ScoutingData[[#This Row],[event]])</f>
        <v/>
      </c>
      <c r="E629" t="str">
        <f>IF(ISBLANK([1]!ScoutingData[[#This Row],[position]]),"",[1]!ScoutingData[[#This Row],[position]])</f>
        <v/>
      </c>
      <c r="F629" t="str">
        <f>IF(ISBLANK([1]!ScoutingData[[#This Row],[leaveStartingZone]]),"",[1]!ScoutingData[[#This Row],[leaveStartingZone]])</f>
        <v/>
      </c>
      <c r="G629" t="str">
        <f>IF(ISBLANK([1]!ScoutingData[[#This Row],[autoAmpScore]]),"",[1]!ScoutingData[[#This Row],[autoAmpScore]])</f>
        <v/>
      </c>
      <c r="H629" t="str">
        <f>IF(ISBLANK([1]!ScoutingData[[#This Row],[autoSpeakerScore]]),"",[1]!ScoutingData[[#This Row],[autoSpeakerScore]])</f>
        <v/>
      </c>
    </row>
    <row r="630" spans="1:8" x14ac:dyDescent="0.45">
      <c r="A630" t="str">
        <f>IF(ISBLANK([1]!ScoutingData[[#This Row],[teamNumber]]),"",[1]!ScoutingData[[#This Row],[teamNumber]])</f>
        <v/>
      </c>
      <c r="B630" t="str">
        <f>IF(ISBLANK([1]!ScoutingData[[#This Row],[matchLevel]]),"",[1]!ScoutingData[[#This Row],[matchLevel]])</f>
        <v/>
      </c>
      <c r="C630" t="str">
        <f>IF(ISBLANK([1]!ScoutingData[[#This Row],[matchNumber]]),"",[1]!ScoutingData[[#This Row],[matchNumber]])</f>
        <v/>
      </c>
      <c r="D630" t="str">
        <f>IF(ISBLANK([1]!ScoutingData[[#This Row],[event]]),"",[1]!ScoutingData[[#This Row],[event]])</f>
        <v/>
      </c>
      <c r="E630" t="str">
        <f>IF(ISBLANK([1]!ScoutingData[[#This Row],[position]]),"",[1]!ScoutingData[[#This Row],[position]])</f>
        <v/>
      </c>
      <c r="F630" t="str">
        <f>IF(ISBLANK([1]!ScoutingData[[#This Row],[leaveStartingZone]]),"",[1]!ScoutingData[[#This Row],[leaveStartingZone]])</f>
        <v/>
      </c>
      <c r="G630" t="str">
        <f>IF(ISBLANK([1]!ScoutingData[[#This Row],[autoAmpScore]]),"",[1]!ScoutingData[[#This Row],[autoAmpScore]])</f>
        <v/>
      </c>
      <c r="H630" t="str">
        <f>IF(ISBLANK([1]!ScoutingData[[#This Row],[autoSpeakerScore]]),"",[1]!ScoutingData[[#This Row],[autoSpeakerScore]])</f>
        <v/>
      </c>
    </row>
    <row r="631" spans="1:8" x14ac:dyDescent="0.45">
      <c r="A631" t="str">
        <f>IF(ISBLANK([1]!ScoutingData[[#This Row],[teamNumber]]),"",[1]!ScoutingData[[#This Row],[teamNumber]])</f>
        <v/>
      </c>
      <c r="B631" t="str">
        <f>IF(ISBLANK([1]!ScoutingData[[#This Row],[matchLevel]]),"",[1]!ScoutingData[[#This Row],[matchLevel]])</f>
        <v/>
      </c>
      <c r="C631" t="str">
        <f>IF(ISBLANK([1]!ScoutingData[[#This Row],[matchNumber]]),"",[1]!ScoutingData[[#This Row],[matchNumber]])</f>
        <v/>
      </c>
      <c r="D631" t="str">
        <f>IF(ISBLANK([1]!ScoutingData[[#This Row],[event]]),"",[1]!ScoutingData[[#This Row],[event]])</f>
        <v/>
      </c>
      <c r="E631" t="str">
        <f>IF(ISBLANK([1]!ScoutingData[[#This Row],[position]]),"",[1]!ScoutingData[[#This Row],[position]])</f>
        <v/>
      </c>
      <c r="F631" t="str">
        <f>IF(ISBLANK([1]!ScoutingData[[#This Row],[leaveStartingZone]]),"",[1]!ScoutingData[[#This Row],[leaveStartingZone]])</f>
        <v/>
      </c>
      <c r="G631" t="str">
        <f>IF(ISBLANK([1]!ScoutingData[[#This Row],[autoAmpScore]]),"",[1]!ScoutingData[[#This Row],[autoAmpScore]])</f>
        <v/>
      </c>
      <c r="H631" t="str">
        <f>IF(ISBLANK([1]!ScoutingData[[#This Row],[autoSpeakerScore]]),"",[1]!ScoutingData[[#This Row],[autoSpeakerScore]])</f>
        <v/>
      </c>
    </row>
    <row r="632" spans="1:8" x14ac:dyDescent="0.45">
      <c r="A632" t="str">
        <f>IF(ISBLANK([1]!ScoutingData[[#This Row],[teamNumber]]),"",[1]!ScoutingData[[#This Row],[teamNumber]])</f>
        <v/>
      </c>
      <c r="B632" t="str">
        <f>IF(ISBLANK([1]!ScoutingData[[#This Row],[matchLevel]]),"",[1]!ScoutingData[[#This Row],[matchLevel]])</f>
        <v/>
      </c>
      <c r="C632" t="str">
        <f>IF(ISBLANK([1]!ScoutingData[[#This Row],[matchNumber]]),"",[1]!ScoutingData[[#This Row],[matchNumber]])</f>
        <v/>
      </c>
      <c r="D632" t="str">
        <f>IF(ISBLANK([1]!ScoutingData[[#This Row],[event]]),"",[1]!ScoutingData[[#This Row],[event]])</f>
        <v/>
      </c>
      <c r="E632" t="str">
        <f>IF(ISBLANK([1]!ScoutingData[[#This Row],[position]]),"",[1]!ScoutingData[[#This Row],[position]])</f>
        <v/>
      </c>
      <c r="F632" t="str">
        <f>IF(ISBLANK([1]!ScoutingData[[#This Row],[leaveStartingZone]]),"",[1]!ScoutingData[[#This Row],[leaveStartingZone]])</f>
        <v/>
      </c>
      <c r="G632" t="str">
        <f>IF(ISBLANK([1]!ScoutingData[[#This Row],[autoAmpScore]]),"",[1]!ScoutingData[[#This Row],[autoAmpScore]])</f>
        <v/>
      </c>
      <c r="H632" t="str">
        <f>IF(ISBLANK([1]!ScoutingData[[#This Row],[autoSpeakerScore]]),"",[1]!ScoutingData[[#This Row],[autoSpeakerScore]])</f>
        <v/>
      </c>
    </row>
    <row r="633" spans="1:8" x14ac:dyDescent="0.45">
      <c r="A633" t="str">
        <f>IF(ISBLANK([1]!ScoutingData[[#This Row],[teamNumber]]),"",[1]!ScoutingData[[#This Row],[teamNumber]])</f>
        <v/>
      </c>
      <c r="B633" t="str">
        <f>IF(ISBLANK([1]!ScoutingData[[#This Row],[matchLevel]]),"",[1]!ScoutingData[[#This Row],[matchLevel]])</f>
        <v/>
      </c>
      <c r="C633" t="str">
        <f>IF(ISBLANK([1]!ScoutingData[[#This Row],[matchNumber]]),"",[1]!ScoutingData[[#This Row],[matchNumber]])</f>
        <v/>
      </c>
      <c r="D633" t="str">
        <f>IF(ISBLANK([1]!ScoutingData[[#This Row],[event]]),"",[1]!ScoutingData[[#This Row],[event]])</f>
        <v/>
      </c>
      <c r="E633" t="str">
        <f>IF(ISBLANK([1]!ScoutingData[[#This Row],[position]]),"",[1]!ScoutingData[[#This Row],[position]])</f>
        <v/>
      </c>
      <c r="F633" t="str">
        <f>IF(ISBLANK([1]!ScoutingData[[#This Row],[leaveStartingZone]]),"",[1]!ScoutingData[[#This Row],[leaveStartingZone]])</f>
        <v/>
      </c>
      <c r="G633" t="str">
        <f>IF(ISBLANK([1]!ScoutingData[[#This Row],[autoAmpScore]]),"",[1]!ScoutingData[[#This Row],[autoAmpScore]])</f>
        <v/>
      </c>
      <c r="H633" t="str">
        <f>IF(ISBLANK([1]!ScoutingData[[#This Row],[autoSpeakerScore]]),"",[1]!ScoutingData[[#This Row],[autoSpeakerScore]])</f>
        <v/>
      </c>
    </row>
    <row r="634" spans="1:8" x14ac:dyDescent="0.45">
      <c r="A634" t="str">
        <f>IF(ISBLANK([1]!ScoutingData[[#This Row],[teamNumber]]),"",[1]!ScoutingData[[#This Row],[teamNumber]])</f>
        <v/>
      </c>
      <c r="B634" t="str">
        <f>IF(ISBLANK([1]!ScoutingData[[#This Row],[matchLevel]]),"",[1]!ScoutingData[[#This Row],[matchLevel]])</f>
        <v/>
      </c>
      <c r="C634" t="str">
        <f>IF(ISBLANK([1]!ScoutingData[[#This Row],[matchNumber]]),"",[1]!ScoutingData[[#This Row],[matchNumber]])</f>
        <v/>
      </c>
      <c r="D634" t="str">
        <f>IF(ISBLANK([1]!ScoutingData[[#This Row],[event]]),"",[1]!ScoutingData[[#This Row],[event]])</f>
        <v/>
      </c>
      <c r="E634" t="str">
        <f>IF(ISBLANK([1]!ScoutingData[[#This Row],[position]]),"",[1]!ScoutingData[[#This Row],[position]])</f>
        <v/>
      </c>
      <c r="F634" t="str">
        <f>IF(ISBLANK([1]!ScoutingData[[#This Row],[leaveStartingZone]]),"",[1]!ScoutingData[[#This Row],[leaveStartingZone]])</f>
        <v/>
      </c>
      <c r="G634" t="str">
        <f>IF(ISBLANK([1]!ScoutingData[[#This Row],[autoAmpScore]]),"",[1]!ScoutingData[[#This Row],[autoAmpScore]])</f>
        <v/>
      </c>
      <c r="H634" t="str">
        <f>IF(ISBLANK([1]!ScoutingData[[#This Row],[autoSpeakerScore]]),"",[1]!ScoutingData[[#This Row],[autoSpeakerScore]])</f>
        <v/>
      </c>
    </row>
    <row r="635" spans="1:8" x14ac:dyDescent="0.45">
      <c r="A635" t="str">
        <f>IF(ISBLANK([1]!ScoutingData[[#This Row],[teamNumber]]),"",[1]!ScoutingData[[#This Row],[teamNumber]])</f>
        <v/>
      </c>
      <c r="B635" t="str">
        <f>IF(ISBLANK([1]!ScoutingData[[#This Row],[matchLevel]]),"",[1]!ScoutingData[[#This Row],[matchLevel]])</f>
        <v/>
      </c>
      <c r="C635" t="str">
        <f>IF(ISBLANK([1]!ScoutingData[[#This Row],[matchNumber]]),"",[1]!ScoutingData[[#This Row],[matchNumber]])</f>
        <v/>
      </c>
      <c r="D635" t="str">
        <f>IF(ISBLANK([1]!ScoutingData[[#This Row],[event]]),"",[1]!ScoutingData[[#This Row],[event]])</f>
        <v/>
      </c>
      <c r="E635" t="str">
        <f>IF(ISBLANK([1]!ScoutingData[[#This Row],[position]]),"",[1]!ScoutingData[[#This Row],[position]])</f>
        <v/>
      </c>
      <c r="F635" t="str">
        <f>IF(ISBLANK([1]!ScoutingData[[#This Row],[leaveStartingZone]]),"",[1]!ScoutingData[[#This Row],[leaveStartingZone]])</f>
        <v/>
      </c>
      <c r="G635" t="str">
        <f>IF(ISBLANK([1]!ScoutingData[[#This Row],[autoAmpScore]]),"",[1]!ScoutingData[[#This Row],[autoAmpScore]])</f>
        <v/>
      </c>
      <c r="H635" t="str">
        <f>IF(ISBLANK([1]!ScoutingData[[#This Row],[autoSpeakerScore]]),"",[1]!ScoutingData[[#This Row],[autoSpeakerScore]])</f>
        <v/>
      </c>
    </row>
    <row r="636" spans="1:8" x14ac:dyDescent="0.45">
      <c r="A636" t="str">
        <f>IF(ISBLANK([1]!ScoutingData[[#This Row],[teamNumber]]),"",[1]!ScoutingData[[#This Row],[teamNumber]])</f>
        <v/>
      </c>
      <c r="B636" t="str">
        <f>IF(ISBLANK([1]!ScoutingData[[#This Row],[matchLevel]]),"",[1]!ScoutingData[[#This Row],[matchLevel]])</f>
        <v/>
      </c>
      <c r="C636" t="str">
        <f>IF(ISBLANK([1]!ScoutingData[[#This Row],[matchNumber]]),"",[1]!ScoutingData[[#This Row],[matchNumber]])</f>
        <v/>
      </c>
      <c r="D636" t="str">
        <f>IF(ISBLANK([1]!ScoutingData[[#This Row],[event]]),"",[1]!ScoutingData[[#This Row],[event]])</f>
        <v/>
      </c>
      <c r="E636" t="str">
        <f>IF(ISBLANK([1]!ScoutingData[[#This Row],[position]]),"",[1]!ScoutingData[[#This Row],[position]])</f>
        <v/>
      </c>
      <c r="F636" t="str">
        <f>IF(ISBLANK([1]!ScoutingData[[#This Row],[leaveStartingZone]]),"",[1]!ScoutingData[[#This Row],[leaveStartingZone]])</f>
        <v/>
      </c>
      <c r="G636" t="str">
        <f>IF(ISBLANK([1]!ScoutingData[[#This Row],[autoAmpScore]]),"",[1]!ScoutingData[[#This Row],[autoAmpScore]])</f>
        <v/>
      </c>
      <c r="H636" t="str">
        <f>IF(ISBLANK([1]!ScoutingData[[#This Row],[autoSpeakerScore]]),"",[1]!ScoutingData[[#This Row],[autoSpeakerScore]])</f>
        <v/>
      </c>
    </row>
    <row r="637" spans="1:8" x14ac:dyDescent="0.45">
      <c r="A637" t="str">
        <f>IF(ISBLANK([1]!ScoutingData[[#This Row],[teamNumber]]),"",[1]!ScoutingData[[#This Row],[teamNumber]])</f>
        <v/>
      </c>
      <c r="B637" t="str">
        <f>IF(ISBLANK([1]!ScoutingData[[#This Row],[matchLevel]]),"",[1]!ScoutingData[[#This Row],[matchLevel]])</f>
        <v/>
      </c>
      <c r="C637" t="str">
        <f>IF(ISBLANK([1]!ScoutingData[[#This Row],[matchNumber]]),"",[1]!ScoutingData[[#This Row],[matchNumber]])</f>
        <v/>
      </c>
      <c r="D637" t="str">
        <f>IF(ISBLANK([1]!ScoutingData[[#This Row],[event]]),"",[1]!ScoutingData[[#This Row],[event]])</f>
        <v/>
      </c>
      <c r="E637" t="str">
        <f>IF(ISBLANK([1]!ScoutingData[[#This Row],[position]]),"",[1]!ScoutingData[[#This Row],[position]])</f>
        <v/>
      </c>
      <c r="F637" t="str">
        <f>IF(ISBLANK([1]!ScoutingData[[#This Row],[leaveStartingZone]]),"",[1]!ScoutingData[[#This Row],[leaveStartingZone]])</f>
        <v/>
      </c>
      <c r="G637" t="str">
        <f>IF(ISBLANK([1]!ScoutingData[[#This Row],[autoAmpScore]]),"",[1]!ScoutingData[[#This Row],[autoAmpScore]])</f>
        <v/>
      </c>
      <c r="H637" t="str">
        <f>IF(ISBLANK([1]!ScoutingData[[#This Row],[autoSpeakerScore]]),"",[1]!ScoutingData[[#This Row],[autoSpeakerScore]])</f>
        <v/>
      </c>
    </row>
    <row r="638" spans="1:8" x14ac:dyDescent="0.45">
      <c r="A638" t="str">
        <f>IF(ISBLANK([1]!ScoutingData[[#This Row],[teamNumber]]),"",[1]!ScoutingData[[#This Row],[teamNumber]])</f>
        <v/>
      </c>
      <c r="B638" t="str">
        <f>IF(ISBLANK([1]!ScoutingData[[#This Row],[matchLevel]]),"",[1]!ScoutingData[[#This Row],[matchLevel]])</f>
        <v/>
      </c>
      <c r="C638" t="str">
        <f>IF(ISBLANK([1]!ScoutingData[[#This Row],[matchNumber]]),"",[1]!ScoutingData[[#This Row],[matchNumber]])</f>
        <v/>
      </c>
      <c r="D638" t="str">
        <f>IF(ISBLANK([1]!ScoutingData[[#This Row],[event]]),"",[1]!ScoutingData[[#This Row],[event]])</f>
        <v/>
      </c>
      <c r="E638" t="str">
        <f>IF(ISBLANK([1]!ScoutingData[[#This Row],[position]]),"",[1]!ScoutingData[[#This Row],[position]])</f>
        <v/>
      </c>
      <c r="F638" t="str">
        <f>IF(ISBLANK([1]!ScoutingData[[#This Row],[leaveStartingZone]]),"",[1]!ScoutingData[[#This Row],[leaveStartingZone]])</f>
        <v/>
      </c>
      <c r="G638" t="str">
        <f>IF(ISBLANK([1]!ScoutingData[[#This Row],[autoAmpScore]]),"",[1]!ScoutingData[[#This Row],[autoAmpScore]])</f>
        <v/>
      </c>
      <c r="H638" t="str">
        <f>IF(ISBLANK([1]!ScoutingData[[#This Row],[autoSpeakerScore]]),"",[1]!ScoutingData[[#This Row],[autoSpeakerScore]])</f>
        <v/>
      </c>
    </row>
    <row r="639" spans="1:8" x14ac:dyDescent="0.45">
      <c r="A639" t="str">
        <f>IF(ISBLANK([1]!ScoutingData[[#This Row],[teamNumber]]),"",[1]!ScoutingData[[#This Row],[teamNumber]])</f>
        <v/>
      </c>
      <c r="B639" t="str">
        <f>IF(ISBLANK([1]!ScoutingData[[#This Row],[matchLevel]]),"",[1]!ScoutingData[[#This Row],[matchLevel]])</f>
        <v/>
      </c>
      <c r="C639" t="str">
        <f>IF(ISBLANK([1]!ScoutingData[[#This Row],[matchNumber]]),"",[1]!ScoutingData[[#This Row],[matchNumber]])</f>
        <v/>
      </c>
      <c r="D639" t="str">
        <f>IF(ISBLANK([1]!ScoutingData[[#This Row],[event]]),"",[1]!ScoutingData[[#This Row],[event]])</f>
        <v/>
      </c>
      <c r="E639" t="str">
        <f>IF(ISBLANK([1]!ScoutingData[[#This Row],[position]]),"",[1]!ScoutingData[[#This Row],[position]])</f>
        <v/>
      </c>
      <c r="F639" t="str">
        <f>IF(ISBLANK([1]!ScoutingData[[#This Row],[leaveStartingZone]]),"",[1]!ScoutingData[[#This Row],[leaveStartingZone]])</f>
        <v/>
      </c>
      <c r="G639" t="str">
        <f>IF(ISBLANK([1]!ScoutingData[[#This Row],[autoAmpScore]]),"",[1]!ScoutingData[[#This Row],[autoAmpScore]])</f>
        <v/>
      </c>
      <c r="H639" t="str">
        <f>IF(ISBLANK([1]!ScoutingData[[#This Row],[autoSpeakerScore]]),"",[1]!ScoutingData[[#This Row],[autoSpeakerScore]])</f>
        <v/>
      </c>
    </row>
    <row r="640" spans="1:8" x14ac:dyDescent="0.45">
      <c r="A640" t="str">
        <f>IF(ISBLANK([1]!ScoutingData[[#This Row],[teamNumber]]),"",[1]!ScoutingData[[#This Row],[teamNumber]])</f>
        <v/>
      </c>
      <c r="B640" t="str">
        <f>IF(ISBLANK([1]!ScoutingData[[#This Row],[matchLevel]]),"",[1]!ScoutingData[[#This Row],[matchLevel]])</f>
        <v/>
      </c>
      <c r="C640" t="str">
        <f>IF(ISBLANK([1]!ScoutingData[[#This Row],[matchNumber]]),"",[1]!ScoutingData[[#This Row],[matchNumber]])</f>
        <v/>
      </c>
      <c r="D640" t="str">
        <f>IF(ISBLANK([1]!ScoutingData[[#This Row],[event]]),"",[1]!ScoutingData[[#This Row],[event]])</f>
        <v/>
      </c>
      <c r="E640" t="str">
        <f>IF(ISBLANK([1]!ScoutingData[[#This Row],[position]]),"",[1]!ScoutingData[[#This Row],[position]])</f>
        <v/>
      </c>
      <c r="F640" t="str">
        <f>IF(ISBLANK([1]!ScoutingData[[#This Row],[leaveStartingZone]]),"",[1]!ScoutingData[[#This Row],[leaveStartingZone]])</f>
        <v/>
      </c>
      <c r="G640" t="str">
        <f>IF(ISBLANK([1]!ScoutingData[[#This Row],[autoAmpScore]]),"",[1]!ScoutingData[[#This Row],[autoAmpScore]])</f>
        <v/>
      </c>
      <c r="H640" t="str">
        <f>IF(ISBLANK([1]!ScoutingData[[#This Row],[autoSpeakerScore]]),"",[1]!ScoutingData[[#This Row],[autoSpeakerScore]])</f>
        <v/>
      </c>
    </row>
    <row r="641" spans="1:8" x14ac:dyDescent="0.45">
      <c r="A641" t="str">
        <f>IF(ISBLANK([1]!ScoutingData[[#This Row],[teamNumber]]),"",[1]!ScoutingData[[#This Row],[teamNumber]])</f>
        <v/>
      </c>
      <c r="B641" t="str">
        <f>IF(ISBLANK([1]!ScoutingData[[#This Row],[matchLevel]]),"",[1]!ScoutingData[[#This Row],[matchLevel]])</f>
        <v/>
      </c>
      <c r="C641" t="str">
        <f>IF(ISBLANK([1]!ScoutingData[[#This Row],[matchNumber]]),"",[1]!ScoutingData[[#This Row],[matchNumber]])</f>
        <v/>
      </c>
      <c r="D641" t="str">
        <f>IF(ISBLANK([1]!ScoutingData[[#This Row],[event]]),"",[1]!ScoutingData[[#This Row],[event]])</f>
        <v/>
      </c>
      <c r="E641" t="str">
        <f>IF(ISBLANK([1]!ScoutingData[[#This Row],[position]]),"",[1]!ScoutingData[[#This Row],[position]])</f>
        <v/>
      </c>
      <c r="F641" t="str">
        <f>IF(ISBLANK([1]!ScoutingData[[#This Row],[leaveStartingZone]]),"",[1]!ScoutingData[[#This Row],[leaveStartingZone]])</f>
        <v/>
      </c>
      <c r="G641" t="str">
        <f>IF(ISBLANK([1]!ScoutingData[[#This Row],[autoAmpScore]]),"",[1]!ScoutingData[[#This Row],[autoAmpScore]])</f>
        <v/>
      </c>
      <c r="H641" t="str">
        <f>IF(ISBLANK([1]!ScoutingData[[#This Row],[autoSpeakerScore]]),"",[1]!ScoutingData[[#This Row],[autoSpeakerScore]])</f>
        <v/>
      </c>
    </row>
    <row r="642" spans="1:8" x14ac:dyDescent="0.45">
      <c r="A642" t="str">
        <f>IF(ISBLANK([1]!ScoutingData[[#This Row],[teamNumber]]),"",[1]!ScoutingData[[#This Row],[teamNumber]])</f>
        <v/>
      </c>
      <c r="B642" t="str">
        <f>IF(ISBLANK([1]!ScoutingData[[#This Row],[matchLevel]]),"",[1]!ScoutingData[[#This Row],[matchLevel]])</f>
        <v/>
      </c>
      <c r="C642" t="str">
        <f>IF(ISBLANK([1]!ScoutingData[[#This Row],[matchNumber]]),"",[1]!ScoutingData[[#This Row],[matchNumber]])</f>
        <v/>
      </c>
      <c r="D642" t="str">
        <f>IF(ISBLANK([1]!ScoutingData[[#This Row],[event]]),"",[1]!ScoutingData[[#This Row],[event]])</f>
        <v/>
      </c>
      <c r="E642" t="str">
        <f>IF(ISBLANK([1]!ScoutingData[[#This Row],[position]]),"",[1]!ScoutingData[[#This Row],[position]])</f>
        <v/>
      </c>
      <c r="F642" t="str">
        <f>IF(ISBLANK([1]!ScoutingData[[#This Row],[leaveStartingZone]]),"",[1]!ScoutingData[[#This Row],[leaveStartingZone]])</f>
        <v/>
      </c>
      <c r="G642" t="str">
        <f>IF(ISBLANK([1]!ScoutingData[[#This Row],[autoAmpScore]]),"",[1]!ScoutingData[[#This Row],[autoAmpScore]])</f>
        <v/>
      </c>
      <c r="H642" t="str">
        <f>IF(ISBLANK([1]!ScoutingData[[#This Row],[autoSpeakerScore]]),"",[1]!ScoutingData[[#This Row],[autoSpeakerScore]])</f>
        <v/>
      </c>
    </row>
    <row r="643" spans="1:8" x14ac:dyDescent="0.45">
      <c r="A643" t="str">
        <f>IF(ISBLANK([1]!ScoutingData[[#This Row],[teamNumber]]),"",[1]!ScoutingData[[#This Row],[teamNumber]])</f>
        <v/>
      </c>
      <c r="B643" t="str">
        <f>IF(ISBLANK([1]!ScoutingData[[#This Row],[matchLevel]]),"",[1]!ScoutingData[[#This Row],[matchLevel]])</f>
        <v/>
      </c>
      <c r="C643" t="str">
        <f>IF(ISBLANK([1]!ScoutingData[[#This Row],[matchNumber]]),"",[1]!ScoutingData[[#This Row],[matchNumber]])</f>
        <v/>
      </c>
      <c r="D643" t="str">
        <f>IF(ISBLANK([1]!ScoutingData[[#This Row],[event]]),"",[1]!ScoutingData[[#This Row],[event]])</f>
        <v/>
      </c>
      <c r="E643" t="str">
        <f>IF(ISBLANK([1]!ScoutingData[[#This Row],[position]]),"",[1]!ScoutingData[[#This Row],[position]])</f>
        <v/>
      </c>
      <c r="F643" t="str">
        <f>IF(ISBLANK([1]!ScoutingData[[#This Row],[leaveStartingZone]]),"",[1]!ScoutingData[[#This Row],[leaveStartingZone]])</f>
        <v/>
      </c>
      <c r="G643" t="str">
        <f>IF(ISBLANK([1]!ScoutingData[[#This Row],[autoAmpScore]]),"",[1]!ScoutingData[[#This Row],[autoAmpScore]])</f>
        <v/>
      </c>
      <c r="H643" t="str">
        <f>IF(ISBLANK([1]!ScoutingData[[#This Row],[autoSpeakerScore]]),"",[1]!ScoutingData[[#This Row],[autoSpeakerScore]])</f>
        <v/>
      </c>
    </row>
    <row r="644" spans="1:8" x14ac:dyDescent="0.45">
      <c r="A644" t="str">
        <f>IF(ISBLANK([1]!ScoutingData[[#This Row],[teamNumber]]),"",[1]!ScoutingData[[#This Row],[teamNumber]])</f>
        <v/>
      </c>
      <c r="B644" t="str">
        <f>IF(ISBLANK([1]!ScoutingData[[#This Row],[matchLevel]]),"",[1]!ScoutingData[[#This Row],[matchLevel]])</f>
        <v/>
      </c>
      <c r="C644" t="str">
        <f>IF(ISBLANK([1]!ScoutingData[[#This Row],[matchNumber]]),"",[1]!ScoutingData[[#This Row],[matchNumber]])</f>
        <v/>
      </c>
      <c r="D644" t="str">
        <f>IF(ISBLANK([1]!ScoutingData[[#This Row],[event]]),"",[1]!ScoutingData[[#This Row],[event]])</f>
        <v/>
      </c>
      <c r="E644" t="str">
        <f>IF(ISBLANK([1]!ScoutingData[[#This Row],[position]]),"",[1]!ScoutingData[[#This Row],[position]])</f>
        <v/>
      </c>
      <c r="F644" t="str">
        <f>IF(ISBLANK([1]!ScoutingData[[#This Row],[leaveStartingZone]]),"",[1]!ScoutingData[[#This Row],[leaveStartingZone]])</f>
        <v/>
      </c>
      <c r="G644" t="str">
        <f>IF(ISBLANK([1]!ScoutingData[[#This Row],[autoAmpScore]]),"",[1]!ScoutingData[[#This Row],[autoAmpScore]])</f>
        <v/>
      </c>
      <c r="H644" t="str">
        <f>IF(ISBLANK([1]!ScoutingData[[#This Row],[autoSpeakerScore]]),"",[1]!ScoutingData[[#This Row],[autoSpeakerScore]])</f>
        <v/>
      </c>
    </row>
    <row r="645" spans="1:8" x14ac:dyDescent="0.45">
      <c r="A645" t="str">
        <f>IF(ISBLANK([1]!ScoutingData[[#This Row],[teamNumber]]),"",[1]!ScoutingData[[#This Row],[teamNumber]])</f>
        <v/>
      </c>
      <c r="B645" t="str">
        <f>IF(ISBLANK([1]!ScoutingData[[#This Row],[matchLevel]]),"",[1]!ScoutingData[[#This Row],[matchLevel]])</f>
        <v/>
      </c>
      <c r="C645" t="str">
        <f>IF(ISBLANK([1]!ScoutingData[[#This Row],[matchNumber]]),"",[1]!ScoutingData[[#This Row],[matchNumber]])</f>
        <v/>
      </c>
      <c r="D645" t="str">
        <f>IF(ISBLANK([1]!ScoutingData[[#This Row],[event]]),"",[1]!ScoutingData[[#This Row],[event]])</f>
        <v/>
      </c>
      <c r="E645" t="str">
        <f>IF(ISBLANK([1]!ScoutingData[[#This Row],[position]]),"",[1]!ScoutingData[[#This Row],[position]])</f>
        <v/>
      </c>
      <c r="F645" t="str">
        <f>IF(ISBLANK([1]!ScoutingData[[#This Row],[leaveStartingZone]]),"",[1]!ScoutingData[[#This Row],[leaveStartingZone]])</f>
        <v/>
      </c>
      <c r="G645" t="str">
        <f>IF(ISBLANK([1]!ScoutingData[[#This Row],[autoAmpScore]]),"",[1]!ScoutingData[[#This Row],[autoAmpScore]])</f>
        <v/>
      </c>
      <c r="H645" t="str">
        <f>IF(ISBLANK([1]!ScoutingData[[#This Row],[autoSpeakerScore]]),"",[1]!ScoutingData[[#This Row],[autoSpeakerScore]])</f>
        <v/>
      </c>
    </row>
    <row r="646" spans="1:8" x14ac:dyDescent="0.45">
      <c r="A646" t="str">
        <f>IF(ISBLANK([1]!ScoutingData[[#This Row],[teamNumber]]),"",[1]!ScoutingData[[#This Row],[teamNumber]])</f>
        <v/>
      </c>
      <c r="B646" t="str">
        <f>IF(ISBLANK([1]!ScoutingData[[#This Row],[matchLevel]]),"",[1]!ScoutingData[[#This Row],[matchLevel]])</f>
        <v/>
      </c>
      <c r="C646" t="str">
        <f>IF(ISBLANK([1]!ScoutingData[[#This Row],[matchNumber]]),"",[1]!ScoutingData[[#This Row],[matchNumber]])</f>
        <v/>
      </c>
      <c r="D646" t="str">
        <f>IF(ISBLANK([1]!ScoutingData[[#This Row],[event]]),"",[1]!ScoutingData[[#This Row],[event]])</f>
        <v/>
      </c>
      <c r="E646" t="str">
        <f>IF(ISBLANK([1]!ScoutingData[[#This Row],[position]]),"",[1]!ScoutingData[[#This Row],[position]])</f>
        <v/>
      </c>
      <c r="F646" t="str">
        <f>IF(ISBLANK([1]!ScoutingData[[#This Row],[leaveStartingZone]]),"",[1]!ScoutingData[[#This Row],[leaveStartingZone]])</f>
        <v/>
      </c>
      <c r="G646" t="str">
        <f>IF(ISBLANK([1]!ScoutingData[[#This Row],[autoAmpScore]]),"",[1]!ScoutingData[[#This Row],[autoAmpScore]])</f>
        <v/>
      </c>
      <c r="H646" t="str">
        <f>IF(ISBLANK([1]!ScoutingData[[#This Row],[autoSpeakerScore]]),"",[1]!ScoutingData[[#This Row],[autoSpeakerScore]])</f>
        <v/>
      </c>
    </row>
    <row r="647" spans="1:8" x14ac:dyDescent="0.45">
      <c r="A647" t="str">
        <f>IF(ISBLANK([1]!ScoutingData[[#This Row],[teamNumber]]),"",[1]!ScoutingData[[#This Row],[teamNumber]])</f>
        <v/>
      </c>
      <c r="B647" t="str">
        <f>IF(ISBLANK([1]!ScoutingData[[#This Row],[matchLevel]]),"",[1]!ScoutingData[[#This Row],[matchLevel]])</f>
        <v/>
      </c>
      <c r="C647" t="str">
        <f>IF(ISBLANK([1]!ScoutingData[[#This Row],[matchNumber]]),"",[1]!ScoutingData[[#This Row],[matchNumber]])</f>
        <v/>
      </c>
      <c r="D647" t="str">
        <f>IF(ISBLANK([1]!ScoutingData[[#This Row],[event]]),"",[1]!ScoutingData[[#This Row],[event]])</f>
        <v/>
      </c>
      <c r="E647" t="str">
        <f>IF(ISBLANK([1]!ScoutingData[[#This Row],[position]]),"",[1]!ScoutingData[[#This Row],[position]])</f>
        <v/>
      </c>
      <c r="F647" t="str">
        <f>IF(ISBLANK([1]!ScoutingData[[#This Row],[leaveStartingZone]]),"",[1]!ScoutingData[[#This Row],[leaveStartingZone]])</f>
        <v/>
      </c>
      <c r="G647" t="str">
        <f>IF(ISBLANK([1]!ScoutingData[[#This Row],[autoAmpScore]]),"",[1]!ScoutingData[[#This Row],[autoAmpScore]])</f>
        <v/>
      </c>
      <c r="H647" t="str">
        <f>IF(ISBLANK([1]!ScoutingData[[#This Row],[autoSpeakerScore]]),"",[1]!ScoutingData[[#This Row],[autoSpeakerScore]])</f>
        <v/>
      </c>
    </row>
    <row r="648" spans="1:8" x14ac:dyDescent="0.45">
      <c r="A648" t="str">
        <f>IF(ISBLANK([1]!ScoutingData[[#This Row],[teamNumber]]),"",[1]!ScoutingData[[#This Row],[teamNumber]])</f>
        <v/>
      </c>
      <c r="B648" t="str">
        <f>IF(ISBLANK([1]!ScoutingData[[#This Row],[matchLevel]]),"",[1]!ScoutingData[[#This Row],[matchLevel]])</f>
        <v/>
      </c>
      <c r="C648" t="str">
        <f>IF(ISBLANK([1]!ScoutingData[[#This Row],[matchNumber]]),"",[1]!ScoutingData[[#This Row],[matchNumber]])</f>
        <v/>
      </c>
      <c r="D648" t="str">
        <f>IF(ISBLANK([1]!ScoutingData[[#This Row],[event]]),"",[1]!ScoutingData[[#This Row],[event]])</f>
        <v/>
      </c>
      <c r="E648" t="str">
        <f>IF(ISBLANK([1]!ScoutingData[[#This Row],[position]]),"",[1]!ScoutingData[[#This Row],[position]])</f>
        <v/>
      </c>
      <c r="F648" t="str">
        <f>IF(ISBLANK([1]!ScoutingData[[#This Row],[leaveStartingZone]]),"",[1]!ScoutingData[[#This Row],[leaveStartingZone]])</f>
        <v/>
      </c>
      <c r="G648" t="str">
        <f>IF(ISBLANK([1]!ScoutingData[[#This Row],[autoAmpScore]]),"",[1]!ScoutingData[[#This Row],[autoAmpScore]])</f>
        <v/>
      </c>
      <c r="H648" t="str">
        <f>IF(ISBLANK([1]!ScoutingData[[#This Row],[autoSpeakerScore]]),"",[1]!ScoutingData[[#This Row],[autoSpeakerScore]])</f>
        <v/>
      </c>
    </row>
    <row r="649" spans="1:8" x14ac:dyDescent="0.45">
      <c r="A649" t="str">
        <f>IF(ISBLANK([1]!ScoutingData[[#This Row],[teamNumber]]),"",[1]!ScoutingData[[#This Row],[teamNumber]])</f>
        <v/>
      </c>
      <c r="B649" t="str">
        <f>IF(ISBLANK([1]!ScoutingData[[#This Row],[matchLevel]]),"",[1]!ScoutingData[[#This Row],[matchLevel]])</f>
        <v/>
      </c>
      <c r="C649" t="str">
        <f>IF(ISBLANK([1]!ScoutingData[[#This Row],[matchNumber]]),"",[1]!ScoutingData[[#This Row],[matchNumber]])</f>
        <v/>
      </c>
      <c r="D649" t="str">
        <f>IF(ISBLANK([1]!ScoutingData[[#This Row],[event]]),"",[1]!ScoutingData[[#This Row],[event]])</f>
        <v/>
      </c>
      <c r="E649" t="str">
        <f>IF(ISBLANK([1]!ScoutingData[[#This Row],[position]]),"",[1]!ScoutingData[[#This Row],[position]])</f>
        <v/>
      </c>
      <c r="F649" t="str">
        <f>IF(ISBLANK([1]!ScoutingData[[#This Row],[leaveStartingZone]]),"",[1]!ScoutingData[[#This Row],[leaveStartingZone]])</f>
        <v/>
      </c>
      <c r="G649" t="str">
        <f>IF(ISBLANK([1]!ScoutingData[[#This Row],[autoAmpScore]]),"",[1]!ScoutingData[[#This Row],[autoAmpScore]])</f>
        <v/>
      </c>
      <c r="H649" t="str">
        <f>IF(ISBLANK([1]!ScoutingData[[#This Row],[autoSpeakerScore]]),"",[1]!ScoutingData[[#This Row],[autoSpeakerScore]])</f>
        <v/>
      </c>
    </row>
    <row r="650" spans="1:8" x14ac:dyDescent="0.45">
      <c r="A650" t="str">
        <f>IF(ISBLANK([1]!ScoutingData[[#This Row],[teamNumber]]),"",[1]!ScoutingData[[#This Row],[teamNumber]])</f>
        <v/>
      </c>
      <c r="B650" t="str">
        <f>IF(ISBLANK([1]!ScoutingData[[#This Row],[matchLevel]]),"",[1]!ScoutingData[[#This Row],[matchLevel]])</f>
        <v/>
      </c>
      <c r="C650" t="str">
        <f>IF(ISBLANK([1]!ScoutingData[[#This Row],[matchNumber]]),"",[1]!ScoutingData[[#This Row],[matchNumber]])</f>
        <v/>
      </c>
      <c r="D650" t="str">
        <f>IF(ISBLANK([1]!ScoutingData[[#This Row],[event]]),"",[1]!ScoutingData[[#This Row],[event]])</f>
        <v/>
      </c>
      <c r="E650" t="str">
        <f>IF(ISBLANK([1]!ScoutingData[[#This Row],[position]]),"",[1]!ScoutingData[[#This Row],[position]])</f>
        <v/>
      </c>
      <c r="F650" t="str">
        <f>IF(ISBLANK([1]!ScoutingData[[#This Row],[leaveStartingZone]]),"",[1]!ScoutingData[[#This Row],[leaveStartingZone]])</f>
        <v/>
      </c>
      <c r="G650" t="str">
        <f>IF(ISBLANK([1]!ScoutingData[[#This Row],[autoAmpScore]]),"",[1]!ScoutingData[[#This Row],[autoAmpScore]])</f>
        <v/>
      </c>
      <c r="H650" t="str">
        <f>IF(ISBLANK([1]!ScoutingData[[#This Row],[autoSpeakerScore]]),"",[1]!ScoutingData[[#This Row],[autoSpeakerScore]])</f>
        <v/>
      </c>
    </row>
    <row r="651" spans="1:8" x14ac:dyDescent="0.45">
      <c r="A651" t="str">
        <f>IF(ISBLANK([1]!ScoutingData[[#This Row],[teamNumber]]),"",[1]!ScoutingData[[#This Row],[teamNumber]])</f>
        <v/>
      </c>
      <c r="B651" t="str">
        <f>IF(ISBLANK([1]!ScoutingData[[#This Row],[matchLevel]]),"",[1]!ScoutingData[[#This Row],[matchLevel]])</f>
        <v/>
      </c>
      <c r="C651" t="str">
        <f>IF(ISBLANK([1]!ScoutingData[[#This Row],[matchNumber]]),"",[1]!ScoutingData[[#This Row],[matchNumber]])</f>
        <v/>
      </c>
      <c r="D651" t="str">
        <f>IF(ISBLANK([1]!ScoutingData[[#This Row],[event]]),"",[1]!ScoutingData[[#This Row],[event]])</f>
        <v/>
      </c>
      <c r="E651" t="str">
        <f>IF(ISBLANK([1]!ScoutingData[[#This Row],[position]]),"",[1]!ScoutingData[[#This Row],[position]])</f>
        <v/>
      </c>
      <c r="F651" t="str">
        <f>IF(ISBLANK([1]!ScoutingData[[#This Row],[leaveStartingZone]]),"",[1]!ScoutingData[[#This Row],[leaveStartingZone]])</f>
        <v/>
      </c>
      <c r="G651" t="str">
        <f>IF(ISBLANK([1]!ScoutingData[[#This Row],[autoAmpScore]]),"",[1]!ScoutingData[[#This Row],[autoAmpScore]])</f>
        <v/>
      </c>
      <c r="H651" t="str">
        <f>IF(ISBLANK([1]!ScoutingData[[#This Row],[autoSpeakerScore]]),"",[1]!ScoutingData[[#This Row],[autoSpeakerScore]])</f>
        <v/>
      </c>
    </row>
    <row r="652" spans="1:8" x14ac:dyDescent="0.45">
      <c r="A652" t="str">
        <f>IF(ISBLANK([1]!ScoutingData[[#This Row],[teamNumber]]),"",[1]!ScoutingData[[#This Row],[teamNumber]])</f>
        <v/>
      </c>
      <c r="B652" t="str">
        <f>IF(ISBLANK([1]!ScoutingData[[#This Row],[matchLevel]]),"",[1]!ScoutingData[[#This Row],[matchLevel]])</f>
        <v/>
      </c>
      <c r="C652" t="str">
        <f>IF(ISBLANK([1]!ScoutingData[[#This Row],[matchNumber]]),"",[1]!ScoutingData[[#This Row],[matchNumber]])</f>
        <v/>
      </c>
      <c r="D652" t="str">
        <f>IF(ISBLANK([1]!ScoutingData[[#This Row],[event]]),"",[1]!ScoutingData[[#This Row],[event]])</f>
        <v/>
      </c>
      <c r="E652" t="str">
        <f>IF(ISBLANK([1]!ScoutingData[[#This Row],[position]]),"",[1]!ScoutingData[[#This Row],[position]])</f>
        <v/>
      </c>
      <c r="F652" t="str">
        <f>IF(ISBLANK([1]!ScoutingData[[#This Row],[leaveStartingZone]]),"",[1]!ScoutingData[[#This Row],[leaveStartingZone]])</f>
        <v/>
      </c>
      <c r="G652" t="str">
        <f>IF(ISBLANK([1]!ScoutingData[[#This Row],[autoAmpScore]]),"",[1]!ScoutingData[[#This Row],[autoAmpScore]])</f>
        <v/>
      </c>
      <c r="H652" t="str">
        <f>IF(ISBLANK([1]!ScoutingData[[#This Row],[autoSpeakerScore]]),"",[1]!ScoutingData[[#This Row],[autoSpeakerScore]])</f>
        <v/>
      </c>
    </row>
    <row r="653" spans="1:8" x14ac:dyDescent="0.45">
      <c r="A653" t="str">
        <f>IF(ISBLANK([1]!ScoutingData[[#This Row],[teamNumber]]),"",[1]!ScoutingData[[#This Row],[teamNumber]])</f>
        <v/>
      </c>
      <c r="B653" t="str">
        <f>IF(ISBLANK([1]!ScoutingData[[#This Row],[matchLevel]]),"",[1]!ScoutingData[[#This Row],[matchLevel]])</f>
        <v/>
      </c>
      <c r="C653" t="str">
        <f>IF(ISBLANK([1]!ScoutingData[[#This Row],[matchNumber]]),"",[1]!ScoutingData[[#This Row],[matchNumber]])</f>
        <v/>
      </c>
      <c r="D653" t="str">
        <f>IF(ISBLANK([1]!ScoutingData[[#This Row],[event]]),"",[1]!ScoutingData[[#This Row],[event]])</f>
        <v/>
      </c>
      <c r="E653" t="str">
        <f>IF(ISBLANK([1]!ScoutingData[[#This Row],[position]]),"",[1]!ScoutingData[[#This Row],[position]])</f>
        <v/>
      </c>
      <c r="F653" t="str">
        <f>IF(ISBLANK([1]!ScoutingData[[#This Row],[leaveStartingZone]]),"",[1]!ScoutingData[[#This Row],[leaveStartingZone]])</f>
        <v/>
      </c>
      <c r="G653" t="str">
        <f>IF(ISBLANK([1]!ScoutingData[[#This Row],[autoAmpScore]]),"",[1]!ScoutingData[[#This Row],[autoAmpScore]])</f>
        <v/>
      </c>
      <c r="H653" t="str">
        <f>IF(ISBLANK([1]!ScoutingData[[#This Row],[autoSpeakerScore]]),"",[1]!ScoutingData[[#This Row],[autoSpeakerScore]])</f>
        <v/>
      </c>
    </row>
    <row r="654" spans="1:8" x14ac:dyDescent="0.45">
      <c r="A654" t="str">
        <f>IF(ISBLANK([1]!ScoutingData[[#This Row],[teamNumber]]),"",[1]!ScoutingData[[#This Row],[teamNumber]])</f>
        <v/>
      </c>
      <c r="B654" t="str">
        <f>IF(ISBLANK([1]!ScoutingData[[#This Row],[matchLevel]]),"",[1]!ScoutingData[[#This Row],[matchLevel]])</f>
        <v/>
      </c>
      <c r="C654" t="str">
        <f>IF(ISBLANK([1]!ScoutingData[[#This Row],[matchNumber]]),"",[1]!ScoutingData[[#This Row],[matchNumber]])</f>
        <v/>
      </c>
      <c r="D654" t="str">
        <f>IF(ISBLANK([1]!ScoutingData[[#This Row],[event]]),"",[1]!ScoutingData[[#This Row],[event]])</f>
        <v/>
      </c>
      <c r="E654" t="str">
        <f>IF(ISBLANK([1]!ScoutingData[[#This Row],[position]]),"",[1]!ScoutingData[[#This Row],[position]])</f>
        <v/>
      </c>
      <c r="F654" t="str">
        <f>IF(ISBLANK([1]!ScoutingData[[#This Row],[leaveStartingZone]]),"",[1]!ScoutingData[[#This Row],[leaveStartingZone]])</f>
        <v/>
      </c>
      <c r="G654" t="str">
        <f>IF(ISBLANK([1]!ScoutingData[[#This Row],[autoAmpScore]]),"",[1]!ScoutingData[[#This Row],[autoAmpScore]])</f>
        <v/>
      </c>
      <c r="H654" t="str">
        <f>IF(ISBLANK([1]!ScoutingData[[#This Row],[autoSpeakerScore]]),"",[1]!ScoutingData[[#This Row],[autoSpeakerScore]])</f>
        <v/>
      </c>
    </row>
    <row r="655" spans="1:8" x14ac:dyDescent="0.45">
      <c r="A655" t="str">
        <f>IF(ISBLANK([1]!ScoutingData[[#This Row],[teamNumber]]),"",[1]!ScoutingData[[#This Row],[teamNumber]])</f>
        <v/>
      </c>
      <c r="B655" t="str">
        <f>IF(ISBLANK([1]!ScoutingData[[#This Row],[matchLevel]]),"",[1]!ScoutingData[[#This Row],[matchLevel]])</f>
        <v/>
      </c>
      <c r="C655" t="str">
        <f>IF(ISBLANK([1]!ScoutingData[[#This Row],[matchNumber]]),"",[1]!ScoutingData[[#This Row],[matchNumber]])</f>
        <v/>
      </c>
      <c r="D655" t="str">
        <f>IF(ISBLANK([1]!ScoutingData[[#This Row],[event]]),"",[1]!ScoutingData[[#This Row],[event]])</f>
        <v/>
      </c>
      <c r="E655" t="str">
        <f>IF(ISBLANK([1]!ScoutingData[[#This Row],[position]]),"",[1]!ScoutingData[[#This Row],[position]])</f>
        <v/>
      </c>
      <c r="F655" t="str">
        <f>IF(ISBLANK([1]!ScoutingData[[#This Row],[leaveStartingZone]]),"",[1]!ScoutingData[[#This Row],[leaveStartingZone]])</f>
        <v/>
      </c>
      <c r="G655" t="str">
        <f>IF(ISBLANK([1]!ScoutingData[[#This Row],[autoAmpScore]]),"",[1]!ScoutingData[[#This Row],[autoAmpScore]])</f>
        <v/>
      </c>
      <c r="H655" t="str">
        <f>IF(ISBLANK([1]!ScoutingData[[#This Row],[autoSpeakerScore]]),"",[1]!ScoutingData[[#This Row],[autoSpeakerScore]])</f>
        <v/>
      </c>
    </row>
    <row r="656" spans="1:8" x14ac:dyDescent="0.45">
      <c r="A656" t="str">
        <f>IF(ISBLANK([1]!ScoutingData[[#This Row],[teamNumber]]),"",[1]!ScoutingData[[#This Row],[teamNumber]])</f>
        <v/>
      </c>
      <c r="B656" t="str">
        <f>IF(ISBLANK([1]!ScoutingData[[#This Row],[matchLevel]]),"",[1]!ScoutingData[[#This Row],[matchLevel]])</f>
        <v/>
      </c>
      <c r="C656" t="str">
        <f>IF(ISBLANK([1]!ScoutingData[[#This Row],[matchNumber]]),"",[1]!ScoutingData[[#This Row],[matchNumber]])</f>
        <v/>
      </c>
      <c r="D656" t="str">
        <f>IF(ISBLANK([1]!ScoutingData[[#This Row],[event]]),"",[1]!ScoutingData[[#This Row],[event]])</f>
        <v/>
      </c>
      <c r="E656" t="str">
        <f>IF(ISBLANK([1]!ScoutingData[[#This Row],[position]]),"",[1]!ScoutingData[[#This Row],[position]])</f>
        <v/>
      </c>
      <c r="F656" t="str">
        <f>IF(ISBLANK([1]!ScoutingData[[#This Row],[leaveStartingZone]]),"",[1]!ScoutingData[[#This Row],[leaveStartingZone]])</f>
        <v/>
      </c>
      <c r="G656" t="str">
        <f>IF(ISBLANK([1]!ScoutingData[[#This Row],[autoAmpScore]]),"",[1]!ScoutingData[[#This Row],[autoAmpScore]])</f>
        <v/>
      </c>
      <c r="H656" t="str">
        <f>IF(ISBLANK([1]!ScoutingData[[#This Row],[autoSpeakerScore]]),"",[1]!ScoutingData[[#This Row],[autoSpeakerScore]])</f>
        <v/>
      </c>
    </row>
    <row r="657" spans="1:8" x14ac:dyDescent="0.45">
      <c r="A657" t="str">
        <f>IF(ISBLANK([1]!ScoutingData[[#This Row],[teamNumber]]),"",[1]!ScoutingData[[#This Row],[teamNumber]])</f>
        <v/>
      </c>
      <c r="B657" t="str">
        <f>IF(ISBLANK([1]!ScoutingData[[#This Row],[matchLevel]]),"",[1]!ScoutingData[[#This Row],[matchLevel]])</f>
        <v/>
      </c>
      <c r="C657" t="str">
        <f>IF(ISBLANK([1]!ScoutingData[[#This Row],[matchNumber]]),"",[1]!ScoutingData[[#This Row],[matchNumber]])</f>
        <v/>
      </c>
      <c r="D657" t="str">
        <f>IF(ISBLANK([1]!ScoutingData[[#This Row],[event]]),"",[1]!ScoutingData[[#This Row],[event]])</f>
        <v/>
      </c>
      <c r="E657" t="str">
        <f>IF(ISBLANK([1]!ScoutingData[[#This Row],[position]]),"",[1]!ScoutingData[[#This Row],[position]])</f>
        <v/>
      </c>
      <c r="F657" t="str">
        <f>IF(ISBLANK([1]!ScoutingData[[#This Row],[leaveStartingZone]]),"",[1]!ScoutingData[[#This Row],[leaveStartingZone]])</f>
        <v/>
      </c>
      <c r="G657" t="str">
        <f>IF(ISBLANK([1]!ScoutingData[[#This Row],[autoAmpScore]]),"",[1]!ScoutingData[[#This Row],[autoAmpScore]])</f>
        <v/>
      </c>
      <c r="H657" t="str">
        <f>IF(ISBLANK([1]!ScoutingData[[#This Row],[autoSpeakerScore]]),"",[1]!ScoutingData[[#This Row],[autoSpeakerScore]])</f>
        <v/>
      </c>
    </row>
    <row r="658" spans="1:8" x14ac:dyDescent="0.45">
      <c r="A658" t="str">
        <f>IF(ISBLANK([1]!ScoutingData[[#This Row],[teamNumber]]),"",[1]!ScoutingData[[#This Row],[teamNumber]])</f>
        <v/>
      </c>
      <c r="B658" t="str">
        <f>IF(ISBLANK([1]!ScoutingData[[#This Row],[matchLevel]]),"",[1]!ScoutingData[[#This Row],[matchLevel]])</f>
        <v/>
      </c>
      <c r="C658" t="str">
        <f>IF(ISBLANK([1]!ScoutingData[[#This Row],[matchNumber]]),"",[1]!ScoutingData[[#This Row],[matchNumber]])</f>
        <v/>
      </c>
      <c r="D658" t="str">
        <f>IF(ISBLANK([1]!ScoutingData[[#This Row],[event]]),"",[1]!ScoutingData[[#This Row],[event]])</f>
        <v/>
      </c>
      <c r="E658" t="str">
        <f>IF(ISBLANK([1]!ScoutingData[[#This Row],[position]]),"",[1]!ScoutingData[[#This Row],[position]])</f>
        <v/>
      </c>
      <c r="F658" t="str">
        <f>IF(ISBLANK([1]!ScoutingData[[#This Row],[leaveStartingZone]]),"",[1]!ScoutingData[[#This Row],[leaveStartingZone]])</f>
        <v/>
      </c>
      <c r="G658" t="str">
        <f>IF(ISBLANK([1]!ScoutingData[[#This Row],[autoAmpScore]]),"",[1]!ScoutingData[[#This Row],[autoAmpScore]])</f>
        <v/>
      </c>
      <c r="H658" t="str">
        <f>IF(ISBLANK([1]!ScoutingData[[#This Row],[autoSpeakerScore]]),"",[1]!ScoutingData[[#This Row],[autoSpeakerScore]])</f>
        <v/>
      </c>
    </row>
    <row r="659" spans="1:8" x14ac:dyDescent="0.45">
      <c r="A659" t="str">
        <f>IF(ISBLANK([1]!ScoutingData[[#This Row],[teamNumber]]),"",[1]!ScoutingData[[#This Row],[teamNumber]])</f>
        <v/>
      </c>
      <c r="B659" t="str">
        <f>IF(ISBLANK([1]!ScoutingData[[#This Row],[matchLevel]]),"",[1]!ScoutingData[[#This Row],[matchLevel]])</f>
        <v/>
      </c>
      <c r="C659" t="str">
        <f>IF(ISBLANK([1]!ScoutingData[[#This Row],[matchNumber]]),"",[1]!ScoutingData[[#This Row],[matchNumber]])</f>
        <v/>
      </c>
      <c r="D659" t="str">
        <f>IF(ISBLANK([1]!ScoutingData[[#This Row],[event]]),"",[1]!ScoutingData[[#This Row],[event]])</f>
        <v/>
      </c>
      <c r="E659" t="str">
        <f>IF(ISBLANK([1]!ScoutingData[[#This Row],[position]]),"",[1]!ScoutingData[[#This Row],[position]])</f>
        <v/>
      </c>
      <c r="F659" t="str">
        <f>IF(ISBLANK([1]!ScoutingData[[#This Row],[leaveStartingZone]]),"",[1]!ScoutingData[[#This Row],[leaveStartingZone]])</f>
        <v/>
      </c>
      <c r="G659" t="str">
        <f>IF(ISBLANK([1]!ScoutingData[[#This Row],[autoAmpScore]]),"",[1]!ScoutingData[[#This Row],[autoAmpScore]])</f>
        <v/>
      </c>
      <c r="H659" t="str">
        <f>IF(ISBLANK([1]!ScoutingData[[#This Row],[autoSpeakerScore]]),"",[1]!ScoutingData[[#This Row],[autoSpeakerScore]])</f>
        <v/>
      </c>
    </row>
    <row r="660" spans="1:8" x14ac:dyDescent="0.45">
      <c r="A660" t="str">
        <f>IF(ISBLANK([1]!ScoutingData[[#This Row],[teamNumber]]),"",[1]!ScoutingData[[#This Row],[teamNumber]])</f>
        <v/>
      </c>
      <c r="B660" t="str">
        <f>IF(ISBLANK([1]!ScoutingData[[#This Row],[matchLevel]]),"",[1]!ScoutingData[[#This Row],[matchLevel]])</f>
        <v/>
      </c>
      <c r="C660" t="str">
        <f>IF(ISBLANK([1]!ScoutingData[[#This Row],[matchNumber]]),"",[1]!ScoutingData[[#This Row],[matchNumber]])</f>
        <v/>
      </c>
      <c r="D660" t="str">
        <f>IF(ISBLANK([1]!ScoutingData[[#This Row],[event]]),"",[1]!ScoutingData[[#This Row],[event]])</f>
        <v/>
      </c>
      <c r="E660" t="str">
        <f>IF(ISBLANK([1]!ScoutingData[[#This Row],[position]]),"",[1]!ScoutingData[[#This Row],[position]])</f>
        <v/>
      </c>
      <c r="F660" t="str">
        <f>IF(ISBLANK([1]!ScoutingData[[#This Row],[leaveStartingZone]]),"",[1]!ScoutingData[[#This Row],[leaveStartingZone]])</f>
        <v/>
      </c>
      <c r="G660" t="str">
        <f>IF(ISBLANK([1]!ScoutingData[[#This Row],[autoAmpScore]]),"",[1]!ScoutingData[[#This Row],[autoAmpScore]])</f>
        <v/>
      </c>
      <c r="H660" t="str">
        <f>IF(ISBLANK([1]!ScoutingData[[#This Row],[autoSpeakerScore]]),"",[1]!ScoutingData[[#This Row],[autoSpeakerScore]])</f>
        <v/>
      </c>
    </row>
    <row r="661" spans="1:8" x14ac:dyDescent="0.45">
      <c r="A661" t="str">
        <f>IF(ISBLANK([1]!ScoutingData[[#This Row],[teamNumber]]),"",[1]!ScoutingData[[#This Row],[teamNumber]])</f>
        <v/>
      </c>
      <c r="B661" t="str">
        <f>IF(ISBLANK([1]!ScoutingData[[#This Row],[matchLevel]]),"",[1]!ScoutingData[[#This Row],[matchLevel]])</f>
        <v/>
      </c>
      <c r="C661" t="str">
        <f>IF(ISBLANK([1]!ScoutingData[[#This Row],[matchNumber]]),"",[1]!ScoutingData[[#This Row],[matchNumber]])</f>
        <v/>
      </c>
      <c r="D661" t="str">
        <f>IF(ISBLANK([1]!ScoutingData[[#This Row],[event]]),"",[1]!ScoutingData[[#This Row],[event]])</f>
        <v/>
      </c>
      <c r="E661" t="str">
        <f>IF(ISBLANK([1]!ScoutingData[[#This Row],[position]]),"",[1]!ScoutingData[[#This Row],[position]])</f>
        <v/>
      </c>
      <c r="F661" t="str">
        <f>IF(ISBLANK([1]!ScoutingData[[#This Row],[leaveStartingZone]]),"",[1]!ScoutingData[[#This Row],[leaveStartingZone]])</f>
        <v/>
      </c>
      <c r="G661" t="str">
        <f>IF(ISBLANK([1]!ScoutingData[[#This Row],[autoAmpScore]]),"",[1]!ScoutingData[[#This Row],[autoAmpScore]])</f>
        <v/>
      </c>
      <c r="H661" t="str">
        <f>IF(ISBLANK([1]!ScoutingData[[#This Row],[autoSpeakerScore]]),"",[1]!ScoutingData[[#This Row],[autoSpeakerScore]])</f>
        <v/>
      </c>
    </row>
    <row r="662" spans="1:8" x14ac:dyDescent="0.45">
      <c r="A662" t="str">
        <f>IF(ISBLANK([1]!ScoutingData[[#This Row],[teamNumber]]),"",[1]!ScoutingData[[#This Row],[teamNumber]])</f>
        <v/>
      </c>
      <c r="B662" t="str">
        <f>IF(ISBLANK([1]!ScoutingData[[#This Row],[matchLevel]]),"",[1]!ScoutingData[[#This Row],[matchLevel]])</f>
        <v/>
      </c>
      <c r="C662" t="str">
        <f>IF(ISBLANK([1]!ScoutingData[[#This Row],[matchNumber]]),"",[1]!ScoutingData[[#This Row],[matchNumber]])</f>
        <v/>
      </c>
      <c r="D662" t="str">
        <f>IF(ISBLANK([1]!ScoutingData[[#This Row],[event]]),"",[1]!ScoutingData[[#This Row],[event]])</f>
        <v/>
      </c>
      <c r="E662" t="str">
        <f>IF(ISBLANK([1]!ScoutingData[[#This Row],[position]]),"",[1]!ScoutingData[[#This Row],[position]])</f>
        <v/>
      </c>
      <c r="F662" t="str">
        <f>IF(ISBLANK([1]!ScoutingData[[#This Row],[leaveStartingZone]]),"",[1]!ScoutingData[[#This Row],[leaveStartingZone]])</f>
        <v/>
      </c>
      <c r="G662" t="str">
        <f>IF(ISBLANK([1]!ScoutingData[[#This Row],[autoAmpScore]]),"",[1]!ScoutingData[[#This Row],[autoAmpScore]])</f>
        <v/>
      </c>
      <c r="H662" t="str">
        <f>IF(ISBLANK([1]!ScoutingData[[#This Row],[autoSpeakerScore]]),"",[1]!ScoutingData[[#This Row],[autoSpeakerScore]])</f>
        <v/>
      </c>
    </row>
    <row r="663" spans="1:8" x14ac:dyDescent="0.45">
      <c r="A663" t="str">
        <f>IF(ISBLANK([1]!ScoutingData[[#This Row],[teamNumber]]),"",[1]!ScoutingData[[#This Row],[teamNumber]])</f>
        <v/>
      </c>
      <c r="B663" t="str">
        <f>IF(ISBLANK([1]!ScoutingData[[#This Row],[matchLevel]]),"",[1]!ScoutingData[[#This Row],[matchLevel]])</f>
        <v/>
      </c>
      <c r="C663" t="str">
        <f>IF(ISBLANK([1]!ScoutingData[[#This Row],[matchNumber]]),"",[1]!ScoutingData[[#This Row],[matchNumber]])</f>
        <v/>
      </c>
      <c r="D663" t="str">
        <f>IF(ISBLANK([1]!ScoutingData[[#This Row],[event]]),"",[1]!ScoutingData[[#This Row],[event]])</f>
        <v/>
      </c>
      <c r="E663" t="str">
        <f>IF(ISBLANK([1]!ScoutingData[[#This Row],[position]]),"",[1]!ScoutingData[[#This Row],[position]])</f>
        <v/>
      </c>
      <c r="F663" t="str">
        <f>IF(ISBLANK([1]!ScoutingData[[#This Row],[leaveStartingZone]]),"",[1]!ScoutingData[[#This Row],[leaveStartingZone]])</f>
        <v/>
      </c>
      <c r="G663" t="str">
        <f>IF(ISBLANK([1]!ScoutingData[[#This Row],[autoAmpScore]]),"",[1]!ScoutingData[[#This Row],[autoAmpScore]])</f>
        <v/>
      </c>
      <c r="H663" t="str">
        <f>IF(ISBLANK([1]!ScoutingData[[#This Row],[autoSpeakerScore]]),"",[1]!ScoutingData[[#This Row],[autoSpeakerScore]])</f>
        <v/>
      </c>
    </row>
    <row r="664" spans="1:8" x14ac:dyDescent="0.45">
      <c r="A664" t="str">
        <f>IF(ISBLANK([1]!ScoutingData[[#This Row],[teamNumber]]),"",[1]!ScoutingData[[#This Row],[teamNumber]])</f>
        <v/>
      </c>
      <c r="B664" t="str">
        <f>IF(ISBLANK([1]!ScoutingData[[#This Row],[matchLevel]]),"",[1]!ScoutingData[[#This Row],[matchLevel]])</f>
        <v/>
      </c>
      <c r="C664" t="str">
        <f>IF(ISBLANK([1]!ScoutingData[[#This Row],[matchNumber]]),"",[1]!ScoutingData[[#This Row],[matchNumber]])</f>
        <v/>
      </c>
      <c r="D664" t="str">
        <f>IF(ISBLANK([1]!ScoutingData[[#This Row],[event]]),"",[1]!ScoutingData[[#This Row],[event]])</f>
        <v/>
      </c>
      <c r="E664" t="str">
        <f>IF(ISBLANK([1]!ScoutingData[[#This Row],[position]]),"",[1]!ScoutingData[[#This Row],[position]])</f>
        <v/>
      </c>
      <c r="F664" t="str">
        <f>IF(ISBLANK([1]!ScoutingData[[#This Row],[leaveStartingZone]]),"",[1]!ScoutingData[[#This Row],[leaveStartingZone]])</f>
        <v/>
      </c>
      <c r="G664" t="str">
        <f>IF(ISBLANK([1]!ScoutingData[[#This Row],[autoAmpScore]]),"",[1]!ScoutingData[[#This Row],[autoAmpScore]])</f>
        <v/>
      </c>
      <c r="H664" t="str">
        <f>IF(ISBLANK([1]!ScoutingData[[#This Row],[autoSpeakerScore]]),"",[1]!ScoutingData[[#This Row],[autoSpeakerScore]])</f>
        <v/>
      </c>
    </row>
    <row r="665" spans="1:8" x14ac:dyDescent="0.45">
      <c r="A665" t="str">
        <f>IF(ISBLANK([1]!ScoutingData[[#This Row],[teamNumber]]),"",[1]!ScoutingData[[#This Row],[teamNumber]])</f>
        <v/>
      </c>
      <c r="B665" t="str">
        <f>IF(ISBLANK([1]!ScoutingData[[#This Row],[matchLevel]]),"",[1]!ScoutingData[[#This Row],[matchLevel]])</f>
        <v/>
      </c>
      <c r="C665" t="str">
        <f>IF(ISBLANK([1]!ScoutingData[[#This Row],[matchNumber]]),"",[1]!ScoutingData[[#This Row],[matchNumber]])</f>
        <v/>
      </c>
      <c r="D665" t="str">
        <f>IF(ISBLANK([1]!ScoutingData[[#This Row],[event]]),"",[1]!ScoutingData[[#This Row],[event]])</f>
        <v/>
      </c>
      <c r="E665" t="str">
        <f>IF(ISBLANK([1]!ScoutingData[[#This Row],[position]]),"",[1]!ScoutingData[[#This Row],[position]])</f>
        <v/>
      </c>
      <c r="F665" t="str">
        <f>IF(ISBLANK([1]!ScoutingData[[#This Row],[leaveStartingZone]]),"",[1]!ScoutingData[[#This Row],[leaveStartingZone]])</f>
        <v/>
      </c>
      <c r="G665" t="str">
        <f>IF(ISBLANK([1]!ScoutingData[[#This Row],[autoAmpScore]]),"",[1]!ScoutingData[[#This Row],[autoAmpScore]])</f>
        <v/>
      </c>
      <c r="H665" t="str">
        <f>IF(ISBLANK([1]!ScoutingData[[#This Row],[autoSpeakerScore]]),"",[1]!ScoutingData[[#This Row],[autoSpeakerScore]])</f>
        <v/>
      </c>
    </row>
    <row r="666" spans="1:8" x14ac:dyDescent="0.45">
      <c r="A666" t="str">
        <f>IF(ISBLANK([1]!ScoutingData[[#This Row],[teamNumber]]),"",[1]!ScoutingData[[#This Row],[teamNumber]])</f>
        <v/>
      </c>
      <c r="B666" t="str">
        <f>IF(ISBLANK([1]!ScoutingData[[#This Row],[matchLevel]]),"",[1]!ScoutingData[[#This Row],[matchLevel]])</f>
        <v/>
      </c>
      <c r="C666" t="str">
        <f>IF(ISBLANK([1]!ScoutingData[[#This Row],[matchNumber]]),"",[1]!ScoutingData[[#This Row],[matchNumber]])</f>
        <v/>
      </c>
      <c r="D666" t="str">
        <f>IF(ISBLANK([1]!ScoutingData[[#This Row],[event]]),"",[1]!ScoutingData[[#This Row],[event]])</f>
        <v/>
      </c>
      <c r="E666" t="str">
        <f>IF(ISBLANK([1]!ScoutingData[[#This Row],[position]]),"",[1]!ScoutingData[[#This Row],[position]])</f>
        <v/>
      </c>
      <c r="F666" t="str">
        <f>IF(ISBLANK([1]!ScoutingData[[#This Row],[leaveStartingZone]]),"",[1]!ScoutingData[[#This Row],[leaveStartingZone]])</f>
        <v/>
      </c>
      <c r="G666" t="str">
        <f>IF(ISBLANK([1]!ScoutingData[[#This Row],[autoAmpScore]]),"",[1]!ScoutingData[[#This Row],[autoAmpScore]])</f>
        <v/>
      </c>
      <c r="H666" t="str">
        <f>IF(ISBLANK([1]!ScoutingData[[#This Row],[autoSpeakerScore]]),"",[1]!ScoutingData[[#This Row],[autoSpeakerScore]])</f>
        <v/>
      </c>
    </row>
    <row r="667" spans="1:8" x14ac:dyDescent="0.45">
      <c r="A667" t="str">
        <f>IF(ISBLANK([1]!ScoutingData[[#This Row],[teamNumber]]),"",[1]!ScoutingData[[#This Row],[teamNumber]])</f>
        <v/>
      </c>
      <c r="B667" t="str">
        <f>IF(ISBLANK([1]!ScoutingData[[#This Row],[matchLevel]]),"",[1]!ScoutingData[[#This Row],[matchLevel]])</f>
        <v/>
      </c>
      <c r="C667" t="str">
        <f>IF(ISBLANK([1]!ScoutingData[[#This Row],[matchNumber]]),"",[1]!ScoutingData[[#This Row],[matchNumber]])</f>
        <v/>
      </c>
      <c r="D667" t="str">
        <f>IF(ISBLANK([1]!ScoutingData[[#This Row],[event]]),"",[1]!ScoutingData[[#This Row],[event]])</f>
        <v/>
      </c>
      <c r="E667" t="str">
        <f>IF(ISBLANK([1]!ScoutingData[[#This Row],[position]]),"",[1]!ScoutingData[[#This Row],[position]])</f>
        <v/>
      </c>
      <c r="F667" t="str">
        <f>IF(ISBLANK([1]!ScoutingData[[#This Row],[leaveStartingZone]]),"",[1]!ScoutingData[[#This Row],[leaveStartingZone]])</f>
        <v/>
      </c>
      <c r="G667" t="str">
        <f>IF(ISBLANK([1]!ScoutingData[[#This Row],[autoAmpScore]]),"",[1]!ScoutingData[[#This Row],[autoAmpScore]])</f>
        <v/>
      </c>
      <c r="H667" t="str">
        <f>IF(ISBLANK([1]!ScoutingData[[#This Row],[autoSpeakerScore]]),"",[1]!ScoutingData[[#This Row],[autoSpeakerScore]])</f>
        <v/>
      </c>
    </row>
    <row r="668" spans="1:8" x14ac:dyDescent="0.45">
      <c r="A668" t="str">
        <f>IF(ISBLANK([1]!ScoutingData[[#This Row],[teamNumber]]),"",[1]!ScoutingData[[#This Row],[teamNumber]])</f>
        <v/>
      </c>
      <c r="B668" t="str">
        <f>IF(ISBLANK([1]!ScoutingData[[#This Row],[matchLevel]]),"",[1]!ScoutingData[[#This Row],[matchLevel]])</f>
        <v/>
      </c>
      <c r="C668" t="str">
        <f>IF(ISBLANK([1]!ScoutingData[[#This Row],[matchNumber]]),"",[1]!ScoutingData[[#This Row],[matchNumber]])</f>
        <v/>
      </c>
      <c r="D668" t="str">
        <f>IF(ISBLANK([1]!ScoutingData[[#This Row],[event]]),"",[1]!ScoutingData[[#This Row],[event]])</f>
        <v/>
      </c>
      <c r="E668" t="str">
        <f>IF(ISBLANK([1]!ScoutingData[[#This Row],[position]]),"",[1]!ScoutingData[[#This Row],[position]])</f>
        <v/>
      </c>
      <c r="F668" t="str">
        <f>IF(ISBLANK([1]!ScoutingData[[#This Row],[leaveStartingZone]]),"",[1]!ScoutingData[[#This Row],[leaveStartingZone]])</f>
        <v/>
      </c>
      <c r="G668" t="str">
        <f>IF(ISBLANK([1]!ScoutingData[[#This Row],[autoAmpScore]]),"",[1]!ScoutingData[[#This Row],[autoAmpScore]])</f>
        <v/>
      </c>
      <c r="H668" t="str">
        <f>IF(ISBLANK([1]!ScoutingData[[#This Row],[autoSpeakerScore]]),"",[1]!ScoutingData[[#This Row],[autoSpeakerScore]])</f>
        <v/>
      </c>
    </row>
    <row r="669" spans="1:8" x14ac:dyDescent="0.45">
      <c r="A669" t="str">
        <f>IF(ISBLANK([1]!ScoutingData[[#This Row],[teamNumber]]),"",[1]!ScoutingData[[#This Row],[teamNumber]])</f>
        <v/>
      </c>
      <c r="B669" t="str">
        <f>IF(ISBLANK([1]!ScoutingData[[#This Row],[matchLevel]]),"",[1]!ScoutingData[[#This Row],[matchLevel]])</f>
        <v/>
      </c>
      <c r="C669" t="str">
        <f>IF(ISBLANK([1]!ScoutingData[[#This Row],[matchNumber]]),"",[1]!ScoutingData[[#This Row],[matchNumber]])</f>
        <v/>
      </c>
      <c r="D669" t="str">
        <f>IF(ISBLANK([1]!ScoutingData[[#This Row],[event]]),"",[1]!ScoutingData[[#This Row],[event]])</f>
        <v/>
      </c>
      <c r="E669" t="str">
        <f>IF(ISBLANK([1]!ScoutingData[[#This Row],[position]]),"",[1]!ScoutingData[[#This Row],[position]])</f>
        <v/>
      </c>
      <c r="F669" t="str">
        <f>IF(ISBLANK([1]!ScoutingData[[#This Row],[leaveStartingZone]]),"",[1]!ScoutingData[[#This Row],[leaveStartingZone]])</f>
        <v/>
      </c>
      <c r="G669" t="str">
        <f>IF(ISBLANK([1]!ScoutingData[[#This Row],[autoAmpScore]]),"",[1]!ScoutingData[[#This Row],[autoAmpScore]])</f>
        <v/>
      </c>
      <c r="H669" t="str">
        <f>IF(ISBLANK([1]!ScoutingData[[#This Row],[autoSpeakerScore]]),"",[1]!ScoutingData[[#This Row],[autoSpeakerScore]])</f>
        <v/>
      </c>
    </row>
    <row r="670" spans="1:8" x14ac:dyDescent="0.45">
      <c r="A670" t="str">
        <f>IF(ISBLANK([1]!ScoutingData[[#This Row],[teamNumber]]),"",[1]!ScoutingData[[#This Row],[teamNumber]])</f>
        <v/>
      </c>
      <c r="B670" t="str">
        <f>IF(ISBLANK([1]!ScoutingData[[#This Row],[matchLevel]]),"",[1]!ScoutingData[[#This Row],[matchLevel]])</f>
        <v/>
      </c>
      <c r="C670" t="str">
        <f>IF(ISBLANK([1]!ScoutingData[[#This Row],[matchNumber]]),"",[1]!ScoutingData[[#This Row],[matchNumber]])</f>
        <v/>
      </c>
      <c r="D670" t="str">
        <f>IF(ISBLANK([1]!ScoutingData[[#This Row],[event]]),"",[1]!ScoutingData[[#This Row],[event]])</f>
        <v/>
      </c>
      <c r="E670" t="str">
        <f>IF(ISBLANK([1]!ScoutingData[[#This Row],[position]]),"",[1]!ScoutingData[[#This Row],[position]])</f>
        <v/>
      </c>
      <c r="F670" t="str">
        <f>IF(ISBLANK([1]!ScoutingData[[#This Row],[leaveStartingZone]]),"",[1]!ScoutingData[[#This Row],[leaveStartingZone]])</f>
        <v/>
      </c>
      <c r="G670" t="str">
        <f>IF(ISBLANK([1]!ScoutingData[[#This Row],[autoAmpScore]]),"",[1]!ScoutingData[[#This Row],[autoAmpScore]])</f>
        <v/>
      </c>
      <c r="H670" t="str">
        <f>IF(ISBLANK([1]!ScoutingData[[#This Row],[autoSpeakerScore]]),"",[1]!ScoutingData[[#This Row],[autoSpeakerScore]])</f>
        <v/>
      </c>
    </row>
    <row r="671" spans="1:8" x14ac:dyDescent="0.45">
      <c r="A671" t="str">
        <f>IF(ISBLANK([1]!ScoutingData[[#This Row],[teamNumber]]),"",[1]!ScoutingData[[#This Row],[teamNumber]])</f>
        <v/>
      </c>
      <c r="B671" t="str">
        <f>IF(ISBLANK([1]!ScoutingData[[#This Row],[matchLevel]]),"",[1]!ScoutingData[[#This Row],[matchLevel]])</f>
        <v/>
      </c>
      <c r="C671" t="str">
        <f>IF(ISBLANK([1]!ScoutingData[[#This Row],[matchNumber]]),"",[1]!ScoutingData[[#This Row],[matchNumber]])</f>
        <v/>
      </c>
      <c r="D671" t="str">
        <f>IF(ISBLANK([1]!ScoutingData[[#This Row],[event]]),"",[1]!ScoutingData[[#This Row],[event]])</f>
        <v/>
      </c>
      <c r="E671" t="str">
        <f>IF(ISBLANK([1]!ScoutingData[[#This Row],[position]]),"",[1]!ScoutingData[[#This Row],[position]])</f>
        <v/>
      </c>
      <c r="F671" t="str">
        <f>IF(ISBLANK([1]!ScoutingData[[#This Row],[leaveStartingZone]]),"",[1]!ScoutingData[[#This Row],[leaveStartingZone]])</f>
        <v/>
      </c>
      <c r="G671" t="str">
        <f>IF(ISBLANK([1]!ScoutingData[[#This Row],[autoAmpScore]]),"",[1]!ScoutingData[[#This Row],[autoAmpScore]])</f>
        <v/>
      </c>
      <c r="H671" t="str">
        <f>IF(ISBLANK([1]!ScoutingData[[#This Row],[autoSpeakerScore]]),"",[1]!ScoutingData[[#This Row],[autoSpeakerScore]])</f>
        <v/>
      </c>
    </row>
    <row r="672" spans="1:8" x14ac:dyDescent="0.45">
      <c r="A672" t="str">
        <f>IF(ISBLANK([1]!ScoutingData[[#This Row],[teamNumber]]),"",[1]!ScoutingData[[#This Row],[teamNumber]])</f>
        <v/>
      </c>
      <c r="B672" t="str">
        <f>IF(ISBLANK([1]!ScoutingData[[#This Row],[matchLevel]]),"",[1]!ScoutingData[[#This Row],[matchLevel]])</f>
        <v/>
      </c>
      <c r="C672" t="str">
        <f>IF(ISBLANK([1]!ScoutingData[[#This Row],[matchNumber]]),"",[1]!ScoutingData[[#This Row],[matchNumber]])</f>
        <v/>
      </c>
      <c r="D672" t="str">
        <f>IF(ISBLANK([1]!ScoutingData[[#This Row],[event]]),"",[1]!ScoutingData[[#This Row],[event]])</f>
        <v/>
      </c>
      <c r="E672" t="str">
        <f>IF(ISBLANK([1]!ScoutingData[[#This Row],[position]]),"",[1]!ScoutingData[[#This Row],[position]])</f>
        <v/>
      </c>
      <c r="F672" t="str">
        <f>IF(ISBLANK([1]!ScoutingData[[#This Row],[leaveStartingZone]]),"",[1]!ScoutingData[[#This Row],[leaveStartingZone]])</f>
        <v/>
      </c>
      <c r="G672" t="str">
        <f>IF(ISBLANK([1]!ScoutingData[[#This Row],[autoAmpScore]]),"",[1]!ScoutingData[[#This Row],[autoAmpScore]])</f>
        <v/>
      </c>
      <c r="H672" t="str">
        <f>IF(ISBLANK([1]!ScoutingData[[#This Row],[autoSpeakerScore]]),"",[1]!ScoutingData[[#This Row],[autoSpeakerScore]])</f>
        <v/>
      </c>
    </row>
    <row r="673" spans="1:8" x14ac:dyDescent="0.45">
      <c r="A673" t="str">
        <f>IF(ISBLANK([1]!ScoutingData[[#This Row],[teamNumber]]),"",[1]!ScoutingData[[#This Row],[teamNumber]])</f>
        <v/>
      </c>
      <c r="B673" t="str">
        <f>IF(ISBLANK([1]!ScoutingData[[#This Row],[matchLevel]]),"",[1]!ScoutingData[[#This Row],[matchLevel]])</f>
        <v/>
      </c>
      <c r="C673" t="str">
        <f>IF(ISBLANK([1]!ScoutingData[[#This Row],[matchNumber]]),"",[1]!ScoutingData[[#This Row],[matchNumber]])</f>
        <v/>
      </c>
      <c r="D673" t="str">
        <f>IF(ISBLANK([1]!ScoutingData[[#This Row],[event]]),"",[1]!ScoutingData[[#This Row],[event]])</f>
        <v/>
      </c>
      <c r="E673" t="str">
        <f>IF(ISBLANK([1]!ScoutingData[[#This Row],[position]]),"",[1]!ScoutingData[[#This Row],[position]])</f>
        <v/>
      </c>
      <c r="F673" t="str">
        <f>IF(ISBLANK([1]!ScoutingData[[#This Row],[leaveStartingZone]]),"",[1]!ScoutingData[[#This Row],[leaveStartingZone]])</f>
        <v/>
      </c>
      <c r="G673" t="str">
        <f>IF(ISBLANK([1]!ScoutingData[[#This Row],[autoAmpScore]]),"",[1]!ScoutingData[[#This Row],[autoAmpScore]])</f>
        <v/>
      </c>
      <c r="H673" t="str">
        <f>IF(ISBLANK([1]!ScoutingData[[#This Row],[autoSpeakerScore]]),"",[1]!ScoutingData[[#This Row],[autoSpeakerScore]])</f>
        <v/>
      </c>
    </row>
    <row r="674" spans="1:8" x14ac:dyDescent="0.45">
      <c r="A674" t="str">
        <f>IF(ISBLANK([1]!ScoutingData[[#This Row],[teamNumber]]),"",[1]!ScoutingData[[#This Row],[teamNumber]])</f>
        <v/>
      </c>
      <c r="B674" t="str">
        <f>IF(ISBLANK([1]!ScoutingData[[#This Row],[matchLevel]]),"",[1]!ScoutingData[[#This Row],[matchLevel]])</f>
        <v/>
      </c>
      <c r="C674" t="str">
        <f>IF(ISBLANK([1]!ScoutingData[[#This Row],[matchNumber]]),"",[1]!ScoutingData[[#This Row],[matchNumber]])</f>
        <v/>
      </c>
      <c r="D674" t="str">
        <f>IF(ISBLANK([1]!ScoutingData[[#This Row],[event]]),"",[1]!ScoutingData[[#This Row],[event]])</f>
        <v/>
      </c>
      <c r="E674" t="str">
        <f>IF(ISBLANK([1]!ScoutingData[[#This Row],[position]]),"",[1]!ScoutingData[[#This Row],[position]])</f>
        <v/>
      </c>
      <c r="F674" t="str">
        <f>IF(ISBLANK([1]!ScoutingData[[#This Row],[leaveStartingZone]]),"",[1]!ScoutingData[[#This Row],[leaveStartingZone]])</f>
        <v/>
      </c>
      <c r="G674" t="str">
        <f>IF(ISBLANK([1]!ScoutingData[[#This Row],[autoAmpScore]]),"",[1]!ScoutingData[[#This Row],[autoAmpScore]])</f>
        <v/>
      </c>
      <c r="H674" t="str">
        <f>IF(ISBLANK([1]!ScoutingData[[#This Row],[autoSpeakerScore]]),"",[1]!ScoutingData[[#This Row],[autoSpeakerScore]])</f>
        <v/>
      </c>
    </row>
    <row r="675" spans="1:8" x14ac:dyDescent="0.45">
      <c r="A675" t="str">
        <f>IF(ISBLANK([1]!ScoutingData[[#This Row],[teamNumber]]),"",[1]!ScoutingData[[#This Row],[teamNumber]])</f>
        <v/>
      </c>
      <c r="B675" t="str">
        <f>IF(ISBLANK([1]!ScoutingData[[#This Row],[matchLevel]]),"",[1]!ScoutingData[[#This Row],[matchLevel]])</f>
        <v/>
      </c>
      <c r="C675" t="str">
        <f>IF(ISBLANK([1]!ScoutingData[[#This Row],[matchNumber]]),"",[1]!ScoutingData[[#This Row],[matchNumber]])</f>
        <v/>
      </c>
      <c r="D675" t="str">
        <f>IF(ISBLANK([1]!ScoutingData[[#This Row],[event]]),"",[1]!ScoutingData[[#This Row],[event]])</f>
        <v/>
      </c>
      <c r="E675" t="str">
        <f>IF(ISBLANK([1]!ScoutingData[[#This Row],[position]]),"",[1]!ScoutingData[[#This Row],[position]])</f>
        <v/>
      </c>
      <c r="F675" t="str">
        <f>IF(ISBLANK([1]!ScoutingData[[#This Row],[leaveStartingZone]]),"",[1]!ScoutingData[[#This Row],[leaveStartingZone]])</f>
        <v/>
      </c>
      <c r="G675" t="str">
        <f>IF(ISBLANK([1]!ScoutingData[[#This Row],[autoAmpScore]]),"",[1]!ScoutingData[[#This Row],[autoAmpScore]])</f>
        <v/>
      </c>
      <c r="H675" t="str">
        <f>IF(ISBLANK([1]!ScoutingData[[#This Row],[autoSpeakerScore]]),"",[1]!ScoutingData[[#This Row],[autoSpeakerScore]])</f>
        <v/>
      </c>
    </row>
    <row r="676" spans="1:8" x14ac:dyDescent="0.45">
      <c r="A676" t="str">
        <f>IF(ISBLANK([1]!ScoutingData[[#This Row],[teamNumber]]),"",[1]!ScoutingData[[#This Row],[teamNumber]])</f>
        <v/>
      </c>
      <c r="B676" t="str">
        <f>IF(ISBLANK([1]!ScoutingData[[#This Row],[matchLevel]]),"",[1]!ScoutingData[[#This Row],[matchLevel]])</f>
        <v/>
      </c>
      <c r="C676" t="str">
        <f>IF(ISBLANK([1]!ScoutingData[[#This Row],[matchNumber]]),"",[1]!ScoutingData[[#This Row],[matchNumber]])</f>
        <v/>
      </c>
      <c r="D676" t="str">
        <f>IF(ISBLANK([1]!ScoutingData[[#This Row],[event]]),"",[1]!ScoutingData[[#This Row],[event]])</f>
        <v/>
      </c>
      <c r="E676" t="str">
        <f>IF(ISBLANK([1]!ScoutingData[[#This Row],[position]]),"",[1]!ScoutingData[[#This Row],[position]])</f>
        <v/>
      </c>
      <c r="F676" t="str">
        <f>IF(ISBLANK([1]!ScoutingData[[#This Row],[leaveStartingZone]]),"",[1]!ScoutingData[[#This Row],[leaveStartingZone]])</f>
        <v/>
      </c>
      <c r="G676" t="str">
        <f>IF(ISBLANK([1]!ScoutingData[[#This Row],[autoAmpScore]]),"",[1]!ScoutingData[[#This Row],[autoAmpScore]])</f>
        <v/>
      </c>
      <c r="H676" t="str">
        <f>IF(ISBLANK([1]!ScoutingData[[#This Row],[autoSpeakerScore]]),"",[1]!ScoutingData[[#This Row],[autoSpeakerScore]])</f>
        <v/>
      </c>
    </row>
    <row r="677" spans="1:8" x14ac:dyDescent="0.45">
      <c r="A677" t="str">
        <f>IF(ISBLANK([1]!ScoutingData[[#This Row],[teamNumber]]),"",[1]!ScoutingData[[#This Row],[teamNumber]])</f>
        <v/>
      </c>
      <c r="B677" t="str">
        <f>IF(ISBLANK([1]!ScoutingData[[#This Row],[matchLevel]]),"",[1]!ScoutingData[[#This Row],[matchLevel]])</f>
        <v/>
      </c>
      <c r="C677" t="str">
        <f>IF(ISBLANK([1]!ScoutingData[[#This Row],[matchNumber]]),"",[1]!ScoutingData[[#This Row],[matchNumber]])</f>
        <v/>
      </c>
      <c r="D677" t="str">
        <f>IF(ISBLANK([1]!ScoutingData[[#This Row],[event]]),"",[1]!ScoutingData[[#This Row],[event]])</f>
        <v/>
      </c>
      <c r="E677" t="str">
        <f>IF(ISBLANK([1]!ScoutingData[[#This Row],[position]]),"",[1]!ScoutingData[[#This Row],[position]])</f>
        <v/>
      </c>
      <c r="F677" t="str">
        <f>IF(ISBLANK([1]!ScoutingData[[#This Row],[leaveStartingZone]]),"",[1]!ScoutingData[[#This Row],[leaveStartingZone]])</f>
        <v/>
      </c>
      <c r="G677" t="str">
        <f>IF(ISBLANK([1]!ScoutingData[[#This Row],[autoAmpScore]]),"",[1]!ScoutingData[[#This Row],[autoAmpScore]])</f>
        <v/>
      </c>
      <c r="H677" t="str">
        <f>IF(ISBLANK([1]!ScoutingData[[#This Row],[autoSpeakerScore]]),"",[1]!ScoutingData[[#This Row],[autoSpeakerScore]])</f>
        <v/>
      </c>
    </row>
    <row r="678" spans="1:8" x14ac:dyDescent="0.45">
      <c r="A678" t="str">
        <f>IF(ISBLANK([1]!ScoutingData[[#This Row],[teamNumber]]),"",[1]!ScoutingData[[#This Row],[teamNumber]])</f>
        <v/>
      </c>
      <c r="B678" t="str">
        <f>IF(ISBLANK([1]!ScoutingData[[#This Row],[matchLevel]]),"",[1]!ScoutingData[[#This Row],[matchLevel]])</f>
        <v/>
      </c>
      <c r="C678" t="str">
        <f>IF(ISBLANK([1]!ScoutingData[[#This Row],[matchNumber]]),"",[1]!ScoutingData[[#This Row],[matchNumber]])</f>
        <v/>
      </c>
      <c r="D678" t="str">
        <f>IF(ISBLANK([1]!ScoutingData[[#This Row],[event]]),"",[1]!ScoutingData[[#This Row],[event]])</f>
        <v/>
      </c>
      <c r="E678" t="str">
        <f>IF(ISBLANK([1]!ScoutingData[[#This Row],[position]]),"",[1]!ScoutingData[[#This Row],[position]])</f>
        <v/>
      </c>
      <c r="F678" t="str">
        <f>IF(ISBLANK([1]!ScoutingData[[#This Row],[leaveStartingZone]]),"",[1]!ScoutingData[[#This Row],[leaveStartingZone]])</f>
        <v/>
      </c>
      <c r="G678" t="str">
        <f>IF(ISBLANK([1]!ScoutingData[[#This Row],[autoAmpScore]]),"",[1]!ScoutingData[[#This Row],[autoAmpScore]])</f>
        <v/>
      </c>
      <c r="H678" t="str">
        <f>IF(ISBLANK([1]!ScoutingData[[#This Row],[autoSpeakerScore]]),"",[1]!ScoutingData[[#This Row],[autoSpeakerScore]])</f>
        <v/>
      </c>
    </row>
    <row r="679" spans="1:8" x14ac:dyDescent="0.45">
      <c r="A679" t="str">
        <f>IF(ISBLANK([1]!ScoutingData[[#This Row],[teamNumber]]),"",[1]!ScoutingData[[#This Row],[teamNumber]])</f>
        <v/>
      </c>
      <c r="B679" t="str">
        <f>IF(ISBLANK([1]!ScoutingData[[#This Row],[matchLevel]]),"",[1]!ScoutingData[[#This Row],[matchLevel]])</f>
        <v/>
      </c>
      <c r="C679" t="str">
        <f>IF(ISBLANK([1]!ScoutingData[[#This Row],[matchNumber]]),"",[1]!ScoutingData[[#This Row],[matchNumber]])</f>
        <v/>
      </c>
      <c r="D679" t="str">
        <f>IF(ISBLANK([1]!ScoutingData[[#This Row],[event]]),"",[1]!ScoutingData[[#This Row],[event]])</f>
        <v/>
      </c>
      <c r="E679" t="str">
        <f>IF(ISBLANK([1]!ScoutingData[[#This Row],[position]]),"",[1]!ScoutingData[[#This Row],[position]])</f>
        <v/>
      </c>
      <c r="F679" t="str">
        <f>IF(ISBLANK([1]!ScoutingData[[#This Row],[leaveStartingZone]]),"",[1]!ScoutingData[[#This Row],[leaveStartingZone]])</f>
        <v/>
      </c>
      <c r="G679" t="str">
        <f>IF(ISBLANK([1]!ScoutingData[[#This Row],[autoAmpScore]]),"",[1]!ScoutingData[[#This Row],[autoAmpScore]])</f>
        <v/>
      </c>
      <c r="H679" t="str">
        <f>IF(ISBLANK([1]!ScoutingData[[#This Row],[autoSpeakerScore]]),"",[1]!ScoutingData[[#This Row],[autoSpeakerScore]])</f>
        <v/>
      </c>
    </row>
    <row r="680" spans="1:8" x14ac:dyDescent="0.45">
      <c r="A680" t="str">
        <f>IF(ISBLANK([1]!ScoutingData[[#This Row],[teamNumber]]),"",[1]!ScoutingData[[#This Row],[teamNumber]])</f>
        <v/>
      </c>
      <c r="B680" t="str">
        <f>IF(ISBLANK([1]!ScoutingData[[#This Row],[matchLevel]]),"",[1]!ScoutingData[[#This Row],[matchLevel]])</f>
        <v/>
      </c>
      <c r="C680" t="str">
        <f>IF(ISBLANK([1]!ScoutingData[[#This Row],[matchNumber]]),"",[1]!ScoutingData[[#This Row],[matchNumber]])</f>
        <v/>
      </c>
      <c r="D680" t="str">
        <f>IF(ISBLANK([1]!ScoutingData[[#This Row],[event]]),"",[1]!ScoutingData[[#This Row],[event]])</f>
        <v/>
      </c>
      <c r="E680" t="str">
        <f>IF(ISBLANK([1]!ScoutingData[[#This Row],[position]]),"",[1]!ScoutingData[[#This Row],[position]])</f>
        <v/>
      </c>
      <c r="F680" t="str">
        <f>IF(ISBLANK([1]!ScoutingData[[#This Row],[leaveStartingZone]]),"",[1]!ScoutingData[[#This Row],[leaveStartingZone]])</f>
        <v/>
      </c>
      <c r="G680" t="str">
        <f>IF(ISBLANK([1]!ScoutingData[[#This Row],[autoAmpScore]]),"",[1]!ScoutingData[[#This Row],[autoAmpScore]])</f>
        <v/>
      </c>
      <c r="H680" t="str">
        <f>IF(ISBLANK([1]!ScoutingData[[#This Row],[autoSpeakerScore]]),"",[1]!ScoutingData[[#This Row],[autoSpeakerScore]])</f>
        <v/>
      </c>
    </row>
    <row r="681" spans="1:8" x14ac:dyDescent="0.45">
      <c r="A681" t="str">
        <f>IF(ISBLANK([1]!ScoutingData[[#This Row],[teamNumber]]),"",[1]!ScoutingData[[#This Row],[teamNumber]])</f>
        <v/>
      </c>
      <c r="B681" t="str">
        <f>IF(ISBLANK([1]!ScoutingData[[#This Row],[matchLevel]]),"",[1]!ScoutingData[[#This Row],[matchLevel]])</f>
        <v/>
      </c>
      <c r="C681" t="str">
        <f>IF(ISBLANK([1]!ScoutingData[[#This Row],[matchNumber]]),"",[1]!ScoutingData[[#This Row],[matchNumber]])</f>
        <v/>
      </c>
      <c r="D681" t="str">
        <f>IF(ISBLANK([1]!ScoutingData[[#This Row],[event]]),"",[1]!ScoutingData[[#This Row],[event]])</f>
        <v/>
      </c>
      <c r="E681" t="str">
        <f>IF(ISBLANK([1]!ScoutingData[[#This Row],[position]]),"",[1]!ScoutingData[[#This Row],[position]])</f>
        <v/>
      </c>
      <c r="F681" t="str">
        <f>IF(ISBLANK([1]!ScoutingData[[#This Row],[leaveStartingZone]]),"",[1]!ScoutingData[[#This Row],[leaveStartingZone]])</f>
        <v/>
      </c>
      <c r="G681" t="str">
        <f>IF(ISBLANK([1]!ScoutingData[[#This Row],[autoAmpScore]]),"",[1]!ScoutingData[[#This Row],[autoAmpScore]])</f>
        <v/>
      </c>
      <c r="H681" t="str">
        <f>IF(ISBLANK([1]!ScoutingData[[#This Row],[autoSpeakerScore]]),"",[1]!ScoutingData[[#This Row],[autoSpeakerScore]])</f>
        <v/>
      </c>
    </row>
    <row r="682" spans="1:8" x14ac:dyDescent="0.45">
      <c r="A682" t="str">
        <f>IF(ISBLANK([1]!ScoutingData[[#This Row],[teamNumber]]),"",[1]!ScoutingData[[#This Row],[teamNumber]])</f>
        <v/>
      </c>
      <c r="B682" t="str">
        <f>IF(ISBLANK([1]!ScoutingData[[#This Row],[matchLevel]]),"",[1]!ScoutingData[[#This Row],[matchLevel]])</f>
        <v/>
      </c>
      <c r="C682" t="str">
        <f>IF(ISBLANK([1]!ScoutingData[[#This Row],[matchNumber]]),"",[1]!ScoutingData[[#This Row],[matchNumber]])</f>
        <v/>
      </c>
      <c r="D682" t="str">
        <f>IF(ISBLANK([1]!ScoutingData[[#This Row],[event]]),"",[1]!ScoutingData[[#This Row],[event]])</f>
        <v/>
      </c>
      <c r="E682" t="str">
        <f>IF(ISBLANK([1]!ScoutingData[[#This Row],[position]]),"",[1]!ScoutingData[[#This Row],[position]])</f>
        <v/>
      </c>
      <c r="F682" t="str">
        <f>IF(ISBLANK([1]!ScoutingData[[#This Row],[leaveStartingZone]]),"",[1]!ScoutingData[[#This Row],[leaveStartingZone]])</f>
        <v/>
      </c>
      <c r="G682" t="str">
        <f>IF(ISBLANK([1]!ScoutingData[[#This Row],[autoAmpScore]]),"",[1]!ScoutingData[[#This Row],[autoAmpScore]])</f>
        <v/>
      </c>
      <c r="H682" t="str">
        <f>IF(ISBLANK([1]!ScoutingData[[#This Row],[autoSpeakerScore]]),"",[1]!ScoutingData[[#This Row],[autoSpeakerScore]])</f>
        <v/>
      </c>
    </row>
    <row r="683" spans="1:8" x14ac:dyDescent="0.45">
      <c r="A683" t="str">
        <f>IF(ISBLANK([1]!ScoutingData[[#This Row],[teamNumber]]),"",[1]!ScoutingData[[#This Row],[teamNumber]])</f>
        <v/>
      </c>
      <c r="B683" t="str">
        <f>IF(ISBLANK([1]!ScoutingData[[#This Row],[matchLevel]]),"",[1]!ScoutingData[[#This Row],[matchLevel]])</f>
        <v/>
      </c>
      <c r="C683" t="str">
        <f>IF(ISBLANK([1]!ScoutingData[[#This Row],[matchNumber]]),"",[1]!ScoutingData[[#This Row],[matchNumber]])</f>
        <v/>
      </c>
      <c r="D683" t="str">
        <f>IF(ISBLANK([1]!ScoutingData[[#This Row],[event]]),"",[1]!ScoutingData[[#This Row],[event]])</f>
        <v/>
      </c>
      <c r="E683" t="str">
        <f>IF(ISBLANK([1]!ScoutingData[[#This Row],[position]]),"",[1]!ScoutingData[[#This Row],[position]])</f>
        <v/>
      </c>
      <c r="F683" t="str">
        <f>IF(ISBLANK([1]!ScoutingData[[#This Row],[leaveStartingZone]]),"",[1]!ScoutingData[[#This Row],[leaveStartingZone]])</f>
        <v/>
      </c>
      <c r="G683" t="str">
        <f>IF(ISBLANK([1]!ScoutingData[[#This Row],[autoAmpScore]]),"",[1]!ScoutingData[[#This Row],[autoAmpScore]])</f>
        <v/>
      </c>
      <c r="H683" t="str">
        <f>IF(ISBLANK([1]!ScoutingData[[#This Row],[autoSpeakerScore]]),"",[1]!ScoutingData[[#This Row],[autoSpeakerScore]])</f>
        <v/>
      </c>
    </row>
    <row r="684" spans="1:8" x14ac:dyDescent="0.45">
      <c r="A684" t="str">
        <f>IF(ISBLANK([1]!ScoutingData[[#This Row],[teamNumber]]),"",[1]!ScoutingData[[#This Row],[teamNumber]])</f>
        <v/>
      </c>
      <c r="B684" t="str">
        <f>IF(ISBLANK([1]!ScoutingData[[#This Row],[matchLevel]]),"",[1]!ScoutingData[[#This Row],[matchLevel]])</f>
        <v/>
      </c>
      <c r="C684" t="str">
        <f>IF(ISBLANK([1]!ScoutingData[[#This Row],[matchNumber]]),"",[1]!ScoutingData[[#This Row],[matchNumber]])</f>
        <v/>
      </c>
      <c r="D684" t="str">
        <f>IF(ISBLANK([1]!ScoutingData[[#This Row],[event]]),"",[1]!ScoutingData[[#This Row],[event]])</f>
        <v/>
      </c>
      <c r="E684" t="str">
        <f>IF(ISBLANK([1]!ScoutingData[[#This Row],[position]]),"",[1]!ScoutingData[[#This Row],[position]])</f>
        <v/>
      </c>
      <c r="F684" t="str">
        <f>IF(ISBLANK([1]!ScoutingData[[#This Row],[leaveStartingZone]]),"",[1]!ScoutingData[[#This Row],[leaveStartingZone]])</f>
        <v/>
      </c>
      <c r="G684" t="str">
        <f>IF(ISBLANK([1]!ScoutingData[[#This Row],[autoAmpScore]]),"",[1]!ScoutingData[[#This Row],[autoAmpScore]])</f>
        <v/>
      </c>
      <c r="H684" t="str">
        <f>IF(ISBLANK([1]!ScoutingData[[#This Row],[autoSpeakerScore]]),"",[1]!ScoutingData[[#This Row],[autoSpeakerScore]])</f>
        <v/>
      </c>
    </row>
    <row r="685" spans="1:8" x14ac:dyDescent="0.45">
      <c r="A685" t="str">
        <f>IF(ISBLANK([1]!ScoutingData[[#This Row],[teamNumber]]),"",[1]!ScoutingData[[#This Row],[teamNumber]])</f>
        <v/>
      </c>
      <c r="B685" t="str">
        <f>IF(ISBLANK([1]!ScoutingData[[#This Row],[matchLevel]]),"",[1]!ScoutingData[[#This Row],[matchLevel]])</f>
        <v/>
      </c>
      <c r="C685" t="str">
        <f>IF(ISBLANK([1]!ScoutingData[[#This Row],[matchNumber]]),"",[1]!ScoutingData[[#This Row],[matchNumber]])</f>
        <v/>
      </c>
      <c r="D685" t="str">
        <f>IF(ISBLANK([1]!ScoutingData[[#This Row],[event]]),"",[1]!ScoutingData[[#This Row],[event]])</f>
        <v/>
      </c>
      <c r="E685" t="str">
        <f>IF(ISBLANK([1]!ScoutingData[[#This Row],[position]]),"",[1]!ScoutingData[[#This Row],[position]])</f>
        <v/>
      </c>
      <c r="F685" t="str">
        <f>IF(ISBLANK([1]!ScoutingData[[#This Row],[leaveStartingZone]]),"",[1]!ScoutingData[[#This Row],[leaveStartingZone]])</f>
        <v/>
      </c>
      <c r="G685" t="str">
        <f>IF(ISBLANK([1]!ScoutingData[[#This Row],[autoAmpScore]]),"",[1]!ScoutingData[[#This Row],[autoAmpScore]])</f>
        <v/>
      </c>
      <c r="H685" t="str">
        <f>IF(ISBLANK([1]!ScoutingData[[#This Row],[autoSpeakerScore]]),"",[1]!ScoutingData[[#This Row],[autoSpeakerScore]])</f>
        <v/>
      </c>
    </row>
    <row r="686" spans="1:8" x14ac:dyDescent="0.45">
      <c r="A686" t="str">
        <f>IF(ISBLANK([1]!ScoutingData[[#This Row],[teamNumber]]),"",[1]!ScoutingData[[#This Row],[teamNumber]])</f>
        <v/>
      </c>
      <c r="B686" t="str">
        <f>IF(ISBLANK([1]!ScoutingData[[#This Row],[matchLevel]]),"",[1]!ScoutingData[[#This Row],[matchLevel]])</f>
        <v/>
      </c>
      <c r="C686" t="str">
        <f>IF(ISBLANK([1]!ScoutingData[[#This Row],[matchNumber]]),"",[1]!ScoutingData[[#This Row],[matchNumber]])</f>
        <v/>
      </c>
      <c r="D686" t="str">
        <f>IF(ISBLANK([1]!ScoutingData[[#This Row],[event]]),"",[1]!ScoutingData[[#This Row],[event]])</f>
        <v/>
      </c>
      <c r="E686" t="str">
        <f>IF(ISBLANK([1]!ScoutingData[[#This Row],[position]]),"",[1]!ScoutingData[[#This Row],[position]])</f>
        <v/>
      </c>
      <c r="F686" t="str">
        <f>IF(ISBLANK([1]!ScoutingData[[#This Row],[leaveStartingZone]]),"",[1]!ScoutingData[[#This Row],[leaveStartingZone]])</f>
        <v/>
      </c>
      <c r="G686" t="str">
        <f>IF(ISBLANK([1]!ScoutingData[[#This Row],[autoAmpScore]]),"",[1]!ScoutingData[[#This Row],[autoAmpScore]])</f>
        <v/>
      </c>
      <c r="H686" t="str">
        <f>IF(ISBLANK([1]!ScoutingData[[#This Row],[autoSpeakerScore]]),"",[1]!ScoutingData[[#This Row],[autoSpeakerScore]])</f>
        <v/>
      </c>
    </row>
    <row r="687" spans="1:8" x14ac:dyDescent="0.45">
      <c r="A687" t="str">
        <f>IF(ISBLANK([1]!ScoutingData[[#This Row],[teamNumber]]),"",[1]!ScoutingData[[#This Row],[teamNumber]])</f>
        <v/>
      </c>
      <c r="B687" t="str">
        <f>IF(ISBLANK([1]!ScoutingData[[#This Row],[matchLevel]]),"",[1]!ScoutingData[[#This Row],[matchLevel]])</f>
        <v/>
      </c>
      <c r="C687" t="str">
        <f>IF(ISBLANK([1]!ScoutingData[[#This Row],[matchNumber]]),"",[1]!ScoutingData[[#This Row],[matchNumber]])</f>
        <v/>
      </c>
      <c r="D687" t="str">
        <f>IF(ISBLANK([1]!ScoutingData[[#This Row],[event]]),"",[1]!ScoutingData[[#This Row],[event]])</f>
        <v/>
      </c>
      <c r="E687" t="str">
        <f>IF(ISBLANK([1]!ScoutingData[[#This Row],[position]]),"",[1]!ScoutingData[[#This Row],[position]])</f>
        <v/>
      </c>
      <c r="F687" t="str">
        <f>IF(ISBLANK([1]!ScoutingData[[#This Row],[leaveStartingZone]]),"",[1]!ScoutingData[[#This Row],[leaveStartingZone]])</f>
        <v/>
      </c>
      <c r="G687" t="str">
        <f>IF(ISBLANK([1]!ScoutingData[[#This Row],[autoAmpScore]]),"",[1]!ScoutingData[[#This Row],[autoAmpScore]])</f>
        <v/>
      </c>
      <c r="H687" t="str">
        <f>IF(ISBLANK([1]!ScoutingData[[#This Row],[autoSpeakerScore]]),"",[1]!ScoutingData[[#This Row],[autoSpeakerScore]])</f>
        <v/>
      </c>
    </row>
    <row r="688" spans="1:8" x14ac:dyDescent="0.45">
      <c r="A688" t="str">
        <f>IF(ISBLANK([1]!ScoutingData[[#This Row],[teamNumber]]),"",[1]!ScoutingData[[#This Row],[teamNumber]])</f>
        <v/>
      </c>
      <c r="B688" t="str">
        <f>IF(ISBLANK([1]!ScoutingData[[#This Row],[matchLevel]]),"",[1]!ScoutingData[[#This Row],[matchLevel]])</f>
        <v/>
      </c>
      <c r="C688" t="str">
        <f>IF(ISBLANK([1]!ScoutingData[[#This Row],[matchNumber]]),"",[1]!ScoutingData[[#This Row],[matchNumber]])</f>
        <v/>
      </c>
      <c r="D688" t="str">
        <f>IF(ISBLANK([1]!ScoutingData[[#This Row],[event]]),"",[1]!ScoutingData[[#This Row],[event]])</f>
        <v/>
      </c>
      <c r="E688" t="str">
        <f>IF(ISBLANK([1]!ScoutingData[[#This Row],[position]]),"",[1]!ScoutingData[[#This Row],[position]])</f>
        <v/>
      </c>
      <c r="F688" t="str">
        <f>IF(ISBLANK([1]!ScoutingData[[#This Row],[leaveStartingZone]]),"",[1]!ScoutingData[[#This Row],[leaveStartingZone]])</f>
        <v/>
      </c>
      <c r="G688" t="str">
        <f>IF(ISBLANK([1]!ScoutingData[[#This Row],[autoAmpScore]]),"",[1]!ScoutingData[[#This Row],[autoAmpScore]])</f>
        <v/>
      </c>
      <c r="H688" t="str">
        <f>IF(ISBLANK([1]!ScoutingData[[#This Row],[autoSpeakerScore]]),"",[1]!ScoutingData[[#This Row],[autoSpeakerScore]])</f>
        <v/>
      </c>
    </row>
    <row r="689" spans="1:8" x14ac:dyDescent="0.45">
      <c r="A689" t="str">
        <f>IF(ISBLANK([1]!ScoutingData[[#This Row],[teamNumber]]),"",[1]!ScoutingData[[#This Row],[teamNumber]])</f>
        <v/>
      </c>
      <c r="B689" t="str">
        <f>IF(ISBLANK([1]!ScoutingData[[#This Row],[matchLevel]]),"",[1]!ScoutingData[[#This Row],[matchLevel]])</f>
        <v/>
      </c>
      <c r="C689" t="str">
        <f>IF(ISBLANK([1]!ScoutingData[[#This Row],[matchNumber]]),"",[1]!ScoutingData[[#This Row],[matchNumber]])</f>
        <v/>
      </c>
      <c r="D689" t="str">
        <f>IF(ISBLANK([1]!ScoutingData[[#This Row],[event]]),"",[1]!ScoutingData[[#This Row],[event]])</f>
        <v/>
      </c>
      <c r="E689" t="str">
        <f>IF(ISBLANK([1]!ScoutingData[[#This Row],[position]]),"",[1]!ScoutingData[[#This Row],[position]])</f>
        <v/>
      </c>
      <c r="F689" t="str">
        <f>IF(ISBLANK([1]!ScoutingData[[#This Row],[leaveStartingZone]]),"",[1]!ScoutingData[[#This Row],[leaveStartingZone]])</f>
        <v/>
      </c>
      <c r="G689" t="str">
        <f>IF(ISBLANK([1]!ScoutingData[[#This Row],[autoAmpScore]]),"",[1]!ScoutingData[[#This Row],[autoAmpScore]])</f>
        <v/>
      </c>
      <c r="H689" t="str">
        <f>IF(ISBLANK([1]!ScoutingData[[#This Row],[autoSpeakerScore]]),"",[1]!ScoutingData[[#This Row],[autoSpeakerScore]])</f>
        <v/>
      </c>
    </row>
    <row r="690" spans="1:8" x14ac:dyDescent="0.45">
      <c r="A690" t="str">
        <f>IF(ISBLANK([1]!ScoutingData[[#This Row],[teamNumber]]),"",[1]!ScoutingData[[#This Row],[teamNumber]])</f>
        <v/>
      </c>
      <c r="B690" t="str">
        <f>IF(ISBLANK([1]!ScoutingData[[#This Row],[matchLevel]]),"",[1]!ScoutingData[[#This Row],[matchLevel]])</f>
        <v/>
      </c>
      <c r="C690" t="str">
        <f>IF(ISBLANK([1]!ScoutingData[[#This Row],[matchNumber]]),"",[1]!ScoutingData[[#This Row],[matchNumber]])</f>
        <v/>
      </c>
      <c r="D690" t="str">
        <f>IF(ISBLANK([1]!ScoutingData[[#This Row],[event]]),"",[1]!ScoutingData[[#This Row],[event]])</f>
        <v/>
      </c>
      <c r="E690" t="str">
        <f>IF(ISBLANK([1]!ScoutingData[[#This Row],[position]]),"",[1]!ScoutingData[[#This Row],[position]])</f>
        <v/>
      </c>
      <c r="F690" t="str">
        <f>IF(ISBLANK([1]!ScoutingData[[#This Row],[leaveStartingZone]]),"",[1]!ScoutingData[[#This Row],[leaveStartingZone]])</f>
        <v/>
      </c>
      <c r="G690" t="str">
        <f>IF(ISBLANK([1]!ScoutingData[[#This Row],[autoAmpScore]]),"",[1]!ScoutingData[[#This Row],[autoAmpScore]])</f>
        <v/>
      </c>
      <c r="H690" t="str">
        <f>IF(ISBLANK([1]!ScoutingData[[#This Row],[autoSpeakerScore]]),"",[1]!ScoutingData[[#This Row],[autoSpeakerScore]])</f>
        <v/>
      </c>
    </row>
    <row r="691" spans="1:8" x14ac:dyDescent="0.45">
      <c r="A691" t="str">
        <f>IF(ISBLANK([1]!ScoutingData[[#This Row],[teamNumber]]),"",[1]!ScoutingData[[#This Row],[teamNumber]])</f>
        <v/>
      </c>
      <c r="B691" t="str">
        <f>IF(ISBLANK([1]!ScoutingData[[#This Row],[matchLevel]]),"",[1]!ScoutingData[[#This Row],[matchLevel]])</f>
        <v/>
      </c>
      <c r="C691" t="str">
        <f>IF(ISBLANK([1]!ScoutingData[[#This Row],[matchNumber]]),"",[1]!ScoutingData[[#This Row],[matchNumber]])</f>
        <v/>
      </c>
      <c r="D691" t="str">
        <f>IF(ISBLANK([1]!ScoutingData[[#This Row],[event]]),"",[1]!ScoutingData[[#This Row],[event]])</f>
        <v/>
      </c>
      <c r="E691" t="str">
        <f>IF(ISBLANK([1]!ScoutingData[[#This Row],[position]]),"",[1]!ScoutingData[[#This Row],[position]])</f>
        <v/>
      </c>
      <c r="F691" t="str">
        <f>IF(ISBLANK([1]!ScoutingData[[#This Row],[leaveStartingZone]]),"",[1]!ScoutingData[[#This Row],[leaveStartingZone]])</f>
        <v/>
      </c>
      <c r="G691" t="str">
        <f>IF(ISBLANK([1]!ScoutingData[[#This Row],[autoAmpScore]]),"",[1]!ScoutingData[[#This Row],[autoAmpScore]])</f>
        <v/>
      </c>
      <c r="H691" t="str">
        <f>IF(ISBLANK([1]!ScoutingData[[#This Row],[autoSpeakerScore]]),"",[1]!ScoutingData[[#This Row],[autoSpeakerScore]])</f>
        <v/>
      </c>
    </row>
    <row r="692" spans="1:8" x14ac:dyDescent="0.45">
      <c r="A692" t="str">
        <f>IF(ISBLANK([1]!ScoutingData[[#This Row],[teamNumber]]),"",[1]!ScoutingData[[#This Row],[teamNumber]])</f>
        <v/>
      </c>
      <c r="B692" t="str">
        <f>IF(ISBLANK([1]!ScoutingData[[#This Row],[matchLevel]]),"",[1]!ScoutingData[[#This Row],[matchLevel]])</f>
        <v/>
      </c>
      <c r="C692" t="str">
        <f>IF(ISBLANK([1]!ScoutingData[[#This Row],[matchNumber]]),"",[1]!ScoutingData[[#This Row],[matchNumber]])</f>
        <v/>
      </c>
      <c r="D692" t="str">
        <f>IF(ISBLANK([1]!ScoutingData[[#This Row],[event]]),"",[1]!ScoutingData[[#This Row],[event]])</f>
        <v/>
      </c>
      <c r="E692" t="str">
        <f>IF(ISBLANK([1]!ScoutingData[[#This Row],[position]]),"",[1]!ScoutingData[[#This Row],[position]])</f>
        <v/>
      </c>
      <c r="F692" t="str">
        <f>IF(ISBLANK([1]!ScoutingData[[#This Row],[leaveStartingZone]]),"",[1]!ScoutingData[[#This Row],[leaveStartingZone]])</f>
        <v/>
      </c>
      <c r="G692" t="str">
        <f>IF(ISBLANK([1]!ScoutingData[[#This Row],[autoAmpScore]]),"",[1]!ScoutingData[[#This Row],[autoAmpScore]])</f>
        <v/>
      </c>
      <c r="H692" t="str">
        <f>IF(ISBLANK([1]!ScoutingData[[#This Row],[autoSpeakerScore]]),"",[1]!ScoutingData[[#This Row],[autoSpeakerScore]])</f>
        <v/>
      </c>
    </row>
    <row r="693" spans="1:8" x14ac:dyDescent="0.45">
      <c r="A693" t="str">
        <f>IF(ISBLANK([1]!ScoutingData[[#This Row],[teamNumber]]),"",[1]!ScoutingData[[#This Row],[teamNumber]])</f>
        <v/>
      </c>
      <c r="B693" t="str">
        <f>IF(ISBLANK([1]!ScoutingData[[#This Row],[matchLevel]]),"",[1]!ScoutingData[[#This Row],[matchLevel]])</f>
        <v/>
      </c>
      <c r="C693" t="str">
        <f>IF(ISBLANK([1]!ScoutingData[[#This Row],[matchNumber]]),"",[1]!ScoutingData[[#This Row],[matchNumber]])</f>
        <v/>
      </c>
      <c r="D693" t="str">
        <f>IF(ISBLANK([1]!ScoutingData[[#This Row],[event]]),"",[1]!ScoutingData[[#This Row],[event]])</f>
        <v/>
      </c>
      <c r="E693" t="str">
        <f>IF(ISBLANK([1]!ScoutingData[[#This Row],[position]]),"",[1]!ScoutingData[[#This Row],[position]])</f>
        <v/>
      </c>
      <c r="F693" t="str">
        <f>IF(ISBLANK([1]!ScoutingData[[#This Row],[leaveStartingZone]]),"",[1]!ScoutingData[[#This Row],[leaveStartingZone]])</f>
        <v/>
      </c>
      <c r="G693" t="str">
        <f>IF(ISBLANK([1]!ScoutingData[[#This Row],[autoAmpScore]]),"",[1]!ScoutingData[[#This Row],[autoAmpScore]])</f>
        <v/>
      </c>
      <c r="H693" t="str">
        <f>IF(ISBLANK([1]!ScoutingData[[#This Row],[autoSpeakerScore]]),"",[1]!ScoutingData[[#This Row],[autoSpeakerScore]])</f>
        <v/>
      </c>
    </row>
    <row r="694" spans="1:8" x14ac:dyDescent="0.45">
      <c r="A694" t="str">
        <f>IF(ISBLANK([1]!ScoutingData[[#This Row],[teamNumber]]),"",[1]!ScoutingData[[#This Row],[teamNumber]])</f>
        <v/>
      </c>
      <c r="B694" t="str">
        <f>IF(ISBLANK([1]!ScoutingData[[#This Row],[matchLevel]]),"",[1]!ScoutingData[[#This Row],[matchLevel]])</f>
        <v/>
      </c>
      <c r="C694" t="str">
        <f>IF(ISBLANK([1]!ScoutingData[[#This Row],[matchNumber]]),"",[1]!ScoutingData[[#This Row],[matchNumber]])</f>
        <v/>
      </c>
      <c r="D694" t="str">
        <f>IF(ISBLANK([1]!ScoutingData[[#This Row],[event]]),"",[1]!ScoutingData[[#This Row],[event]])</f>
        <v/>
      </c>
      <c r="E694" t="str">
        <f>IF(ISBLANK([1]!ScoutingData[[#This Row],[position]]),"",[1]!ScoutingData[[#This Row],[position]])</f>
        <v/>
      </c>
      <c r="F694" t="str">
        <f>IF(ISBLANK([1]!ScoutingData[[#This Row],[leaveStartingZone]]),"",[1]!ScoutingData[[#This Row],[leaveStartingZone]])</f>
        <v/>
      </c>
      <c r="G694" t="str">
        <f>IF(ISBLANK([1]!ScoutingData[[#This Row],[autoAmpScore]]),"",[1]!ScoutingData[[#This Row],[autoAmpScore]])</f>
        <v/>
      </c>
      <c r="H694" t="str">
        <f>IF(ISBLANK([1]!ScoutingData[[#This Row],[autoSpeakerScore]]),"",[1]!ScoutingData[[#This Row],[autoSpeakerScore]])</f>
        <v/>
      </c>
    </row>
    <row r="695" spans="1:8" x14ac:dyDescent="0.45">
      <c r="A695" t="str">
        <f>IF(ISBLANK([1]!ScoutingData[[#This Row],[teamNumber]]),"",[1]!ScoutingData[[#This Row],[teamNumber]])</f>
        <v/>
      </c>
      <c r="B695" t="str">
        <f>IF(ISBLANK([1]!ScoutingData[[#This Row],[matchLevel]]),"",[1]!ScoutingData[[#This Row],[matchLevel]])</f>
        <v/>
      </c>
      <c r="C695" t="str">
        <f>IF(ISBLANK([1]!ScoutingData[[#This Row],[matchNumber]]),"",[1]!ScoutingData[[#This Row],[matchNumber]])</f>
        <v/>
      </c>
      <c r="D695" t="str">
        <f>IF(ISBLANK([1]!ScoutingData[[#This Row],[event]]),"",[1]!ScoutingData[[#This Row],[event]])</f>
        <v/>
      </c>
      <c r="E695" t="str">
        <f>IF(ISBLANK([1]!ScoutingData[[#This Row],[position]]),"",[1]!ScoutingData[[#This Row],[position]])</f>
        <v/>
      </c>
      <c r="F695" t="str">
        <f>IF(ISBLANK([1]!ScoutingData[[#This Row],[leaveStartingZone]]),"",[1]!ScoutingData[[#This Row],[leaveStartingZone]])</f>
        <v/>
      </c>
      <c r="G695" t="str">
        <f>IF(ISBLANK([1]!ScoutingData[[#This Row],[autoAmpScore]]),"",[1]!ScoutingData[[#This Row],[autoAmpScore]])</f>
        <v/>
      </c>
      <c r="H695" t="str">
        <f>IF(ISBLANK([1]!ScoutingData[[#This Row],[autoSpeakerScore]]),"",[1]!ScoutingData[[#This Row],[autoSpeakerScore]])</f>
        <v/>
      </c>
    </row>
    <row r="696" spans="1:8" x14ac:dyDescent="0.45">
      <c r="A696" t="str">
        <f>IF(ISBLANK([1]!ScoutingData[[#This Row],[teamNumber]]),"",[1]!ScoutingData[[#This Row],[teamNumber]])</f>
        <v/>
      </c>
      <c r="B696" t="str">
        <f>IF(ISBLANK([1]!ScoutingData[[#This Row],[matchLevel]]),"",[1]!ScoutingData[[#This Row],[matchLevel]])</f>
        <v/>
      </c>
      <c r="C696" t="str">
        <f>IF(ISBLANK([1]!ScoutingData[[#This Row],[matchNumber]]),"",[1]!ScoutingData[[#This Row],[matchNumber]])</f>
        <v/>
      </c>
      <c r="D696" t="str">
        <f>IF(ISBLANK([1]!ScoutingData[[#This Row],[event]]),"",[1]!ScoutingData[[#This Row],[event]])</f>
        <v/>
      </c>
      <c r="E696" t="str">
        <f>IF(ISBLANK([1]!ScoutingData[[#This Row],[position]]),"",[1]!ScoutingData[[#This Row],[position]])</f>
        <v/>
      </c>
      <c r="F696" t="str">
        <f>IF(ISBLANK([1]!ScoutingData[[#This Row],[leaveStartingZone]]),"",[1]!ScoutingData[[#This Row],[leaveStartingZone]])</f>
        <v/>
      </c>
      <c r="G696" t="str">
        <f>IF(ISBLANK([1]!ScoutingData[[#This Row],[autoAmpScore]]),"",[1]!ScoutingData[[#This Row],[autoAmpScore]])</f>
        <v/>
      </c>
      <c r="H696" t="str">
        <f>IF(ISBLANK([1]!ScoutingData[[#This Row],[autoSpeakerScore]]),"",[1]!ScoutingData[[#This Row],[autoSpeakerScore]])</f>
        <v/>
      </c>
    </row>
    <row r="697" spans="1:8" x14ac:dyDescent="0.45">
      <c r="A697" t="str">
        <f>IF(ISBLANK([1]!ScoutingData[[#This Row],[teamNumber]]),"",[1]!ScoutingData[[#This Row],[teamNumber]])</f>
        <v/>
      </c>
      <c r="B697" t="str">
        <f>IF(ISBLANK([1]!ScoutingData[[#This Row],[matchLevel]]),"",[1]!ScoutingData[[#This Row],[matchLevel]])</f>
        <v/>
      </c>
      <c r="C697" t="str">
        <f>IF(ISBLANK([1]!ScoutingData[[#This Row],[matchNumber]]),"",[1]!ScoutingData[[#This Row],[matchNumber]])</f>
        <v/>
      </c>
      <c r="D697" t="str">
        <f>IF(ISBLANK([1]!ScoutingData[[#This Row],[event]]),"",[1]!ScoutingData[[#This Row],[event]])</f>
        <v/>
      </c>
      <c r="E697" t="str">
        <f>IF(ISBLANK([1]!ScoutingData[[#This Row],[position]]),"",[1]!ScoutingData[[#This Row],[position]])</f>
        <v/>
      </c>
      <c r="F697" t="str">
        <f>IF(ISBLANK([1]!ScoutingData[[#This Row],[leaveStartingZone]]),"",[1]!ScoutingData[[#This Row],[leaveStartingZone]])</f>
        <v/>
      </c>
      <c r="G697" t="str">
        <f>IF(ISBLANK([1]!ScoutingData[[#This Row],[autoAmpScore]]),"",[1]!ScoutingData[[#This Row],[autoAmpScore]])</f>
        <v/>
      </c>
      <c r="H697" t="str">
        <f>IF(ISBLANK([1]!ScoutingData[[#This Row],[autoSpeakerScore]]),"",[1]!ScoutingData[[#This Row],[autoSpeakerScore]])</f>
        <v/>
      </c>
    </row>
    <row r="698" spans="1:8" x14ac:dyDescent="0.45">
      <c r="A698" t="str">
        <f>IF(ISBLANK([1]!ScoutingData[[#This Row],[teamNumber]]),"",[1]!ScoutingData[[#This Row],[teamNumber]])</f>
        <v/>
      </c>
      <c r="B698" t="str">
        <f>IF(ISBLANK([1]!ScoutingData[[#This Row],[matchLevel]]),"",[1]!ScoutingData[[#This Row],[matchLevel]])</f>
        <v/>
      </c>
      <c r="C698" t="str">
        <f>IF(ISBLANK([1]!ScoutingData[[#This Row],[matchNumber]]),"",[1]!ScoutingData[[#This Row],[matchNumber]])</f>
        <v/>
      </c>
      <c r="D698" t="str">
        <f>IF(ISBLANK([1]!ScoutingData[[#This Row],[event]]),"",[1]!ScoutingData[[#This Row],[event]])</f>
        <v/>
      </c>
      <c r="E698" t="str">
        <f>IF(ISBLANK([1]!ScoutingData[[#This Row],[position]]),"",[1]!ScoutingData[[#This Row],[position]])</f>
        <v/>
      </c>
      <c r="F698" t="str">
        <f>IF(ISBLANK([1]!ScoutingData[[#This Row],[leaveStartingZone]]),"",[1]!ScoutingData[[#This Row],[leaveStartingZone]])</f>
        <v/>
      </c>
      <c r="G698" t="str">
        <f>IF(ISBLANK([1]!ScoutingData[[#This Row],[autoAmpScore]]),"",[1]!ScoutingData[[#This Row],[autoAmpScore]])</f>
        <v/>
      </c>
      <c r="H698" t="str">
        <f>IF(ISBLANK([1]!ScoutingData[[#This Row],[autoSpeakerScore]]),"",[1]!ScoutingData[[#This Row],[autoSpeakerScore]])</f>
        <v/>
      </c>
    </row>
    <row r="699" spans="1:8" x14ac:dyDescent="0.45">
      <c r="A699" t="str">
        <f>IF(ISBLANK([1]!ScoutingData[[#This Row],[teamNumber]]),"",[1]!ScoutingData[[#This Row],[teamNumber]])</f>
        <v/>
      </c>
      <c r="B699" t="str">
        <f>IF(ISBLANK([1]!ScoutingData[[#This Row],[matchLevel]]),"",[1]!ScoutingData[[#This Row],[matchLevel]])</f>
        <v/>
      </c>
      <c r="C699" t="str">
        <f>IF(ISBLANK([1]!ScoutingData[[#This Row],[matchNumber]]),"",[1]!ScoutingData[[#This Row],[matchNumber]])</f>
        <v/>
      </c>
      <c r="D699" t="str">
        <f>IF(ISBLANK([1]!ScoutingData[[#This Row],[event]]),"",[1]!ScoutingData[[#This Row],[event]])</f>
        <v/>
      </c>
      <c r="E699" t="str">
        <f>IF(ISBLANK([1]!ScoutingData[[#This Row],[position]]),"",[1]!ScoutingData[[#This Row],[position]])</f>
        <v/>
      </c>
      <c r="F699" t="str">
        <f>IF(ISBLANK([1]!ScoutingData[[#This Row],[leaveStartingZone]]),"",[1]!ScoutingData[[#This Row],[leaveStartingZone]])</f>
        <v/>
      </c>
      <c r="G699" t="str">
        <f>IF(ISBLANK([1]!ScoutingData[[#This Row],[autoAmpScore]]),"",[1]!ScoutingData[[#This Row],[autoAmpScore]])</f>
        <v/>
      </c>
      <c r="H699" t="str">
        <f>IF(ISBLANK([1]!ScoutingData[[#This Row],[autoSpeakerScore]]),"",[1]!ScoutingData[[#This Row],[autoSpeakerScore]])</f>
        <v/>
      </c>
    </row>
    <row r="700" spans="1:8" x14ac:dyDescent="0.45">
      <c r="A700" t="str">
        <f>IF(ISBLANK([1]!ScoutingData[[#This Row],[teamNumber]]),"",[1]!ScoutingData[[#This Row],[teamNumber]])</f>
        <v/>
      </c>
      <c r="B700" t="str">
        <f>IF(ISBLANK([1]!ScoutingData[[#This Row],[matchLevel]]),"",[1]!ScoutingData[[#This Row],[matchLevel]])</f>
        <v/>
      </c>
      <c r="C700" t="str">
        <f>IF(ISBLANK([1]!ScoutingData[[#This Row],[matchNumber]]),"",[1]!ScoutingData[[#This Row],[matchNumber]])</f>
        <v/>
      </c>
      <c r="D700" t="str">
        <f>IF(ISBLANK([1]!ScoutingData[[#This Row],[event]]),"",[1]!ScoutingData[[#This Row],[event]])</f>
        <v/>
      </c>
      <c r="E700" t="str">
        <f>IF(ISBLANK([1]!ScoutingData[[#This Row],[position]]),"",[1]!ScoutingData[[#This Row],[position]])</f>
        <v/>
      </c>
      <c r="F700" t="str">
        <f>IF(ISBLANK([1]!ScoutingData[[#This Row],[leaveStartingZone]]),"",[1]!ScoutingData[[#This Row],[leaveStartingZone]])</f>
        <v/>
      </c>
      <c r="G700" t="str">
        <f>IF(ISBLANK([1]!ScoutingData[[#This Row],[autoAmpScore]]),"",[1]!ScoutingData[[#This Row],[autoAmpScore]])</f>
        <v/>
      </c>
      <c r="H700" t="str">
        <f>IF(ISBLANK([1]!ScoutingData[[#This Row],[autoSpeakerScore]]),"",[1]!ScoutingData[[#This Row],[autoSpeakerScore]])</f>
        <v/>
      </c>
    </row>
    <row r="701" spans="1:8" x14ac:dyDescent="0.45">
      <c r="A701" t="str">
        <f>IF(ISBLANK([1]!ScoutingData[[#This Row],[teamNumber]]),"",[1]!ScoutingData[[#This Row],[teamNumber]])</f>
        <v/>
      </c>
      <c r="B701" t="str">
        <f>IF(ISBLANK([1]!ScoutingData[[#This Row],[matchLevel]]),"",[1]!ScoutingData[[#This Row],[matchLevel]])</f>
        <v/>
      </c>
      <c r="C701" t="str">
        <f>IF(ISBLANK([1]!ScoutingData[[#This Row],[matchNumber]]),"",[1]!ScoutingData[[#This Row],[matchNumber]])</f>
        <v/>
      </c>
      <c r="D701" t="str">
        <f>IF(ISBLANK([1]!ScoutingData[[#This Row],[event]]),"",[1]!ScoutingData[[#This Row],[event]])</f>
        <v/>
      </c>
      <c r="E701" t="str">
        <f>IF(ISBLANK([1]!ScoutingData[[#This Row],[position]]),"",[1]!ScoutingData[[#This Row],[position]])</f>
        <v/>
      </c>
      <c r="F701" t="str">
        <f>IF(ISBLANK([1]!ScoutingData[[#This Row],[leaveStartingZone]]),"",[1]!ScoutingData[[#This Row],[leaveStartingZone]])</f>
        <v/>
      </c>
      <c r="G701" t="str">
        <f>IF(ISBLANK([1]!ScoutingData[[#This Row],[autoAmpScore]]),"",[1]!ScoutingData[[#This Row],[autoAmpScore]])</f>
        <v/>
      </c>
      <c r="H701" t="str">
        <f>IF(ISBLANK([1]!ScoutingData[[#This Row],[autoSpeakerScore]]),"",[1]!ScoutingData[[#This Row],[autoSpeakerScore]])</f>
        <v/>
      </c>
    </row>
    <row r="702" spans="1:8" x14ac:dyDescent="0.45">
      <c r="A702" t="str">
        <f>IF(ISBLANK([1]!ScoutingData[[#This Row],[teamNumber]]),"",[1]!ScoutingData[[#This Row],[teamNumber]])</f>
        <v/>
      </c>
      <c r="B702" t="str">
        <f>IF(ISBLANK([1]!ScoutingData[[#This Row],[matchLevel]]),"",[1]!ScoutingData[[#This Row],[matchLevel]])</f>
        <v/>
      </c>
      <c r="C702" t="str">
        <f>IF(ISBLANK([1]!ScoutingData[[#This Row],[matchNumber]]),"",[1]!ScoutingData[[#This Row],[matchNumber]])</f>
        <v/>
      </c>
      <c r="D702" t="str">
        <f>IF(ISBLANK([1]!ScoutingData[[#This Row],[event]]),"",[1]!ScoutingData[[#This Row],[event]])</f>
        <v/>
      </c>
      <c r="E702" t="str">
        <f>IF(ISBLANK([1]!ScoutingData[[#This Row],[position]]),"",[1]!ScoutingData[[#This Row],[position]])</f>
        <v/>
      </c>
      <c r="F702" t="str">
        <f>IF(ISBLANK([1]!ScoutingData[[#This Row],[leaveStartingZone]]),"",[1]!ScoutingData[[#This Row],[leaveStartingZone]])</f>
        <v/>
      </c>
      <c r="G702" t="str">
        <f>IF(ISBLANK([1]!ScoutingData[[#This Row],[autoAmpScore]]),"",[1]!ScoutingData[[#This Row],[autoAmpScore]])</f>
        <v/>
      </c>
      <c r="H702" t="str">
        <f>IF(ISBLANK([1]!ScoutingData[[#This Row],[autoSpeakerScore]]),"",[1]!ScoutingData[[#This Row],[autoSpeakerScore]])</f>
        <v/>
      </c>
    </row>
    <row r="703" spans="1:8" x14ac:dyDescent="0.45">
      <c r="A703" t="str">
        <f>IF(ISBLANK([1]!ScoutingData[[#This Row],[teamNumber]]),"",[1]!ScoutingData[[#This Row],[teamNumber]])</f>
        <v/>
      </c>
      <c r="B703" t="str">
        <f>IF(ISBLANK([1]!ScoutingData[[#This Row],[matchLevel]]),"",[1]!ScoutingData[[#This Row],[matchLevel]])</f>
        <v/>
      </c>
      <c r="C703" t="str">
        <f>IF(ISBLANK([1]!ScoutingData[[#This Row],[matchNumber]]),"",[1]!ScoutingData[[#This Row],[matchNumber]])</f>
        <v/>
      </c>
      <c r="D703" t="str">
        <f>IF(ISBLANK([1]!ScoutingData[[#This Row],[event]]),"",[1]!ScoutingData[[#This Row],[event]])</f>
        <v/>
      </c>
      <c r="E703" t="str">
        <f>IF(ISBLANK([1]!ScoutingData[[#This Row],[position]]),"",[1]!ScoutingData[[#This Row],[position]])</f>
        <v/>
      </c>
      <c r="F703" t="str">
        <f>IF(ISBLANK([1]!ScoutingData[[#This Row],[leaveStartingZone]]),"",[1]!ScoutingData[[#This Row],[leaveStartingZone]])</f>
        <v/>
      </c>
      <c r="G703" t="str">
        <f>IF(ISBLANK([1]!ScoutingData[[#This Row],[autoAmpScore]]),"",[1]!ScoutingData[[#This Row],[autoAmpScore]])</f>
        <v/>
      </c>
      <c r="H703" t="str">
        <f>IF(ISBLANK([1]!ScoutingData[[#This Row],[autoSpeakerScore]]),"",[1]!ScoutingData[[#This Row],[autoSpeakerScore]])</f>
        <v/>
      </c>
    </row>
    <row r="704" spans="1:8" x14ac:dyDescent="0.45">
      <c r="A704" t="str">
        <f>IF(ISBLANK([1]!ScoutingData[[#This Row],[teamNumber]]),"",[1]!ScoutingData[[#This Row],[teamNumber]])</f>
        <v/>
      </c>
      <c r="B704" t="str">
        <f>IF(ISBLANK([1]!ScoutingData[[#This Row],[matchLevel]]),"",[1]!ScoutingData[[#This Row],[matchLevel]])</f>
        <v/>
      </c>
      <c r="C704" t="str">
        <f>IF(ISBLANK([1]!ScoutingData[[#This Row],[matchNumber]]),"",[1]!ScoutingData[[#This Row],[matchNumber]])</f>
        <v/>
      </c>
      <c r="D704" t="str">
        <f>IF(ISBLANK([1]!ScoutingData[[#This Row],[event]]),"",[1]!ScoutingData[[#This Row],[event]])</f>
        <v/>
      </c>
      <c r="E704" t="str">
        <f>IF(ISBLANK([1]!ScoutingData[[#This Row],[position]]),"",[1]!ScoutingData[[#This Row],[position]])</f>
        <v/>
      </c>
      <c r="F704" t="str">
        <f>IF(ISBLANK([1]!ScoutingData[[#This Row],[leaveStartingZone]]),"",[1]!ScoutingData[[#This Row],[leaveStartingZone]])</f>
        <v/>
      </c>
      <c r="G704" t="str">
        <f>IF(ISBLANK([1]!ScoutingData[[#This Row],[autoAmpScore]]),"",[1]!ScoutingData[[#This Row],[autoAmpScore]])</f>
        <v/>
      </c>
      <c r="H704" t="str">
        <f>IF(ISBLANK([1]!ScoutingData[[#This Row],[autoSpeakerScore]]),"",[1]!ScoutingData[[#This Row],[autoSpeakerScore]])</f>
        <v/>
      </c>
    </row>
    <row r="705" spans="1:8" x14ac:dyDescent="0.45">
      <c r="A705" t="str">
        <f>IF(ISBLANK([1]!ScoutingData[[#This Row],[teamNumber]]),"",[1]!ScoutingData[[#This Row],[teamNumber]])</f>
        <v/>
      </c>
      <c r="B705" t="str">
        <f>IF(ISBLANK([1]!ScoutingData[[#This Row],[matchLevel]]),"",[1]!ScoutingData[[#This Row],[matchLevel]])</f>
        <v/>
      </c>
      <c r="C705" t="str">
        <f>IF(ISBLANK([1]!ScoutingData[[#This Row],[matchNumber]]),"",[1]!ScoutingData[[#This Row],[matchNumber]])</f>
        <v/>
      </c>
      <c r="D705" t="str">
        <f>IF(ISBLANK([1]!ScoutingData[[#This Row],[event]]),"",[1]!ScoutingData[[#This Row],[event]])</f>
        <v/>
      </c>
      <c r="E705" t="str">
        <f>IF(ISBLANK([1]!ScoutingData[[#This Row],[position]]),"",[1]!ScoutingData[[#This Row],[position]])</f>
        <v/>
      </c>
      <c r="F705" t="str">
        <f>IF(ISBLANK([1]!ScoutingData[[#This Row],[leaveStartingZone]]),"",[1]!ScoutingData[[#This Row],[leaveStartingZone]])</f>
        <v/>
      </c>
      <c r="G705" t="str">
        <f>IF(ISBLANK([1]!ScoutingData[[#This Row],[autoAmpScore]]),"",[1]!ScoutingData[[#This Row],[autoAmpScore]])</f>
        <v/>
      </c>
      <c r="H705" t="str">
        <f>IF(ISBLANK([1]!ScoutingData[[#This Row],[autoSpeakerScore]]),"",[1]!ScoutingData[[#This Row],[autoSpeakerScore]])</f>
        <v/>
      </c>
    </row>
    <row r="706" spans="1:8" x14ac:dyDescent="0.45">
      <c r="A706" t="str">
        <f>IF(ISBLANK([1]!ScoutingData[[#This Row],[teamNumber]]),"",[1]!ScoutingData[[#This Row],[teamNumber]])</f>
        <v/>
      </c>
      <c r="B706" t="str">
        <f>IF(ISBLANK([1]!ScoutingData[[#This Row],[matchLevel]]),"",[1]!ScoutingData[[#This Row],[matchLevel]])</f>
        <v/>
      </c>
      <c r="C706" t="str">
        <f>IF(ISBLANK([1]!ScoutingData[[#This Row],[matchNumber]]),"",[1]!ScoutingData[[#This Row],[matchNumber]])</f>
        <v/>
      </c>
      <c r="D706" t="str">
        <f>IF(ISBLANK([1]!ScoutingData[[#This Row],[event]]),"",[1]!ScoutingData[[#This Row],[event]])</f>
        <v/>
      </c>
      <c r="E706" t="str">
        <f>IF(ISBLANK([1]!ScoutingData[[#This Row],[position]]),"",[1]!ScoutingData[[#This Row],[position]])</f>
        <v/>
      </c>
      <c r="F706" t="str">
        <f>IF(ISBLANK([1]!ScoutingData[[#This Row],[leaveStartingZone]]),"",[1]!ScoutingData[[#This Row],[leaveStartingZone]])</f>
        <v/>
      </c>
      <c r="G706" t="str">
        <f>IF(ISBLANK([1]!ScoutingData[[#This Row],[autoAmpScore]]),"",[1]!ScoutingData[[#This Row],[autoAmpScore]])</f>
        <v/>
      </c>
      <c r="H706" t="str">
        <f>IF(ISBLANK([1]!ScoutingData[[#This Row],[autoSpeakerScore]]),"",[1]!ScoutingData[[#This Row],[autoSpeakerScore]])</f>
        <v/>
      </c>
    </row>
    <row r="707" spans="1:8" x14ac:dyDescent="0.45">
      <c r="A707" t="str">
        <f>IF(ISBLANK([1]!ScoutingData[[#This Row],[teamNumber]]),"",[1]!ScoutingData[[#This Row],[teamNumber]])</f>
        <v/>
      </c>
      <c r="B707" t="str">
        <f>IF(ISBLANK([1]!ScoutingData[[#This Row],[matchLevel]]),"",[1]!ScoutingData[[#This Row],[matchLevel]])</f>
        <v/>
      </c>
      <c r="C707" t="str">
        <f>IF(ISBLANK([1]!ScoutingData[[#This Row],[matchNumber]]),"",[1]!ScoutingData[[#This Row],[matchNumber]])</f>
        <v/>
      </c>
      <c r="D707" t="str">
        <f>IF(ISBLANK([1]!ScoutingData[[#This Row],[event]]),"",[1]!ScoutingData[[#This Row],[event]])</f>
        <v/>
      </c>
      <c r="E707" t="str">
        <f>IF(ISBLANK([1]!ScoutingData[[#This Row],[position]]),"",[1]!ScoutingData[[#This Row],[position]])</f>
        <v/>
      </c>
      <c r="F707" t="str">
        <f>IF(ISBLANK([1]!ScoutingData[[#This Row],[leaveStartingZone]]),"",[1]!ScoutingData[[#This Row],[leaveStartingZone]])</f>
        <v/>
      </c>
      <c r="G707" t="str">
        <f>IF(ISBLANK([1]!ScoutingData[[#This Row],[autoAmpScore]]),"",[1]!ScoutingData[[#This Row],[autoAmpScore]])</f>
        <v/>
      </c>
      <c r="H707" t="str">
        <f>IF(ISBLANK([1]!ScoutingData[[#This Row],[autoSpeakerScore]]),"",[1]!ScoutingData[[#This Row],[autoSpeakerScore]])</f>
        <v/>
      </c>
    </row>
    <row r="708" spans="1:8" x14ac:dyDescent="0.45">
      <c r="A708" t="str">
        <f>IF(ISBLANK([1]!ScoutingData[[#This Row],[teamNumber]]),"",[1]!ScoutingData[[#This Row],[teamNumber]])</f>
        <v/>
      </c>
      <c r="B708" t="str">
        <f>IF(ISBLANK([1]!ScoutingData[[#This Row],[matchLevel]]),"",[1]!ScoutingData[[#This Row],[matchLevel]])</f>
        <v/>
      </c>
      <c r="C708" t="str">
        <f>IF(ISBLANK([1]!ScoutingData[[#This Row],[matchNumber]]),"",[1]!ScoutingData[[#This Row],[matchNumber]])</f>
        <v/>
      </c>
      <c r="D708" t="str">
        <f>IF(ISBLANK([1]!ScoutingData[[#This Row],[event]]),"",[1]!ScoutingData[[#This Row],[event]])</f>
        <v/>
      </c>
      <c r="E708" t="str">
        <f>IF(ISBLANK([1]!ScoutingData[[#This Row],[position]]),"",[1]!ScoutingData[[#This Row],[position]])</f>
        <v/>
      </c>
      <c r="F708" t="str">
        <f>IF(ISBLANK([1]!ScoutingData[[#This Row],[leaveStartingZone]]),"",[1]!ScoutingData[[#This Row],[leaveStartingZone]])</f>
        <v/>
      </c>
      <c r="G708" t="str">
        <f>IF(ISBLANK([1]!ScoutingData[[#This Row],[autoAmpScore]]),"",[1]!ScoutingData[[#This Row],[autoAmpScore]])</f>
        <v/>
      </c>
      <c r="H708" t="str">
        <f>IF(ISBLANK([1]!ScoutingData[[#This Row],[autoSpeakerScore]]),"",[1]!ScoutingData[[#This Row],[autoSpeakerScore]])</f>
        <v/>
      </c>
    </row>
    <row r="709" spans="1:8" x14ac:dyDescent="0.45">
      <c r="A709" t="str">
        <f>IF(ISBLANK([1]!ScoutingData[[#This Row],[teamNumber]]),"",[1]!ScoutingData[[#This Row],[teamNumber]])</f>
        <v/>
      </c>
      <c r="B709" t="str">
        <f>IF(ISBLANK([1]!ScoutingData[[#This Row],[matchLevel]]),"",[1]!ScoutingData[[#This Row],[matchLevel]])</f>
        <v/>
      </c>
      <c r="C709" t="str">
        <f>IF(ISBLANK([1]!ScoutingData[[#This Row],[matchNumber]]),"",[1]!ScoutingData[[#This Row],[matchNumber]])</f>
        <v/>
      </c>
      <c r="D709" t="str">
        <f>IF(ISBLANK([1]!ScoutingData[[#This Row],[event]]),"",[1]!ScoutingData[[#This Row],[event]])</f>
        <v/>
      </c>
      <c r="E709" t="str">
        <f>IF(ISBLANK([1]!ScoutingData[[#This Row],[position]]),"",[1]!ScoutingData[[#This Row],[position]])</f>
        <v/>
      </c>
      <c r="F709" t="str">
        <f>IF(ISBLANK([1]!ScoutingData[[#This Row],[leaveStartingZone]]),"",[1]!ScoutingData[[#This Row],[leaveStartingZone]])</f>
        <v/>
      </c>
      <c r="G709" t="str">
        <f>IF(ISBLANK([1]!ScoutingData[[#This Row],[autoAmpScore]]),"",[1]!ScoutingData[[#This Row],[autoAmpScore]])</f>
        <v/>
      </c>
      <c r="H709" t="str">
        <f>IF(ISBLANK([1]!ScoutingData[[#This Row],[autoSpeakerScore]]),"",[1]!ScoutingData[[#This Row],[autoSpeakerScore]])</f>
        <v/>
      </c>
    </row>
    <row r="710" spans="1:8" x14ac:dyDescent="0.45">
      <c r="A710" t="str">
        <f>IF(ISBLANK([1]!ScoutingData[[#This Row],[teamNumber]]),"",[1]!ScoutingData[[#This Row],[teamNumber]])</f>
        <v/>
      </c>
      <c r="B710" t="str">
        <f>IF(ISBLANK([1]!ScoutingData[[#This Row],[matchLevel]]),"",[1]!ScoutingData[[#This Row],[matchLevel]])</f>
        <v/>
      </c>
      <c r="C710" t="str">
        <f>IF(ISBLANK([1]!ScoutingData[[#This Row],[matchNumber]]),"",[1]!ScoutingData[[#This Row],[matchNumber]])</f>
        <v/>
      </c>
      <c r="D710" t="str">
        <f>IF(ISBLANK([1]!ScoutingData[[#This Row],[event]]),"",[1]!ScoutingData[[#This Row],[event]])</f>
        <v/>
      </c>
      <c r="E710" t="str">
        <f>IF(ISBLANK([1]!ScoutingData[[#This Row],[position]]),"",[1]!ScoutingData[[#This Row],[position]])</f>
        <v/>
      </c>
      <c r="F710" t="str">
        <f>IF(ISBLANK([1]!ScoutingData[[#This Row],[leaveStartingZone]]),"",[1]!ScoutingData[[#This Row],[leaveStartingZone]])</f>
        <v/>
      </c>
      <c r="G710" t="str">
        <f>IF(ISBLANK([1]!ScoutingData[[#This Row],[autoAmpScore]]),"",[1]!ScoutingData[[#This Row],[autoAmpScore]])</f>
        <v/>
      </c>
      <c r="H710" t="str">
        <f>IF(ISBLANK([1]!ScoutingData[[#This Row],[autoSpeakerScore]]),"",[1]!ScoutingData[[#This Row],[autoSpeakerScore]])</f>
        <v/>
      </c>
    </row>
    <row r="711" spans="1:8" x14ac:dyDescent="0.45">
      <c r="A711" t="str">
        <f>IF(ISBLANK([1]!ScoutingData[[#This Row],[teamNumber]]),"",[1]!ScoutingData[[#This Row],[teamNumber]])</f>
        <v/>
      </c>
      <c r="B711" t="str">
        <f>IF(ISBLANK([1]!ScoutingData[[#This Row],[matchLevel]]),"",[1]!ScoutingData[[#This Row],[matchLevel]])</f>
        <v/>
      </c>
      <c r="C711" t="str">
        <f>IF(ISBLANK([1]!ScoutingData[[#This Row],[matchNumber]]),"",[1]!ScoutingData[[#This Row],[matchNumber]])</f>
        <v/>
      </c>
      <c r="D711" t="str">
        <f>IF(ISBLANK([1]!ScoutingData[[#This Row],[event]]),"",[1]!ScoutingData[[#This Row],[event]])</f>
        <v/>
      </c>
      <c r="E711" t="str">
        <f>IF(ISBLANK([1]!ScoutingData[[#This Row],[position]]),"",[1]!ScoutingData[[#This Row],[position]])</f>
        <v/>
      </c>
      <c r="F711" t="str">
        <f>IF(ISBLANK([1]!ScoutingData[[#This Row],[leaveStartingZone]]),"",[1]!ScoutingData[[#This Row],[leaveStartingZone]])</f>
        <v/>
      </c>
      <c r="G711" t="str">
        <f>IF(ISBLANK([1]!ScoutingData[[#This Row],[autoAmpScore]]),"",[1]!ScoutingData[[#This Row],[autoAmpScore]])</f>
        <v/>
      </c>
      <c r="H711" t="str">
        <f>IF(ISBLANK([1]!ScoutingData[[#This Row],[autoSpeakerScore]]),"",[1]!ScoutingData[[#This Row],[autoSpeakerScore]])</f>
        <v/>
      </c>
    </row>
    <row r="712" spans="1:8" x14ac:dyDescent="0.45">
      <c r="A712" t="str">
        <f>IF(ISBLANK([1]!ScoutingData[[#This Row],[teamNumber]]),"",[1]!ScoutingData[[#This Row],[teamNumber]])</f>
        <v/>
      </c>
      <c r="B712" t="str">
        <f>IF(ISBLANK([1]!ScoutingData[[#This Row],[matchLevel]]),"",[1]!ScoutingData[[#This Row],[matchLevel]])</f>
        <v/>
      </c>
      <c r="C712" t="str">
        <f>IF(ISBLANK([1]!ScoutingData[[#This Row],[matchNumber]]),"",[1]!ScoutingData[[#This Row],[matchNumber]])</f>
        <v/>
      </c>
      <c r="D712" t="str">
        <f>IF(ISBLANK([1]!ScoutingData[[#This Row],[event]]),"",[1]!ScoutingData[[#This Row],[event]])</f>
        <v/>
      </c>
      <c r="E712" t="str">
        <f>IF(ISBLANK([1]!ScoutingData[[#This Row],[position]]),"",[1]!ScoutingData[[#This Row],[position]])</f>
        <v/>
      </c>
      <c r="F712" t="str">
        <f>IF(ISBLANK([1]!ScoutingData[[#This Row],[leaveStartingZone]]),"",[1]!ScoutingData[[#This Row],[leaveStartingZone]])</f>
        <v/>
      </c>
      <c r="G712" t="str">
        <f>IF(ISBLANK([1]!ScoutingData[[#This Row],[autoAmpScore]]),"",[1]!ScoutingData[[#This Row],[autoAmpScore]])</f>
        <v/>
      </c>
      <c r="H712" t="str">
        <f>IF(ISBLANK([1]!ScoutingData[[#This Row],[autoSpeakerScore]]),"",[1]!ScoutingData[[#This Row],[autoSpeakerScore]])</f>
        <v/>
      </c>
    </row>
    <row r="713" spans="1:8" x14ac:dyDescent="0.45">
      <c r="A713" t="str">
        <f>IF(ISBLANK([1]!ScoutingData[[#This Row],[teamNumber]]),"",[1]!ScoutingData[[#This Row],[teamNumber]])</f>
        <v/>
      </c>
      <c r="B713" t="str">
        <f>IF(ISBLANK([1]!ScoutingData[[#This Row],[matchLevel]]),"",[1]!ScoutingData[[#This Row],[matchLevel]])</f>
        <v/>
      </c>
      <c r="C713" t="str">
        <f>IF(ISBLANK([1]!ScoutingData[[#This Row],[matchNumber]]),"",[1]!ScoutingData[[#This Row],[matchNumber]])</f>
        <v/>
      </c>
      <c r="D713" t="str">
        <f>IF(ISBLANK([1]!ScoutingData[[#This Row],[event]]),"",[1]!ScoutingData[[#This Row],[event]])</f>
        <v/>
      </c>
      <c r="E713" t="str">
        <f>IF(ISBLANK([1]!ScoutingData[[#This Row],[position]]),"",[1]!ScoutingData[[#This Row],[position]])</f>
        <v/>
      </c>
      <c r="F713" t="str">
        <f>IF(ISBLANK([1]!ScoutingData[[#This Row],[leaveStartingZone]]),"",[1]!ScoutingData[[#This Row],[leaveStartingZone]])</f>
        <v/>
      </c>
      <c r="G713" t="str">
        <f>IF(ISBLANK([1]!ScoutingData[[#This Row],[autoAmpScore]]),"",[1]!ScoutingData[[#This Row],[autoAmpScore]])</f>
        <v/>
      </c>
      <c r="H713" t="str">
        <f>IF(ISBLANK([1]!ScoutingData[[#This Row],[autoSpeakerScore]]),"",[1]!ScoutingData[[#This Row],[autoSpeakerScore]])</f>
        <v/>
      </c>
    </row>
    <row r="714" spans="1:8" x14ac:dyDescent="0.45">
      <c r="A714" t="str">
        <f>IF(ISBLANK([1]!ScoutingData[[#This Row],[teamNumber]]),"",[1]!ScoutingData[[#This Row],[teamNumber]])</f>
        <v/>
      </c>
      <c r="B714" t="str">
        <f>IF(ISBLANK([1]!ScoutingData[[#This Row],[matchLevel]]),"",[1]!ScoutingData[[#This Row],[matchLevel]])</f>
        <v/>
      </c>
      <c r="C714" t="str">
        <f>IF(ISBLANK([1]!ScoutingData[[#This Row],[matchNumber]]),"",[1]!ScoutingData[[#This Row],[matchNumber]])</f>
        <v/>
      </c>
      <c r="D714" t="str">
        <f>IF(ISBLANK([1]!ScoutingData[[#This Row],[event]]),"",[1]!ScoutingData[[#This Row],[event]])</f>
        <v/>
      </c>
      <c r="E714" t="str">
        <f>IF(ISBLANK([1]!ScoutingData[[#This Row],[position]]),"",[1]!ScoutingData[[#This Row],[position]])</f>
        <v/>
      </c>
      <c r="F714" t="str">
        <f>IF(ISBLANK([1]!ScoutingData[[#This Row],[leaveStartingZone]]),"",[1]!ScoutingData[[#This Row],[leaveStartingZone]])</f>
        <v/>
      </c>
      <c r="G714" t="str">
        <f>IF(ISBLANK([1]!ScoutingData[[#This Row],[autoAmpScore]]),"",[1]!ScoutingData[[#This Row],[autoAmpScore]])</f>
        <v/>
      </c>
      <c r="H714" t="str">
        <f>IF(ISBLANK([1]!ScoutingData[[#This Row],[autoSpeakerScore]]),"",[1]!ScoutingData[[#This Row],[autoSpeakerScore]])</f>
        <v/>
      </c>
    </row>
    <row r="715" spans="1:8" x14ac:dyDescent="0.45">
      <c r="A715" t="str">
        <f>IF(ISBLANK([1]!ScoutingData[[#This Row],[teamNumber]]),"",[1]!ScoutingData[[#This Row],[teamNumber]])</f>
        <v/>
      </c>
      <c r="B715" t="str">
        <f>IF(ISBLANK([1]!ScoutingData[[#This Row],[matchLevel]]),"",[1]!ScoutingData[[#This Row],[matchLevel]])</f>
        <v/>
      </c>
      <c r="C715" t="str">
        <f>IF(ISBLANK([1]!ScoutingData[[#This Row],[matchNumber]]),"",[1]!ScoutingData[[#This Row],[matchNumber]])</f>
        <v/>
      </c>
      <c r="D715" t="str">
        <f>IF(ISBLANK([1]!ScoutingData[[#This Row],[event]]),"",[1]!ScoutingData[[#This Row],[event]])</f>
        <v/>
      </c>
      <c r="E715" t="str">
        <f>IF(ISBLANK([1]!ScoutingData[[#This Row],[position]]),"",[1]!ScoutingData[[#This Row],[position]])</f>
        <v/>
      </c>
      <c r="F715" t="str">
        <f>IF(ISBLANK([1]!ScoutingData[[#This Row],[leaveStartingZone]]),"",[1]!ScoutingData[[#This Row],[leaveStartingZone]])</f>
        <v/>
      </c>
      <c r="G715" t="str">
        <f>IF(ISBLANK([1]!ScoutingData[[#This Row],[autoAmpScore]]),"",[1]!ScoutingData[[#This Row],[autoAmpScore]])</f>
        <v/>
      </c>
      <c r="H715" t="str">
        <f>IF(ISBLANK([1]!ScoutingData[[#This Row],[autoSpeakerScore]]),"",[1]!ScoutingData[[#This Row],[autoSpeakerScore]])</f>
        <v/>
      </c>
    </row>
    <row r="716" spans="1:8" x14ac:dyDescent="0.45">
      <c r="A716" t="str">
        <f>IF(ISBLANK([1]!ScoutingData[[#This Row],[teamNumber]]),"",[1]!ScoutingData[[#This Row],[teamNumber]])</f>
        <v/>
      </c>
      <c r="B716" t="str">
        <f>IF(ISBLANK([1]!ScoutingData[[#This Row],[matchLevel]]),"",[1]!ScoutingData[[#This Row],[matchLevel]])</f>
        <v/>
      </c>
      <c r="C716" t="str">
        <f>IF(ISBLANK([1]!ScoutingData[[#This Row],[matchNumber]]),"",[1]!ScoutingData[[#This Row],[matchNumber]])</f>
        <v/>
      </c>
      <c r="D716" t="str">
        <f>IF(ISBLANK([1]!ScoutingData[[#This Row],[event]]),"",[1]!ScoutingData[[#This Row],[event]])</f>
        <v/>
      </c>
      <c r="E716" t="str">
        <f>IF(ISBLANK([1]!ScoutingData[[#This Row],[position]]),"",[1]!ScoutingData[[#This Row],[position]])</f>
        <v/>
      </c>
      <c r="F716" t="str">
        <f>IF(ISBLANK([1]!ScoutingData[[#This Row],[leaveStartingZone]]),"",[1]!ScoutingData[[#This Row],[leaveStartingZone]])</f>
        <v/>
      </c>
      <c r="G716" t="str">
        <f>IF(ISBLANK([1]!ScoutingData[[#This Row],[autoAmpScore]]),"",[1]!ScoutingData[[#This Row],[autoAmpScore]])</f>
        <v/>
      </c>
      <c r="H716" t="str">
        <f>IF(ISBLANK([1]!ScoutingData[[#This Row],[autoSpeakerScore]]),"",[1]!ScoutingData[[#This Row],[autoSpeakerScore]])</f>
        <v/>
      </c>
    </row>
    <row r="717" spans="1:8" x14ac:dyDescent="0.45">
      <c r="A717" t="str">
        <f>IF(ISBLANK([1]!ScoutingData[[#This Row],[teamNumber]]),"",[1]!ScoutingData[[#This Row],[teamNumber]])</f>
        <v/>
      </c>
      <c r="B717" t="str">
        <f>IF(ISBLANK([1]!ScoutingData[[#This Row],[matchLevel]]),"",[1]!ScoutingData[[#This Row],[matchLevel]])</f>
        <v/>
      </c>
      <c r="C717" t="str">
        <f>IF(ISBLANK([1]!ScoutingData[[#This Row],[matchNumber]]),"",[1]!ScoutingData[[#This Row],[matchNumber]])</f>
        <v/>
      </c>
      <c r="D717" t="str">
        <f>IF(ISBLANK([1]!ScoutingData[[#This Row],[event]]),"",[1]!ScoutingData[[#This Row],[event]])</f>
        <v/>
      </c>
      <c r="E717" t="str">
        <f>IF(ISBLANK([1]!ScoutingData[[#This Row],[position]]),"",[1]!ScoutingData[[#This Row],[position]])</f>
        <v/>
      </c>
      <c r="F717" t="str">
        <f>IF(ISBLANK([1]!ScoutingData[[#This Row],[leaveStartingZone]]),"",[1]!ScoutingData[[#This Row],[leaveStartingZone]])</f>
        <v/>
      </c>
      <c r="G717" t="str">
        <f>IF(ISBLANK([1]!ScoutingData[[#This Row],[autoAmpScore]]),"",[1]!ScoutingData[[#This Row],[autoAmpScore]])</f>
        <v/>
      </c>
      <c r="H717" t="str">
        <f>IF(ISBLANK([1]!ScoutingData[[#This Row],[autoSpeakerScore]]),"",[1]!ScoutingData[[#This Row],[autoSpeakerScore]])</f>
        <v/>
      </c>
    </row>
    <row r="718" spans="1:8" x14ac:dyDescent="0.45">
      <c r="A718" t="str">
        <f>IF(ISBLANK([1]!ScoutingData[[#This Row],[teamNumber]]),"",[1]!ScoutingData[[#This Row],[teamNumber]])</f>
        <v/>
      </c>
      <c r="B718" t="str">
        <f>IF(ISBLANK([1]!ScoutingData[[#This Row],[matchLevel]]),"",[1]!ScoutingData[[#This Row],[matchLevel]])</f>
        <v/>
      </c>
      <c r="C718" t="str">
        <f>IF(ISBLANK([1]!ScoutingData[[#This Row],[matchNumber]]),"",[1]!ScoutingData[[#This Row],[matchNumber]])</f>
        <v/>
      </c>
      <c r="D718" t="str">
        <f>IF(ISBLANK([1]!ScoutingData[[#This Row],[event]]),"",[1]!ScoutingData[[#This Row],[event]])</f>
        <v/>
      </c>
      <c r="E718" t="str">
        <f>IF(ISBLANK([1]!ScoutingData[[#This Row],[position]]),"",[1]!ScoutingData[[#This Row],[position]])</f>
        <v/>
      </c>
      <c r="F718" t="str">
        <f>IF(ISBLANK([1]!ScoutingData[[#This Row],[leaveStartingZone]]),"",[1]!ScoutingData[[#This Row],[leaveStartingZone]])</f>
        <v/>
      </c>
      <c r="G718" t="str">
        <f>IF(ISBLANK([1]!ScoutingData[[#This Row],[autoAmpScore]]),"",[1]!ScoutingData[[#This Row],[autoAmpScore]])</f>
        <v/>
      </c>
      <c r="H718" t="str">
        <f>IF(ISBLANK([1]!ScoutingData[[#This Row],[autoSpeakerScore]]),"",[1]!ScoutingData[[#This Row],[autoSpeakerScore]])</f>
        <v/>
      </c>
    </row>
    <row r="719" spans="1:8" x14ac:dyDescent="0.45">
      <c r="A719" t="str">
        <f>IF(ISBLANK([1]!ScoutingData[[#This Row],[teamNumber]]),"",[1]!ScoutingData[[#This Row],[teamNumber]])</f>
        <v/>
      </c>
      <c r="B719" t="str">
        <f>IF(ISBLANK([1]!ScoutingData[[#This Row],[matchLevel]]),"",[1]!ScoutingData[[#This Row],[matchLevel]])</f>
        <v/>
      </c>
      <c r="C719" t="str">
        <f>IF(ISBLANK([1]!ScoutingData[[#This Row],[matchNumber]]),"",[1]!ScoutingData[[#This Row],[matchNumber]])</f>
        <v/>
      </c>
      <c r="D719" t="str">
        <f>IF(ISBLANK([1]!ScoutingData[[#This Row],[event]]),"",[1]!ScoutingData[[#This Row],[event]])</f>
        <v/>
      </c>
      <c r="E719" t="str">
        <f>IF(ISBLANK([1]!ScoutingData[[#This Row],[position]]),"",[1]!ScoutingData[[#This Row],[position]])</f>
        <v/>
      </c>
      <c r="F719" t="str">
        <f>IF(ISBLANK([1]!ScoutingData[[#This Row],[leaveStartingZone]]),"",[1]!ScoutingData[[#This Row],[leaveStartingZone]])</f>
        <v/>
      </c>
      <c r="G719" t="str">
        <f>IF(ISBLANK([1]!ScoutingData[[#This Row],[autoAmpScore]]),"",[1]!ScoutingData[[#This Row],[autoAmpScore]])</f>
        <v/>
      </c>
      <c r="H719" t="str">
        <f>IF(ISBLANK([1]!ScoutingData[[#This Row],[autoSpeakerScore]]),"",[1]!ScoutingData[[#This Row],[autoSpeakerScore]])</f>
        <v/>
      </c>
    </row>
    <row r="720" spans="1:8" x14ac:dyDescent="0.45">
      <c r="A720" t="str">
        <f>IF(ISBLANK([1]!ScoutingData[[#This Row],[teamNumber]]),"",[1]!ScoutingData[[#This Row],[teamNumber]])</f>
        <v/>
      </c>
      <c r="B720" t="str">
        <f>IF(ISBLANK([1]!ScoutingData[[#This Row],[matchLevel]]),"",[1]!ScoutingData[[#This Row],[matchLevel]])</f>
        <v/>
      </c>
      <c r="C720" t="str">
        <f>IF(ISBLANK([1]!ScoutingData[[#This Row],[matchNumber]]),"",[1]!ScoutingData[[#This Row],[matchNumber]])</f>
        <v/>
      </c>
      <c r="D720" t="str">
        <f>IF(ISBLANK([1]!ScoutingData[[#This Row],[event]]),"",[1]!ScoutingData[[#This Row],[event]])</f>
        <v/>
      </c>
      <c r="E720" t="str">
        <f>IF(ISBLANK([1]!ScoutingData[[#This Row],[position]]),"",[1]!ScoutingData[[#This Row],[position]])</f>
        <v/>
      </c>
      <c r="F720" t="str">
        <f>IF(ISBLANK([1]!ScoutingData[[#This Row],[leaveStartingZone]]),"",[1]!ScoutingData[[#This Row],[leaveStartingZone]])</f>
        <v/>
      </c>
      <c r="G720" t="str">
        <f>IF(ISBLANK([1]!ScoutingData[[#This Row],[autoAmpScore]]),"",[1]!ScoutingData[[#This Row],[autoAmpScore]])</f>
        <v/>
      </c>
      <c r="H720" t="str">
        <f>IF(ISBLANK([1]!ScoutingData[[#This Row],[autoSpeakerScore]]),"",[1]!ScoutingData[[#This Row],[autoSpeakerScore]])</f>
        <v/>
      </c>
    </row>
    <row r="721" spans="1:8" x14ac:dyDescent="0.45">
      <c r="A721" t="str">
        <f>IF(ISBLANK([1]!ScoutingData[[#This Row],[teamNumber]]),"",[1]!ScoutingData[[#This Row],[teamNumber]])</f>
        <v/>
      </c>
      <c r="B721" t="str">
        <f>IF(ISBLANK([1]!ScoutingData[[#This Row],[matchLevel]]),"",[1]!ScoutingData[[#This Row],[matchLevel]])</f>
        <v/>
      </c>
      <c r="C721" t="str">
        <f>IF(ISBLANK([1]!ScoutingData[[#This Row],[matchNumber]]),"",[1]!ScoutingData[[#This Row],[matchNumber]])</f>
        <v/>
      </c>
      <c r="D721" t="str">
        <f>IF(ISBLANK([1]!ScoutingData[[#This Row],[event]]),"",[1]!ScoutingData[[#This Row],[event]])</f>
        <v/>
      </c>
      <c r="E721" t="str">
        <f>IF(ISBLANK([1]!ScoutingData[[#This Row],[position]]),"",[1]!ScoutingData[[#This Row],[position]])</f>
        <v/>
      </c>
      <c r="F721" t="str">
        <f>IF(ISBLANK([1]!ScoutingData[[#This Row],[leaveStartingZone]]),"",[1]!ScoutingData[[#This Row],[leaveStartingZone]])</f>
        <v/>
      </c>
      <c r="G721" t="str">
        <f>IF(ISBLANK([1]!ScoutingData[[#This Row],[autoAmpScore]]),"",[1]!ScoutingData[[#This Row],[autoAmpScore]])</f>
        <v/>
      </c>
      <c r="H721" t="str">
        <f>IF(ISBLANK([1]!ScoutingData[[#This Row],[autoSpeakerScore]]),"",[1]!ScoutingData[[#This Row],[autoSpeakerScore]])</f>
        <v/>
      </c>
    </row>
    <row r="722" spans="1:8" x14ac:dyDescent="0.45">
      <c r="A722" t="str">
        <f>IF(ISBLANK([1]!ScoutingData[[#This Row],[teamNumber]]),"",[1]!ScoutingData[[#This Row],[teamNumber]])</f>
        <v/>
      </c>
      <c r="B722" t="str">
        <f>IF(ISBLANK([1]!ScoutingData[[#This Row],[matchLevel]]),"",[1]!ScoutingData[[#This Row],[matchLevel]])</f>
        <v/>
      </c>
      <c r="C722" t="str">
        <f>IF(ISBLANK([1]!ScoutingData[[#This Row],[matchNumber]]),"",[1]!ScoutingData[[#This Row],[matchNumber]])</f>
        <v/>
      </c>
      <c r="D722" t="str">
        <f>IF(ISBLANK([1]!ScoutingData[[#This Row],[event]]),"",[1]!ScoutingData[[#This Row],[event]])</f>
        <v/>
      </c>
      <c r="E722" t="str">
        <f>IF(ISBLANK([1]!ScoutingData[[#This Row],[position]]),"",[1]!ScoutingData[[#This Row],[position]])</f>
        <v/>
      </c>
      <c r="F722" t="str">
        <f>IF(ISBLANK([1]!ScoutingData[[#This Row],[leaveStartingZone]]),"",[1]!ScoutingData[[#This Row],[leaveStartingZone]])</f>
        <v/>
      </c>
      <c r="G722" t="str">
        <f>IF(ISBLANK([1]!ScoutingData[[#This Row],[autoAmpScore]]),"",[1]!ScoutingData[[#This Row],[autoAmpScore]])</f>
        <v/>
      </c>
      <c r="H722" t="str">
        <f>IF(ISBLANK([1]!ScoutingData[[#This Row],[autoSpeakerScore]]),"",[1]!ScoutingData[[#This Row],[autoSpeakerScore]])</f>
        <v/>
      </c>
    </row>
    <row r="723" spans="1:8" x14ac:dyDescent="0.45">
      <c r="A723" t="str">
        <f>IF(ISBLANK([1]!ScoutingData[[#This Row],[teamNumber]]),"",[1]!ScoutingData[[#This Row],[teamNumber]])</f>
        <v/>
      </c>
      <c r="B723" t="str">
        <f>IF(ISBLANK([1]!ScoutingData[[#This Row],[matchLevel]]),"",[1]!ScoutingData[[#This Row],[matchLevel]])</f>
        <v/>
      </c>
      <c r="C723" t="str">
        <f>IF(ISBLANK([1]!ScoutingData[[#This Row],[matchNumber]]),"",[1]!ScoutingData[[#This Row],[matchNumber]])</f>
        <v/>
      </c>
      <c r="D723" t="str">
        <f>IF(ISBLANK([1]!ScoutingData[[#This Row],[event]]),"",[1]!ScoutingData[[#This Row],[event]])</f>
        <v/>
      </c>
      <c r="E723" t="str">
        <f>IF(ISBLANK([1]!ScoutingData[[#This Row],[position]]),"",[1]!ScoutingData[[#This Row],[position]])</f>
        <v/>
      </c>
      <c r="F723" t="str">
        <f>IF(ISBLANK([1]!ScoutingData[[#This Row],[leaveStartingZone]]),"",[1]!ScoutingData[[#This Row],[leaveStartingZone]])</f>
        <v/>
      </c>
      <c r="G723" t="str">
        <f>IF(ISBLANK([1]!ScoutingData[[#This Row],[autoAmpScore]]),"",[1]!ScoutingData[[#This Row],[autoAmpScore]])</f>
        <v/>
      </c>
      <c r="H723" t="str">
        <f>IF(ISBLANK([1]!ScoutingData[[#This Row],[autoSpeakerScore]]),"",[1]!ScoutingData[[#This Row],[autoSpeakerScore]])</f>
        <v/>
      </c>
    </row>
    <row r="724" spans="1:8" x14ac:dyDescent="0.45">
      <c r="A724" t="str">
        <f>IF(ISBLANK([1]!ScoutingData[[#This Row],[teamNumber]]),"",[1]!ScoutingData[[#This Row],[teamNumber]])</f>
        <v/>
      </c>
      <c r="B724" t="str">
        <f>IF(ISBLANK([1]!ScoutingData[[#This Row],[matchLevel]]),"",[1]!ScoutingData[[#This Row],[matchLevel]])</f>
        <v/>
      </c>
      <c r="C724" t="str">
        <f>IF(ISBLANK([1]!ScoutingData[[#This Row],[matchNumber]]),"",[1]!ScoutingData[[#This Row],[matchNumber]])</f>
        <v/>
      </c>
      <c r="D724" t="str">
        <f>IF(ISBLANK([1]!ScoutingData[[#This Row],[event]]),"",[1]!ScoutingData[[#This Row],[event]])</f>
        <v/>
      </c>
      <c r="E724" t="str">
        <f>IF(ISBLANK([1]!ScoutingData[[#This Row],[position]]),"",[1]!ScoutingData[[#This Row],[position]])</f>
        <v/>
      </c>
      <c r="F724" t="str">
        <f>IF(ISBLANK([1]!ScoutingData[[#This Row],[leaveStartingZone]]),"",[1]!ScoutingData[[#This Row],[leaveStartingZone]])</f>
        <v/>
      </c>
      <c r="G724" t="str">
        <f>IF(ISBLANK([1]!ScoutingData[[#This Row],[autoAmpScore]]),"",[1]!ScoutingData[[#This Row],[autoAmpScore]])</f>
        <v/>
      </c>
      <c r="H724" t="str">
        <f>IF(ISBLANK([1]!ScoutingData[[#This Row],[autoSpeakerScore]]),"",[1]!ScoutingData[[#This Row],[autoSpeakerScore]])</f>
        <v/>
      </c>
    </row>
    <row r="725" spans="1:8" x14ac:dyDescent="0.45">
      <c r="A725" t="str">
        <f>IF(ISBLANK([1]!ScoutingData[[#This Row],[teamNumber]]),"",[1]!ScoutingData[[#This Row],[teamNumber]])</f>
        <v/>
      </c>
      <c r="B725" t="str">
        <f>IF(ISBLANK([1]!ScoutingData[[#This Row],[matchLevel]]),"",[1]!ScoutingData[[#This Row],[matchLevel]])</f>
        <v/>
      </c>
      <c r="C725" t="str">
        <f>IF(ISBLANK([1]!ScoutingData[[#This Row],[matchNumber]]),"",[1]!ScoutingData[[#This Row],[matchNumber]])</f>
        <v/>
      </c>
      <c r="D725" t="str">
        <f>IF(ISBLANK([1]!ScoutingData[[#This Row],[event]]),"",[1]!ScoutingData[[#This Row],[event]])</f>
        <v/>
      </c>
      <c r="E725" t="str">
        <f>IF(ISBLANK([1]!ScoutingData[[#This Row],[position]]),"",[1]!ScoutingData[[#This Row],[position]])</f>
        <v/>
      </c>
      <c r="F725" t="str">
        <f>IF(ISBLANK([1]!ScoutingData[[#This Row],[leaveStartingZone]]),"",[1]!ScoutingData[[#This Row],[leaveStartingZone]])</f>
        <v/>
      </c>
      <c r="G725" t="str">
        <f>IF(ISBLANK([1]!ScoutingData[[#This Row],[autoAmpScore]]),"",[1]!ScoutingData[[#This Row],[autoAmpScore]])</f>
        <v/>
      </c>
      <c r="H725" t="str">
        <f>IF(ISBLANK([1]!ScoutingData[[#This Row],[autoSpeakerScore]]),"",[1]!ScoutingData[[#This Row],[autoSpeakerScore]])</f>
        <v/>
      </c>
    </row>
    <row r="726" spans="1:8" x14ac:dyDescent="0.45">
      <c r="A726" t="str">
        <f>IF(ISBLANK([1]!ScoutingData[[#This Row],[teamNumber]]),"",[1]!ScoutingData[[#This Row],[teamNumber]])</f>
        <v/>
      </c>
      <c r="B726" t="str">
        <f>IF(ISBLANK([1]!ScoutingData[[#This Row],[matchLevel]]),"",[1]!ScoutingData[[#This Row],[matchLevel]])</f>
        <v/>
      </c>
      <c r="C726" t="str">
        <f>IF(ISBLANK([1]!ScoutingData[[#This Row],[matchNumber]]),"",[1]!ScoutingData[[#This Row],[matchNumber]])</f>
        <v/>
      </c>
      <c r="D726" t="str">
        <f>IF(ISBLANK([1]!ScoutingData[[#This Row],[event]]),"",[1]!ScoutingData[[#This Row],[event]])</f>
        <v/>
      </c>
      <c r="E726" t="str">
        <f>IF(ISBLANK([1]!ScoutingData[[#This Row],[position]]),"",[1]!ScoutingData[[#This Row],[position]])</f>
        <v/>
      </c>
      <c r="F726" t="str">
        <f>IF(ISBLANK([1]!ScoutingData[[#This Row],[leaveStartingZone]]),"",[1]!ScoutingData[[#This Row],[leaveStartingZone]])</f>
        <v/>
      </c>
      <c r="G726" t="str">
        <f>IF(ISBLANK([1]!ScoutingData[[#This Row],[autoAmpScore]]),"",[1]!ScoutingData[[#This Row],[autoAmpScore]])</f>
        <v/>
      </c>
      <c r="H726" t="str">
        <f>IF(ISBLANK([1]!ScoutingData[[#This Row],[autoSpeakerScore]]),"",[1]!ScoutingData[[#This Row],[autoSpeakerScore]])</f>
        <v/>
      </c>
    </row>
    <row r="727" spans="1:8" x14ac:dyDescent="0.45">
      <c r="A727" t="str">
        <f>IF(ISBLANK([1]!ScoutingData[[#This Row],[teamNumber]]),"",[1]!ScoutingData[[#This Row],[teamNumber]])</f>
        <v/>
      </c>
      <c r="B727" t="str">
        <f>IF(ISBLANK([1]!ScoutingData[[#This Row],[matchLevel]]),"",[1]!ScoutingData[[#This Row],[matchLevel]])</f>
        <v/>
      </c>
      <c r="C727" t="str">
        <f>IF(ISBLANK([1]!ScoutingData[[#This Row],[matchNumber]]),"",[1]!ScoutingData[[#This Row],[matchNumber]])</f>
        <v/>
      </c>
      <c r="D727" t="str">
        <f>IF(ISBLANK([1]!ScoutingData[[#This Row],[event]]),"",[1]!ScoutingData[[#This Row],[event]])</f>
        <v/>
      </c>
      <c r="E727" t="str">
        <f>IF(ISBLANK([1]!ScoutingData[[#This Row],[position]]),"",[1]!ScoutingData[[#This Row],[position]])</f>
        <v/>
      </c>
      <c r="F727" t="str">
        <f>IF(ISBLANK([1]!ScoutingData[[#This Row],[leaveStartingZone]]),"",[1]!ScoutingData[[#This Row],[leaveStartingZone]])</f>
        <v/>
      </c>
      <c r="G727" t="str">
        <f>IF(ISBLANK([1]!ScoutingData[[#This Row],[autoAmpScore]]),"",[1]!ScoutingData[[#This Row],[autoAmpScore]])</f>
        <v/>
      </c>
      <c r="H727" t="str">
        <f>IF(ISBLANK([1]!ScoutingData[[#This Row],[autoSpeakerScore]]),"",[1]!ScoutingData[[#This Row],[autoSpeakerScore]])</f>
        <v/>
      </c>
    </row>
    <row r="728" spans="1:8" x14ac:dyDescent="0.45">
      <c r="A728" t="str">
        <f>IF(ISBLANK([1]!ScoutingData[[#This Row],[teamNumber]]),"",[1]!ScoutingData[[#This Row],[teamNumber]])</f>
        <v/>
      </c>
      <c r="B728" t="str">
        <f>IF(ISBLANK([1]!ScoutingData[[#This Row],[matchLevel]]),"",[1]!ScoutingData[[#This Row],[matchLevel]])</f>
        <v/>
      </c>
      <c r="C728" t="str">
        <f>IF(ISBLANK([1]!ScoutingData[[#This Row],[matchNumber]]),"",[1]!ScoutingData[[#This Row],[matchNumber]])</f>
        <v/>
      </c>
      <c r="D728" t="str">
        <f>IF(ISBLANK([1]!ScoutingData[[#This Row],[event]]),"",[1]!ScoutingData[[#This Row],[event]])</f>
        <v/>
      </c>
      <c r="E728" t="str">
        <f>IF(ISBLANK([1]!ScoutingData[[#This Row],[position]]),"",[1]!ScoutingData[[#This Row],[position]])</f>
        <v/>
      </c>
      <c r="F728" t="str">
        <f>IF(ISBLANK([1]!ScoutingData[[#This Row],[leaveStartingZone]]),"",[1]!ScoutingData[[#This Row],[leaveStartingZone]])</f>
        <v/>
      </c>
      <c r="G728" t="str">
        <f>IF(ISBLANK([1]!ScoutingData[[#This Row],[autoAmpScore]]),"",[1]!ScoutingData[[#This Row],[autoAmpScore]])</f>
        <v/>
      </c>
      <c r="H728" t="str">
        <f>IF(ISBLANK([1]!ScoutingData[[#This Row],[autoSpeakerScore]]),"",[1]!ScoutingData[[#This Row],[autoSpeakerScore]])</f>
        <v/>
      </c>
    </row>
    <row r="729" spans="1:8" x14ac:dyDescent="0.45">
      <c r="A729" t="str">
        <f>IF(ISBLANK([1]!ScoutingData[[#This Row],[teamNumber]]),"",[1]!ScoutingData[[#This Row],[teamNumber]])</f>
        <v/>
      </c>
      <c r="B729" t="str">
        <f>IF(ISBLANK([1]!ScoutingData[[#This Row],[matchLevel]]),"",[1]!ScoutingData[[#This Row],[matchLevel]])</f>
        <v/>
      </c>
      <c r="C729" t="str">
        <f>IF(ISBLANK([1]!ScoutingData[[#This Row],[matchNumber]]),"",[1]!ScoutingData[[#This Row],[matchNumber]])</f>
        <v/>
      </c>
      <c r="D729" t="str">
        <f>IF(ISBLANK([1]!ScoutingData[[#This Row],[event]]),"",[1]!ScoutingData[[#This Row],[event]])</f>
        <v/>
      </c>
      <c r="E729" t="str">
        <f>IF(ISBLANK([1]!ScoutingData[[#This Row],[position]]),"",[1]!ScoutingData[[#This Row],[position]])</f>
        <v/>
      </c>
      <c r="F729" t="str">
        <f>IF(ISBLANK([1]!ScoutingData[[#This Row],[leaveStartingZone]]),"",[1]!ScoutingData[[#This Row],[leaveStartingZone]])</f>
        <v/>
      </c>
      <c r="G729" t="str">
        <f>IF(ISBLANK([1]!ScoutingData[[#This Row],[autoAmpScore]]),"",[1]!ScoutingData[[#This Row],[autoAmpScore]])</f>
        <v/>
      </c>
      <c r="H729" t="str">
        <f>IF(ISBLANK([1]!ScoutingData[[#This Row],[autoSpeakerScore]]),"",[1]!ScoutingData[[#This Row],[autoSpeakerScore]])</f>
        <v/>
      </c>
    </row>
    <row r="730" spans="1:8" x14ac:dyDescent="0.45">
      <c r="A730" t="str">
        <f>IF(ISBLANK([1]!ScoutingData[[#This Row],[teamNumber]]),"",[1]!ScoutingData[[#This Row],[teamNumber]])</f>
        <v/>
      </c>
      <c r="B730" t="str">
        <f>IF(ISBLANK([1]!ScoutingData[[#This Row],[matchLevel]]),"",[1]!ScoutingData[[#This Row],[matchLevel]])</f>
        <v/>
      </c>
      <c r="C730" t="str">
        <f>IF(ISBLANK([1]!ScoutingData[[#This Row],[matchNumber]]),"",[1]!ScoutingData[[#This Row],[matchNumber]])</f>
        <v/>
      </c>
      <c r="D730" t="str">
        <f>IF(ISBLANK([1]!ScoutingData[[#This Row],[event]]),"",[1]!ScoutingData[[#This Row],[event]])</f>
        <v/>
      </c>
      <c r="E730" t="str">
        <f>IF(ISBLANK([1]!ScoutingData[[#This Row],[position]]),"",[1]!ScoutingData[[#This Row],[position]])</f>
        <v/>
      </c>
      <c r="F730" t="str">
        <f>IF(ISBLANK([1]!ScoutingData[[#This Row],[leaveStartingZone]]),"",[1]!ScoutingData[[#This Row],[leaveStartingZone]])</f>
        <v/>
      </c>
      <c r="G730" t="str">
        <f>IF(ISBLANK([1]!ScoutingData[[#This Row],[autoAmpScore]]),"",[1]!ScoutingData[[#This Row],[autoAmpScore]])</f>
        <v/>
      </c>
      <c r="H730" t="str">
        <f>IF(ISBLANK([1]!ScoutingData[[#This Row],[autoSpeakerScore]]),"",[1]!ScoutingData[[#This Row],[autoSpeakerScore]])</f>
        <v/>
      </c>
    </row>
    <row r="731" spans="1:8" x14ac:dyDescent="0.45">
      <c r="A731" t="str">
        <f>IF(ISBLANK([1]!ScoutingData[[#This Row],[teamNumber]]),"",[1]!ScoutingData[[#This Row],[teamNumber]])</f>
        <v/>
      </c>
      <c r="B731" t="str">
        <f>IF(ISBLANK([1]!ScoutingData[[#This Row],[matchLevel]]),"",[1]!ScoutingData[[#This Row],[matchLevel]])</f>
        <v/>
      </c>
      <c r="C731" t="str">
        <f>IF(ISBLANK([1]!ScoutingData[[#This Row],[matchNumber]]),"",[1]!ScoutingData[[#This Row],[matchNumber]])</f>
        <v/>
      </c>
      <c r="D731" t="str">
        <f>IF(ISBLANK([1]!ScoutingData[[#This Row],[event]]),"",[1]!ScoutingData[[#This Row],[event]])</f>
        <v/>
      </c>
      <c r="E731" t="str">
        <f>IF(ISBLANK([1]!ScoutingData[[#This Row],[position]]),"",[1]!ScoutingData[[#This Row],[position]])</f>
        <v/>
      </c>
      <c r="F731" t="str">
        <f>IF(ISBLANK([1]!ScoutingData[[#This Row],[leaveStartingZone]]),"",[1]!ScoutingData[[#This Row],[leaveStartingZone]])</f>
        <v/>
      </c>
      <c r="G731" t="str">
        <f>IF(ISBLANK([1]!ScoutingData[[#This Row],[autoAmpScore]]),"",[1]!ScoutingData[[#This Row],[autoAmpScore]])</f>
        <v/>
      </c>
      <c r="H731" t="str">
        <f>IF(ISBLANK([1]!ScoutingData[[#This Row],[autoSpeakerScore]]),"",[1]!ScoutingData[[#This Row],[autoSpeakerScore]])</f>
        <v/>
      </c>
    </row>
    <row r="732" spans="1:8" x14ac:dyDescent="0.45">
      <c r="A732" t="str">
        <f>IF(ISBLANK([1]!ScoutingData[[#This Row],[teamNumber]]),"",[1]!ScoutingData[[#This Row],[teamNumber]])</f>
        <v/>
      </c>
      <c r="B732" t="str">
        <f>IF(ISBLANK([1]!ScoutingData[[#This Row],[matchLevel]]),"",[1]!ScoutingData[[#This Row],[matchLevel]])</f>
        <v/>
      </c>
      <c r="C732" t="str">
        <f>IF(ISBLANK([1]!ScoutingData[[#This Row],[matchNumber]]),"",[1]!ScoutingData[[#This Row],[matchNumber]])</f>
        <v/>
      </c>
      <c r="D732" t="str">
        <f>IF(ISBLANK([1]!ScoutingData[[#This Row],[event]]),"",[1]!ScoutingData[[#This Row],[event]])</f>
        <v/>
      </c>
      <c r="E732" t="str">
        <f>IF(ISBLANK([1]!ScoutingData[[#This Row],[position]]),"",[1]!ScoutingData[[#This Row],[position]])</f>
        <v/>
      </c>
      <c r="F732" t="str">
        <f>IF(ISBLANK([1]!ScoutingData[[#This Row],[leaveStartingZone]]),"",[1]!ScoutingData[[#This Row],[leaveStartingZone]])</f>
        <v/>
      </c>
      <c r="G732" t="str">
        <f>IF(ISBLANK([1]!ScoutingData[[#This Row],[autoAmpScore]]),"",[1]!ScoutingData[[#This Row],[autoAmpScore]])</f>
        <v/>
      </c>
      <c r="H732" t="str">
        <f>IF(ISBLANK([1]!ScoutingData[[#This Row],[autoSpeakerScore]]),"",[1]!ScoutingData[[#This Row],[autoSpeakerScore]])</f>
        <v/>
      </c>
    </row>
    <row r="733" spans="1:8" x14ac:dyDescent="0.45">
      <c r="A733" t="str">
        <f>IF(ISBLANK([1]!ScoutingData[[#This Row],[teamNumber]]),"",[1]!ScoutingData[[#This Row],[teamNumber]])</f>
        <v/>
      </c>
      <c r="B733" t="str">
        <f>IF(ISBLANK([1]!ScoutingData[[#This Row],[matchLevel]]),"",[1]!ScoutingData[[#This Row],[matchLevel]])</f>
        <v/>
      </c>
      <c r="C733" t="str">
        <f>IF(ISBLANK([1]!ScoutingData[[#This Row],[matchNumber]]),"",[1]!ScoutingData[[#This Row],[matchNumber]])</f>
        <v/>
      </c>
      <c r="D733" t="str">
        <f>IF(ISBLANK([1]!ScoutingData[[#This Row],[event]]),"",[1]!ScoutingData[[#This Row],[event]])</f>
        <v/>
      </c>
      <c r="E733" t="str">
        <f>IF(ISBLANK([1]!ScoutingData[[#This Row],[position]]),"",[1]!ScoutingData[[#This Row],[position]])</f>
        <v/>
      </c>
      <c r="F733" t="str">
        <f>IF(ISBLANK([1]!ScoutingData[[#This Row],[leaveStartingZone]]),"",[1]!ScoutingData[[#This Row],[leaveStartingZone]])</f>
        <v/>
      </c>
      <c r="G733" t="str">
        <f>IF(ISBLANK([1]!ScoutingData[[#This Row],[autoAmpScore]]),"",[1]!ScoutingData[[#This Row],[autoAmpScore]])</f>
        <v/>
      </c>
      <c r="H733" t="str">
        <f>IF(ISBLANK([1]!ScoutingData[[#This Row],[autoSpeakerScore]]),"",[1]!ScoutingData[[#This Row],[autoSpeakerScore]])</f>
        <v/>
      </c>
    </row>
    <row r="734" spans="1:8" x14ac:dyDescent="0.45">
      <c r="A734" t="str">
        <f>IF(ISBLANK([1]!ScoutingData[[#This Row],[teamNumber]]),"",[1]!ScoutingData[[#This Row],[teamNumber]])</f>
        <v/>
      </c>
      <c r="B734" t="str">
        <f>IF(ISBLANK([1]!ScoutingData[[#This Row],[matchLevel]]),"",[1]!ScoutingData[[#This Row],[matchLevel]])</f>
        <v/>
      </c>
      <c r="C734" t="str">
        <f>IF(ISBLANK([1]!ScoutingData[[#This Row],[matchNumber]]),"",[1]!ScoutingData[[#This Row],[matchNumber]])</f>
        <v/>
      </c>
      <c r="D734" t="str">
        <f>IF(ISBLANK([1]!ScoutingData[[#This Row],[event]]),"",[1]!ScoutingData[[#This Row],[event]])</f>
        <v/>
      </c>
      <c r="E734" t="str">
        <f>IF(ISBLANK([1]!ScoutingData[[#This Row],[position]]),"",[1]!ScoutingData[[#This Row],[position]])</f>
        <v/>
      </c>
      <c r="F734" t="str">
        <f>IF(ISBLANK([1]!ScoutingData[[#This Row],[leaveStartingZone]]),"",[1]!ScoutingData[[#This Row],[leaveStartingZone]])</f>
        <v/>
      </c>
      <c r="G734" t="str">
        <f>IF(ISBLANK([1]!ScoutingData[[#This Row],[autoAmpScore]]),"",[1]!ScoutingData[[#This Row],[autoAmpScore]])</f>
        <v/>
      </c>
      <c r="H734" t="str">
        <f>IF(ISBLANK([1]!ScoutingData[[#This Row],[autoSpeakerScore]]),"",[1]!ScoutingData[[#This Row],[autoSpeakerScore]])</f>
        <v/>
      </c>
    </row>
    <row r="735" spans="1:8" x14ac:dyDescent="0.45">
      <c r="A735" t="str">
        <f>IF(ISBLANK([1]!ScoutingData[[#This Row],[teamNumber]]),"",[1]!ScoutingData[[#This Row],[teamNumber]])</f>
        <v/>
      </c>
      <c r="B735" t="str">
        <f>IF(ISBLANK([1]!ScoutingData[[#This Row],[matchLevel]]),"",[1]!ScoutingData[[#This Row],[matchLevel]])</f>
        <v/>
      </c>
      <c r="C735" t="str">
        <f>IF(ISBLANK([1]!ScoutingData[[#This Row],[matchNumber]]),"",[1]!ScoutingData[[#This Row],[matchNumber]])</f>
        <v/>
      </c>
      <c r="D735" t="str">
        <f>IF(ISBLANK([1]!ScoutingData[[#This Row],[event]]),"",[1]!ScoutingData[[#This Row],[event]])</f>
        <v/>
      </c>
      <c r="E735" t="str">
        <f>IF(ISBLANK([1]!ScoutingData[[#This Row],[position]]),"",[1]!ScoutingData[[#This Row],[position]])</f>
        <v/>
      </c>
      <c r="F735" t="str">
        <f>IF(ISBLANK([1]!ScoutingData[[#This Row],[leaveStartingZone]]),"",[1]!ScoutingData[[#This Row],[leaveStartingZone]])</f>
        <v/>
      </c>
      <c r="G735" t="str">
        <f>IF(ISBLANK([1]!ScoutingData[[#This Row],[autoAmpScore]]),"",[1]!ScoutingData[[#This Row],[autoAmpScore]])</f>
        <v/>
      </c>
      <c r="H735" t="str">
        <f>IF(ISBLANK([1]!ScoutingData[[#This Row],[autoSpeakerScore]]),"",[1]!ScoutingData[[#This Row],[autoSpeakerScore]])</f>
        <v/>
      </c>
    </row>
    <row r="736" spans="1:8" x14ac:dyDescent="0.45">
      <c r="A736" t="str">
        <f>IF(ISBLANK([1]!ScoutingData[[#This Row],[teamNumber]]),"",[1]!ScoutingData[[#This Row],[teamNumber]])</f>
        <v/>
      </c>
      <c r="B736" t="str">
        <f>IF(ISBLANK([1]!ScoutingData[[#This Row],[matchLevel]]),"",[1]!ScoutingData[[#This Row],[matchLevel]])</f>
        <v/>
      </c>
      <c r="C736" t="str">
        <f>IF(ISBLANK([1]!ScoutingData[[#This Row],[matchNumber]]),"",[1]!ScoutingData[[#This Row],[matchNumber]])</f>
        <v/>
      </c>
      <c r="D736" t="str">
        <f>IF(ISBLANK([1]!ScoutingData[[#This Row],[event]]),"",[1]!ScoutingData[[#This Row],[event]])</f>
        <v/>
      </c>
      <c r="E736" t="str">
        <f>IF(ISBLANK([1]!ScoutingData[[#This Row],[position]]),"",[1]!ScoutingData[[#This Row],[position]])</f>
        <v/>
      </c>
      <c r="F736" t="str">
        <f>IF(ISBLANK([1]!ScoutingData[[#This Row],[leaveStartingZone]]),"",[1]!ScoutingData[[#This Row],[leaveStartingZone]])</f>
        <v/>
      </c>
      <c r="G736" t="str">
        <f>IF(ISBLANK([1]!ScoutingData[[#This Row],[autoAmpScore]]),"",[1]!ScoutingData[[#This Row],[autoAmpScore]])</f>
        <v/>
      </c>
      <c r="H736" t="str">
        <f>IF(ISBLANK([1]!ScoutingData[[#This Row],[autoSpeakerScore]]),"",[1]!ScoutingData[[#This Row],[autoSpeakerScore]])</f>
        <v/>
      </c>
    </row>
    <row r="737" spans="1:8" x14ac:dyDescent="0.45">
      <c r="A737" t="str">
        <f>IF(ISBLANK([1]!ScoutingData[[#This Row],[teamNumber]]),"",[1]!ScoutingData[[#This Row],[teamNumber]])</f>
        <v/>
      </c>
      <c r="B737" t="str">
        <f>IF(ISBLANK([1]!ScoutingData[[#This Row],[matchLevel]]),"",[1]!ScoutingData[[#This Row],[matchLevel]])</f>
        <v/>
      </c>
      <c r="C737" t="str">
        <f>IF(ISBLANK([1]!ScoutingData[[#This Row],[matchNumber]]),"",[1]!ScoutingData[[#This Row],[matchNumber]])</f>
        <v/>
      </c>
      <c r="D737" t="str">
        <f>IF(ISBLANK([1]!ScoutingData[[#This Row],[event]]),"",[1]!ScoutingData[[#This Row],[event]])</f>
        <v/>
      </c>
      <c r="E737" t="str">
        <f>IF(ISBLANK([1]!ScoutingData[[#This Row],[position]]),"",[1]!ScoutingData[[#This Row],[position]])</f>
        <v/>
      </c>
      <c r="F737" t="str">
        <f>IF(ISBLANK([1]!ScoutingData[[#This Row],[leaveStartingZone]]),"",[1]!ScoutingData[[#This Row],[leaveStartingZone]])</f>
        <v/>
      </c>
      <c r="G737" t="str">
        <f>IF(ISBLANK([1]!ScoutingData[[#This Row],[autoAmpScore]]),"",[1]!ScoutingData[[#This Row],[autoAmpScore]])</f>
        <v/>
      </c>
      <c r="H737" t="str">
        <f>IF(ISBLANK([1]!ScoutingData[[#This Row],[autoSpeakerScore]]),"",[1]!ScoutingData[[#This Row],[autoSpeakerScore]])</f>
        <v/>
      </c>
    </row>
    <row r="738" spans="1:8" x14ac:dyDescent="0.45">
      <c r="A738" t="str">
        <f>IF(ISBLANK([1]!ScoutingData[[#This Row],[teamNumber]]),"",[1]!ScoutingData[[#This Row],[teamNumber]])</f>
        <v/>
      </c>
      <c r="B738" t="str">
        <f>IF(ISBLANK([1]!ScoutingData[[#This Row],[matchLevel]]),"",[1]!ScoutingData[[#This Row],[matchLevel]])</f>
        <v/>
      </c>
      <c r="C738" t="str">
        <f>IF(ISBLANK([1]!ScoutingData[[#This Row],[matchNumber]]),"",[1]!ScoutingData[[#This Row],[matchNumber]])</f>
        <v/>
      </c>
      <c r="D738" t="str">
        <f>IF(ISBLANK([1]!ScoutingData[[#This Row],[event]]),"",[1]!ScoutingData[[#This Row],[event]])</f>
        <v/>
      </c>
      <c r="E738" t="str">
        <f>IF(ISBLANK([1]!ScoutingData[[#This Row],[position]]),"",[1]!ScoutingData[[#This Row],[position]])</f>
        <v/>
      </c>
      <c r="F738" t="str">
        <f>IF(ISBLANK([1]!ScoutingData[[#This Row],[leaveStartingZone]]),"",[1]!ScoutingData[[#This Row],[leaveStartingZone]])</f>
        <v/>
      </c>
      <c r="G738" t="str">
        <f>IF(ISBLANK([1]!ScoutingData[[#This Row],[autoAmpScore]]),"",[1]!ScoutingData[[#This Row],[autoAmpScore]])</f>
        <v/>
      </c>
      <c r="H738" t="str">
        <f>IF(ISBLANK([1]!ScoutingData[[#This Row],[autoSpeakerScore]]),"",[1]!ScoutingData[[#This Row],[autoSpeakerScore]])</f>
        <v/>
      </c>
    </row>
    <row r="739" spans="1:8" x14ac:dyDescent="0.45">
      <c r="A739" t="str">
        <f>IF(ISBLANK([1]!ScoutingData[[#This Row],[teamNumber]]),"",[1]!ScoutingData[[#This Row],[teamNumber]])</f>
        <v/>
      </c>
      <c r="B739" t="str">
        <f>IF(ISBLANK([1]!ScoutingData[[#This Row],[matchLevel]]),"",[1]!ScoutingData[[#This Row],[matchLevel]])</f>
        <v/>
      </c>
      <c r="C739" t="str">
        <f>IF(ISBLANK([1]!ScoutingData[[#This Row],[matchNumber]]),"",[1]!ScoutingData[[#This Row],[matchNumber]])</f>
        <v/>
      </c>
      <c r="D739" t="str">
        <f>IF(ISBLANK([1]!ScoutingData[[#This Row],[event]]),"",[1]!ScoutingData[[#This Row],[event]])</f>
        <v/>
      </c>
      <c r="E739" t="str">
        <f>IF(ISBLANK([1]!ScoutingData[[#This Row],[position]]),"",[1]!ScoutingData[[#This Row],[position]])</f>
        <v/>
      </c>
      <c r="F739" t="str">
        <f>IF(ISBLANK([1]!ScoutingData[[#This Row],[leaveStartingZone]]),"",[1]!ScoutingData[[#This Row],[leaveStartingZone]])</f>
        <v/>
      </c>
      <c r="G739" t="str">
        <f>IF(ISBLANK([1]!ScoutingData[[#This Row],[autoAmpScore]]),"",[1]!ScoutingData[[#This Row],[autoAmpScore]])</f>
        <v/>
      </c>
      <c r="H739" t="str">
        <f>IF(ISBLANK([1]!ScoutingData[[#This Row],[autoSpeakerScore]]),"",[1]!ScoutingData[[#This Row],[autoSpeakerScore]])</f>
        <v/>
      </c>
    </row>
    <row r="740" spans="1:8" x14ac:dyDescent="0.45">
      <c r="A740" t="str">
        <f>IF(ISBLANK([1]!ScoutingData[[#This Row],[teamNumber]]),"",[1]!ScoutingData[[#This Row],[teamNumber]])</f>
        <v/>
      </c>
      <c r="B740" t="str">
        <f>IF(ISBLANK([1]!ScoutingData[[#This Row],[matchLevel]]),"",[1]!ScoutingData[[#This Row],[matchLevel]])</f>
        <v/>
      </c>
      <c r="C740" t="str">
        <f>IF(ISBLANK([1]!ScoutingData[[#This Row],[matchNumber]]),"",[1]!ScoutingData[[#This Row],[matchNumber]])</f>
        <v/>
      </c>
      <c r="D740" t="str">
        <f>IF(ISBLANK([1]!ScoutingData[[#This Row],[event]]),"",[1]!ScoutingData[[#This Row],[event]])</f>
        <v/>
      </c>
      <c r="E740" t="str">
        <f>IF(ISBLANK([1]!ScoutingData[[#This Row],[position]]),"",[1]!ScoutingData[[#This Row],[position]])</f>
        <v/>
      </c>
      <c r="F740" t="str">
        <f>IF(ISBLANK([1]!ScoutingData[[#This Row],[leaveStartingZone]]),"",[1]!ScoutingData[[#This Row],[leaveStartingZone]])</f>
        <v/>
      </c>
      <c r="G740" t="str">
        <f>IF(ISBLANK([1]!ScoutingData[[#This Row],[autoAmpScore]]),"",[1]!ScoutingData[[#This Row],[autoAmpScore]])</f>
        <v/>
      </c>
      <c r="H740" t="str">
        <f>IF(ISBLANK([1]!ScoutingData[[#This Row],[autoSpeakerScore]]),"",[1]!ScoutingData[[#This Row],[autoSpeakerScore]])</f>
        <v/>
      </c>
    </row>
    <row r="741" spans="1:8" x14ac:dyDescent="0.45">
      <c r="A741" t="str">
        <f>IF(ISBLANK([1]!ScoutingData[[#This Row],[teamNumber]]),"",[1]!ScoutingData[[#This Row],[teamNumber]])</f>
        <v/>
      </c>
      <c r="B741" t="str">
        <f>IF(ISBLANK([1]!ScoutingData[[#This Row],[matchLevel]]),"",[1]!ScoutingData[[#This Row],[matchLevel]])</f>
        <v/>
      </c>
      <c r="C741" t="str">
        <f>IF(ISBLANK([1]!ScoutingData[[#This Row],[matchNumber]]),"",[1]!ScoutingData[[#This Row],[matchNumber]])</f>
        <v/>
      </c>
      <c r="D741" t="str">
        <f>IF(ISBLANK([1]!ScoutingData[[#This Row],[event]]),"",[1]!ScoutingData[[#This Row],[event]])</f>
        <v/>
      </c>
      <c r="E741" t="str">
        <f>IF(ISBLANK([1]!ScoutingData[[#This Row],[position]]),"",[1]!ScoutingData[[#This Row],[position]])</f>
        <v/>
      </c>
      <c r="F741" t="str">
        <f>IF(ISBLANK([1]!ScoutingData[[#This Row],[leaveStartingZone]]),"",[1]!ScoutingData[[#This Row],[leaveStartingZone]])</f>
        <v/>
      </c>
      <c r="G741" t="str">
        <f>IF(ISBLANK([1]!ScoutingData[[#This Row],[autoAmpScore]]),"",[1]!ScoutingData[[#This Row],[autoAmpScore]])</f>
        <v/>
      </c>
      <c r="H741" t="str">
        <f>IF(ISBLANK([1]!ScoutingData[[#This Row],[autoSpeakerScore]]),"",[1]!ScoutingData[[#This Row],[autoSpeakerScore]])</f>
        <v/>
      </c>
    </row>
    <row r="742" spans="1:8" x14ac:dyDescent="0.45">
      <c r="A742" t="str">
        <f>IF(ISBLANK([1]!ScoutingData[[#This Row],[teamNumber]]),"",[1]!ScoutingData[[#This Row],[teamNumber]])</f>
        <v/>
      </c>
      <c r="B742" t="str">
        <f>IF(ISBLANK([1]!ScoutingData[[#This Row],[matchLevel]]),"",[1]!ScoutingData[[#This Row],[matchLevel]])</f>
        <v/>
      </c>
      <c r="C742" t="str">
        <f>IF(ISBLANK([1]!ScoutingData[[#This Row],[matchNumber]]),"",[1]!ScoutingData[[#This Row],[matchNumber]])</f>
        <v/>
      </c>
      <c r="D742" t="str">
        <f>IF(ISBLANK([1]!ScoutingData[[#This Row],[event]]),"",[1]!ScoutingData[[#This Row],[event]])</f>
        <v/>
      </c>
      <c r="E742" t="str">
        <f>IF(ISBLANK([1]!ScoutingData[[#This Row],[position]]),"",[1]!ScoutingData[[#This Row],[position]])</f>
        <v/>
      </c>
      <c r="F742" t="str">
        <f>IF(ISBLANK([1]!ScoutingData[[#This Row],[leaveStartingZone]]),"",[1]!ScoutingData[[#This Row],[leaveStartingZone]])</f>
        <v/>
      </c>
      <c r="G742" t="str">
        <f>IF(ISBLANK([1]!ScoutingData[[#This Row],[autoAmpScore]]),"",[1]!ScoutingData[[#This Row],[autoAmpScore]])</f>
        <v/>
      </c>
      <c r="H742" t="str">
        <f>IF(ISBLANK([1]!ScoutingData[[#This Row],[autoSpeakerScore]]),"",[1]!ScoutingData[[#This Row],[autoSpeakerScore]])</f>
        <v/>
      </c>
    </row>
    <row r="743" spans="1:8" x14ac:dyDescent="0.45">
      <c r="A743" t="str">
        <f>IF(ISBLANK([1]!ScoutingData[[#This Row],[teamNumber]]),"",[1]!ScoutingData[[#This Row],[teamNumber]])</f>
        <v/>
      </c>
      <c r="B743" t="str">
        <f>IF(ISBLANK([1]!ScoutingData[[#This Row],[matchLevel]]),"",[1]!ScoutingData[[#This Row],[matchLevel]])</f>
        <v/>
      </c>
      <c r="C743" t="str">
        <f>IF(ISBLANK([1]!ScoutingData[[#This Row],[matchNumber]]),"",[1]!ScoutingData[[#This Row],[matchNumber]])</f>
        <v/>
      </c>
      <c r="D743" t="str">
        <f>IF(ISBLANK([1]!ScoutingData[[#This Row],[event]]),"",[1]!ScoutingData[[#This Row],[event]])</f>
        <v/>
      </c>
      <c r="E743" t="str">
        <f>IF(ISBLANK([1]!ScoutingData[[#This Row],[position]]),"",[1]!ScoutingData[[#This Row],[position]])</f>
        <v/>
      </c>
      <c r="F743" t="str">
        <f>IF(ISBLANK([1]!ScoutingData[[#This Row],[leaveStartingZone]]),"",[1]!ScoutingData[[#This Row],[leaveStartingZone]])</f>
        <v/>
      </c>
      <c r="G743" t="str">
        <f>IF(ISBLANK([1]!ScoutingData[[#This Row],[autoAmpScore]]),"",[1]!ScoutingData[[#This Row],[autoAmpScore]])</f>
        <v/>
      </c>
      <c r="H743" t="str">
        <f>IF(ISBLANK([1]!ScoutingData[[#This Row],[autoSpeakerScore]]),"",[1]!ScoutingData[[#This Row],[autoSpeakerScore]])</f>
        <v/>
      </c>
    </row>
    <row r="744" spans="1:8" x14ac:dyDescent="0.45">
      <c r="A744" t="str">
        <f>IF(ISBLANK([1]!ScoutingData[[#This Row],[teamNumber]]),"",[1]!ScoutingData[[#This Row],[teamNumber]])</f>
        <v/>
      </c>
      <c r="B744" t="str">
        <f>IF(ISBLANK([1]!ScoutingData[[#This Row],[matchLevel]]),"",[1]!ScoutingData[[#This Row],[matchLevel]])</f>
        <v/>
      </c>
      <c r="C744" t="str">
        <f>IF(ISBLANK([1]!ScoutingData[[#This Row],[matchNumber]]),"",[1]!ScoutingData[[#This Row],[matchNumber]])</f>
        <v/>
      </c>
      <c r="D744" t="str">
        <f>IF(ISBLANK([1]!ScoutingData[[#This Row],[event]]),"",[1]!ScoutingData[[#This Row],[event]])</f>
        <v/>
      </c>
      <c r="E744" t="str">
        <f>IF(ISBLANK([1]!ScoutingData[[#This Row],[position]]),"",[1]!ScoutingData[[#This Row],[position]])</f>
        <v/>
      </c>
      <c r="F744" t="str">
        <f>IF(ISBLANK([1]!ScoutingData[[#This Row],[leaveStartingZone]]),"",[1]!ScoutingData[[#This Row],[leaveStartingZone]])</f>
        <v/>
      </c>
      <c r="G744" t="str">
        <f>IF(ISBLANK([1]!ScoutingData[[#This Row],[autoAmpScore]]),"",[1]!ScoutingData[[#This Row],[autoAmpScore]])</f>
        <v/>
      </c>
      <c r="H744" t="str">
        <f>IF(ISBLANK([1]!ScoutingData[[#This Row],[autoSpeakerScore]]),"",[1]!ScoutingData[[#This Row],[autoSpeakerScore]])</f>
        <v/>
      </c>
    </row>
    <row r="745" spans="1:8" x14ac:dyDescent="0.45">
      <c r="A745" t="str">
        <f>IF(ISBLANK([1]!ScoutingData[[#This Row],[teamNumber]]),"",[1]!ScoutingData[[#This Row],[teamNumber]])</f>
        <v/>
      </c>
      <c r="B745" t="str">
        <f>IF(ISBLANK([1]!ScoutingData[[#This Row],[matchLevel]]),"",[1]!ScoutingData[[#This Row],[matchLevel]])</f>
        <v/>
      </c>
      <c r="C745" t="str">
        <f>IF(ISBLANK([1]!ScoutingData[[#This Row],[matchNumber]]),"",[1]!ScoutingData[[#This Row],[matchNumber]])</f>
        <v/>
      </c>
      <c r="D745" t="str">
        <f>IF(ISBLANK([1]!ScoutingData[[#This Row],[event]]),"",[1]!ScoutingData[[#This Row],[event]])</f>
        <v/>
      </c>
      <c r="E745" t="str">
        <f>IF(ISBLANK([1]!ScoutingData[[#This Row],[position]]),"",[1]!ScoutingData[[#This Row],[position]])</f>
        <v/>
      </c>
      <c r="F745" t="str">
        <f>IF(ISBLANK([1]!ScoutingData[[#This Row],[leaveStartingZone]]),"",[1]!ScoutingData[[#This Row],[leaveStartingZone]])</f>
        <v/>
      </c>
      <c r="G745" t="str">
        <f>IF(ISBLANK([1]!ScoutingData[[#This Row],[autoAmpScore]]),"",[1]!ScoutingData[[#This Row],[autoAmpScore]])</f>
        <v/>
      </c>
      <c r="H745" t="str">
        <f>IF(ISBLANK([1]!ScoutingData[[#This Row],[autoSpeakerScore]]),"",[1]!ScoutingData[[#This Row],[autoSpeakerScore]])</f>
        <v/>
      </c>
    </row>
    <row r="746" spans="1:8" x14ac:dyDescent="0.45">
      <c r="A746" t="str">
        <f>IF(ISBLANK([1]!ScoutingData[[#This Row],[teamNumber]]),"",[1]!ScoutingData[[#This Row],[teamNumber]])</f>
        <v/>
      </c>
      <c r="B746" t="str">
        <f>IF(ISBLANK([1]!ScoutingData[[#This Row],[matchLevel]]),"",[1]!ScoutingData[[#This Row],[matchLevel]])</f>
        <v/>
      </c>
      <c r="C746" t="str">
        <f>IF(ISBLANK([1]!ScoutingData[[#This Row],[matchNumber]]),"",[1]!ScoutingData[[#This Row],[matchNumber]])</f>
        <v/>
      </c>
      <c r="D746" t="str">
        <f>IF(ISBLANK([1]!ScoutingData[[#This Row],[event]]),"",[1]!ScoutingData[[#This Row],[event]])</f>
        <v/>
      </c>
      <c r="E746" t="str">
        <f>IF(ISBLANK([1]!ScoutingData[[#This Row],[position]]),"",[1]!ScoutingData[[#This Row],[position]])</f>
        <v/>
      </c>
      <c r="F746" t="str">
        <f>IF(ISBLANK([1]!ScoutingData[[#This Row],[leaveStartingZone]]),"",[1]!ScoutingData[[#This Row],[leaveStartingZone]])</f>
        <v/>
      </c>
      <c r="G746" t="str">
        <f>IF(ISBLANK([1]!ScoutingData[[#This Row],[autoAmpScore]]),"",[1]!ScoutingData[[#This Row],[autoAmpScore]])</f>
        <v/>
      </c>
      <c r="H746" t="str">
        <f>IF(ISBLANK([1]!ScoutingData[[#This Row],[autoSpeakerScore]]),"",[1]!ScoutingData[[#This Row],[autoSpeakerScore]])</f>
        <v/>
      </c>
    </row>
    <row r="747" spans="1:8" x14ac:dyDescent="0.45">
      <c r="A747" t="str">
        <f>IF(ISBLANK([1]!ScoutingData[[#This Row],[teamNumber]]),"",[1]!ScoutingData[[#This Row],[teamNumber]])</f>
        <v/>
      </c>
      <c r="B747" t="str">
        <f>IF(ISBLANK([1]!ScoutingData[[#This Row],[matchLevel]]),"",[1]!ScoutingData[[#This Row],[matchLevel]])</f>
        <v/>
      </c>
      <c r="C747" t="str">
        <f>IF(ISBLANK([1]!ScoutingData[[#This Row],[matchNumber]]),"",[1]!ScoutingData[[#This Row],[matchNumber]])</f>
        <v/>
      </c>
      <c r="D747" t="str">
        <f>IF(ISBLANK([1]!ScoutingData[[#This Row],[event]]),"",[1]!ScoutingData[[#This Row],[event]])</f>
        <v/>
      </c>
      <c r="E747" t="str">
        <f>IF(ISBLANK([1]!ScoutingData[[#This Row],[position]]),"",[1]!ScoutingData[[#This Row],[position]])</f>
        <v/>
      </c>
      <c r="F747" t="str">
        <f>IF(ISBLANK([1]!ScoutingData[[#This Row],[leaveStartingZone]]),"",[1]!ScoutingData[[#This Row],[leaveStartingZone]])</f>
        <v/>
      </c>
      <c r="G747" t="str">
        <f>IF(ISBLANK([1]!ScoutingData[[#This Row],[autoAmpScore]]),"",[1]!ScoutingData[[#This Row],[autoAmpScore]])</f>
        <v/>
      </c>
      <c r="H747" t="str">
        <f>IF(ISBLANK([1]!ScoutingData[[#This Row],[autoSpeakerScore]]),"",[1]!ScoutingData[[#This Row],[autoSpeakerScore]])</f>
        <v/>
      </c>
    </row>
    <row r="748" spans="1:8" x14ac:dyDescent="0.45">
      <c r="A748" t="str">
        <f>IF(ISBLANK([1]!ScoutingData[[#This Row],[teamNumber]]),"",[1]!ScoutingData[[#This Row],[teamNumber]])</f>
        <v/>
      </c>
      <c r="B748" t="str">
        <f>IF(ISBLANK([1]!ScoutingData[[#This Row],[matchLevel]]),"",[1]!ScoutingData[[#This Row],[matchLevel]])</f>
        <v/>
      </c>
      <c r="C748" t="str">
        <f>IF(ISBLANK([1]!ScoutingData[[#This Row],[matchNumber]]),"",[1]!ScoutingData[[#This Row],[matchNumber]])</f>
        <v/>
      </c>
      <c r="D748" t="str">
        <f>IF(ISBLANK([1]!ScoutingData[[#This Row],[event]]),"",[1]!ScoutingData[[#This Row],[event]])</f>
        <v/>
      </c>
      <c r="E748" t="str">
        <f>IF(ISBLANK([1]!ScoutingData[[#This Row],[position]]),"",[1]!ScoutingData[[#This Row],[position]])</f>
        <v/>
      </c>
      <c r="F748" t="str">
        <f>IF(ISBLANK([1]!ScoutingData[[#This Row],[leaveStartingZone]]),"",[1]!ScoutingData[[#This Row],[leaveStartingZone]])</f>
        <v/>
      </c>
      <c r="G748" t="str">
        <f>IF(ISBLANK([1]!ScoutingData[[#This Row],[autoAmpScore]]),"",[1]!ScoutingData[[#This Row],[autoAmpScore]])</f>
        <v/>
      </c>
      <c r="H748" t="str">
        <f>IF(ISBLANK([1]!ScoutingData[[#This Row],[autoSpeakerScore]]),"",[1]!ScoutingData[[#This Row],[autoSpeakerScore]])</f>
        <v/>
      </c>
    </row>
    <row r="749" spans="1:8" x14ac:dyDescent="0.45">
      <c r="A749" t="str">
        <f>IF(ISBLANK([1]!ScoutingData[[#This Row],[teamNumber]]),"",[1]!ScoutingData[[#This Row],[teamNumber]])</f>
        <v/>
      </c>
      <c r="B749" t="str">
        <f>IF(ISBLANK([1]!ScoutingData[[#This Row],[matchLevel]]),"",[1]!ScoutingData[[#This Row],[matchLevel]])</f>
        <v/>
      </c>
      <c r="C749" t="str">
        <f>IF(ISBLANK([1]!ScoutingData[[#This Row],[matchNumber]]),"",[1]!ScoutingData[[#This Row],[matchNumber]])</f>
        <v/>
      </c>
      <c r="D749" t="str">
        <f>IF(ISBLANK([1]!ScoutingData[[#This Row],[event]]),"",[1]!ScoutingData[[#This Row],[event]])</f>
        <v/>
      </c>
      <c r="E749" t="str">
        <f>IF(ISBLANK([1]!ScoutingData[[#This Row],[position]]),"",[1]!ScoutingData[[#This Row],[position]])</f>
        <v/>
      </c>
      <c r="F749" t="str">
        <f>IF(ISBLANK([1]!ScoutingData[[#This Row],[leaveStartingZone]]),"",[1]!ScoutingData[[#This Row],[leaveStartingZone]])</f>
        <v/>
      </c>
      <c r="G749" t="str">
        <f>IF(ISBLANK([1]!ScoutingData[[#This Row],[autoAmpScore]]),"",[1]!ScoutingData[[#This Row],[autoAmpScore]])</f>
        <v/>
      </c>
      <c r="H749" t="str">
        <f>IF(ISBLANK([1]!ScoutingData[[#This Row],[autoSpeakerScore]]),"",[1]!ScoutingData[[#This Row],[autoSpeakerScore]])</f>
        <v/>
      </c>
    </row>
    <row r="750" spans="1:8" x14ac:dyDescent="0.45">
      <c r="A750" t="str">
        <f>IF(ISBLANK([1]!ScoutingData[[#This Row],[teamNumber]]),"",[1]!ScoutingData[[#This Row],[teamNumber]])</f>
        <v/>
      </c>
      <c r="B750" t="str">
        <f>IF(ISBLANK([1]!ScoutingData[[#This Row],[matchLevel]]),"",[1]!ScoutingData[[#This Row],[matchLevel]])</f>
        <v/>
      </c>
      <c r="C750" t="str">
        <f>IF(ISBLANK([1]!ScoutingData[[#This Row],[matchNumber]]),"",[1]!ScoutingData[[#This Row],[matchNumber]])</f>
        <v/>
      </c>
      <c r="D750" t="str">
        <f>IF(ISBLANK([1]!ScoutingData[[#This Row],[event]]),"",[1]!ScoutingData[[#This Row],[event]])</f>
        <v/>
      </c>
      <c r="E750" t="str">
        <f>IF(ISBLANK([1]!ScoutingData[[#This Row],[position]]),"",[1]!ScoutingData[[#This Row],[position]])</f>
        <v/>
      </c>
      <c r="F750" t="str">
        <f>IF(ISBLANK([1]!ScoutingData[[#This Row],[leaveStartingZone]]),"",[1]!ScoutingData[[#This Row],[leaveStartingZone]])</f>
        <v/>
      </c>
      <c r="G750" t="str">
        <f>IF(ISBLANK([1]!ScoutingData[[#This Row],[autoAmpScore]]),"",[1]!ScoutingData[[#This Row],[autoAmpScore]])</f>
        <v/>
      </c>
      <c r="H750" t="str">
        <f>IF(ISBLANK([1]!ScoutingData[[#This Row],[autoSpeakerScore]]),"",[1]!ScoutingData[[#This Row],[autoSpeakerScore]])</f>
        <v/>
      </c>
    </row>
    <row r="751" spans="1:8" x14ac:dyDescent="0.45">
      <c r="A751" t="str">
        <f>IF(ISBLANK([1]!ScoutingData[[#This Row],[teamNumber]]),"",[1]!ScoutingData[[#This Row],[teamNumber]])</f>
        <v/>
      </c>
      <c r="B751" t="str">
        <f>IF(ISBLANK([1]!ScoutingData[[#This Row],[matchLevel]]),"",[1]!ScoutingData[[#This Row],[matchLevel]])</f>
        <v/>
      </c>
      <c r="C751" t="str">
        <f>IF(ISBLANK([1]!ScoutingData[[#This Row],[matchNumber]]),"",[1]!ScoutingData[[#This Row],[matchNumber]])</f>
        <v/>
      </c>
      <c r="D751" t="str">
        <f>IF(ISBLANK([1]!ScoutingData[[#This Row],[event]]),"",[1]!ScoutingData[[#This Row],[event]])</f>
        <v/>
      </c>
      <c r="E751" t="str">
        <f>IF(ISBLANK([1]!ScoutingData[[#This Row],[position]]),"",[1]!ScoutingData[[#This Row],[position]])</f>
        <v/>
      </c>
      <c r="F751" t="str">
        <f>IF(ISBLANK([1]!ScoutingData[[#This Row],[leaveStartingZone]]),"",[1]!ScoutingData[[#This Row],[leaveStartingZone]])</f>
        <v/>
      </c>
      <c r="G751" t="str">
        <f>IF(ISBLANK([1]!ScoutingData[[#This Row],[autoAmpScore]]),"",[1]!ScoutingData[[#This Row],[autoAmpScore]])</f>
        <v/>
      </c>
      <c r="H751" t="str">
        <f>IF(ISBLANK([1]!ScoutingData[[#This Row],[autoSpeakerScore]]),"",[1]!ScoutingData[[#This Row],[autoSpeakerScore]])</f>
        <v/>
      </c>
    </row>
    <row r="752" spans="1:8" x14ac:dyDescent="0.45">
      <c r="A752" t="str">
        <f>IF(ISBLANK([1]!ScoutingData[[#This Row],[teamNumber]]),"",[1]!ScoutingData[[#This Row],[teamNumber]])</f>
        <v/>
      </c>
      <c r="B752" t="str">
        <f>IF(ISBLANK([1]!ScoutingData[[#This Row],[matchLevel]]),"",[1]!ScoutingData[[#This Row],[matchLevel]])</f>
        <v/>
      </c>
      <c r="C752" t="str">
        <f>IF(ISBLANK([1]!ScoutingData[[#This Row],[matchNumber]]),"",[1]!ScoutingData[[#This Row],[matchNumber]])</f>
        <v/>
      </c>
      <c r="D752" t="str">
        <f>IF(ISBLANK([1]!ScoutingData[[#This Row],[event]]),"",[1]!ScoutingData[[#This Row],[event]])</f>
        <v/>
      </c>
      <c r="E752" t="str">
        <f>IF(ISBLANK([1]!ScoutingData[[#This Row],[position]]),"",[1]!ScoutingData[[#This Row],[position]])</f>
        <v/>
      </c>
      <c r="F752" t="str">
        <f>IF(ISBLANK([1]!ScoutingData[[#This Row],[leaveStartingZone]]),"",[1]!ScoutingData[[#This Row],[leaveStartingZone]])</f>
        <v/>
      </c>
      <c r="G752" t="str">
        <f>IF(ISBLANK([1]!ScoutingData[[#This Row],[autoAmpScore]]),"",[1]!ScoutingData[[#This Row],[autoAmpScore]])</f>
        <v/>
      </c>
      <c r="H752" t="str">
        <f>IF(ISBLANK([1]!ScoutingData[[#This Row],[autoSpeakerScore]]),"",[1]!ScoutingData[[#This Row],[autoSpeakerScore]])</f>
        <v/>
      </c>
    </row>
    <row r="753" spans="1:8" x14ac:dyDescent="0.45">
      <c r="A753" t="str">
        <f>IF(ISBLANK([1]!ScoutingData[[#This Row],[teamNumber]]),"",[1]!ScoutingData[[#This Row],[teamNumber]])</f>
        <v/>
      </c>
      <c r="B753" t="str">
        <f>IF(ISBLANK([1]!ScoutingData[[#This Row],[matchLevel]]),"",[1]!ScoutingData[[#This Row],[matchLevel]])</f>
        <v/>
      </c>
      <c r="C753" t="str">
        <f>IF(ISBLANK([1]!ScoutingData[[#This Row],[matchNumber]]),"",[1]!ScoutingData[[#This Row],[matchNumber]])</f>
        <v/>
      </c>
      <c r="D753" t="str">
        <f>IF(ISBLANK([1]!ScoutingData[[#This Row],[event]]),"",[1]!ScoutingData[[#This Row],[event]])</f>
        <v/>
      </c>
      <c r="E753" t="str">
        <f>IF(ISBLANK([1]!ScoutingData[[#This Row],[position]]),"",[1]!ScoutingData[[#This Row],[position]])</f>
        <v/>
      </c>
      <c r="F753" t="str">
        <f>IF(ISBLANK([1]!ScoutingData[[#This Row],[leaveStartingZone]]),"",[1]!ScoutingData[[#This Row],[leaveStartingZone]])</f>
        <v/>
      </c>
      <c r="G753" t="str">
        <f>IF(ISBLANK([1]!ScoutingData[[#This Row],[autoAmpScore]]),"",[1]!ScoutingData[[#This Row],[autoAmpScore]])</f>
        <v/>
      </c>
      <c r="H753" t="str">
        <f>IF(ISBLANK([1]!ScoutingData[[#This Row],[autoSpeakerScore]]),"",[1]!ScoutingData[[#This Row],[autoSpeakerScore]])</f>
        <v/>
      </c>
    </row>
    <row r="754" spans="1:8" x14ac:dyDescent="0.45">
      <c r="A754" t="str">
        <f>IF(ISBLANK([1]!ScoutingData[[#This Row],[teamNumber]]),"",[1]!ScoutingData[[#This Row],[teamNumber]])</f>
        <v/>
      </c>
      <c r="B754" t="str">
        <f>IF(ISBLANK([1]!ScoutingData[[#This Row],[matchLevel]]),"",[1]!ScoutingData[[#This Row],[matchLevel]])</f>
        <v/>
      </c>
      <c r="C754" t="str">
        <f>IF(ISBLANK([1]!ScoutingData[[#This Row],[matchNumber]]),"",[1]!ScoutingData[[#This Row],[matchNumber]])</f>
        <v/>
      </c>
      <c r="D754" t="str">
        <f>IF(ISBLANK([1]!ScoutingData[[#This Row],[event]]),"",[1]!ScoutingData[[#This Row],[event]])</f>
        <v/>
      </c>
      <c r="E754" t="str">
        <f>IF(ISBLANK([1]!ScoutingData[[#This Row],[position]]),"",[1]!ScoutingData[[#This Row],[position]])</f>
        <v/>
      </c>
      <c r="F754" t="str">
        <f>IF(ISBLANK([1]!ScoutingData[[#This Row],[leaveStartingZone]]),"",[1]!ScoutingData[[#This Row],[leaveStartingZone]])</f>
        <v/>
      </c>
      <c r="G754" t="str">
        <f>IF(ISBLANK([1]!ScoutingData[[#This Row],[autoAmpScore]]),"",[1]!ScoutingData[[#This Row],[autoAmpScore]])</f>
        <v/>
      </c>
      <c r="H754" t="str">
        <f>IF(ISBLANK([1]!ScoutingData[[#This Row],[autoSpeakerScore]]),"",[1]!ScoutingData[[#This Row],[autoSpeakerScore]])</f>
        <v/>
      </c>
    </row>
    <row r="755" spans="1:8" x14ac:dyDescent="0.45">
      <c r="A755" t="str">
        <f>IF(ISBLANK([1]!ScoutingData[[#This Row],[teamNumber]]),"",[1]!ScoutingData[[#This Row],[teamNumber]])</f>
        <v/>
      </c>
      <c r="B755" t="str">
        <f>IF(ISBLANK([1]!ScoutingData[[#This Row],[matchLevel]]),"",[1]!ScoutingData[[#This Row],[matchLevel]])</f>
        <v/>
      </c>
      <c r="C755" t="str">
        <f>IF(ISBLANK([1]!ScoutingData[[#This Row],[matchNumber]]),"",[1]!ScoutingData[[#This Row],[matchNumber]])</f>
        <v/>
      </c>
      <c r="D755" t="str">
        <f>IF(ISBLANK([1]!ScoutingData[[#This Row],[event]]),"",[1]!ScoutingData[[#This Row],[event]])</f>
        <v/>
      </c>
      <c r="E755" t="str">
        <f>IF(ISBLANK([1]!ScoutingData[[#This Row],[position]]),"",[1]!ScoutingData[[#This Row],[position]])</f>
        <v/>
      </c>
      <c r="F755" t="str">
        <f>IF(ISBLANK([1]!ScoutingData[[#This Row],[leaveStartingZone]]),"",[1]!ScoutingData[[#This Row],[leaveStartingZone]])</f>
        <v/>
      </c>
      <c r="G755" t="str">
        <f>IF(ISBLANK([1]!ScoutingData[[#This Row],[autoAmpScore]]),"",[1]!ScoutingData[[#This Row],[autoAmpScore]])</f>
        <v/>
      </c>
      <c r="H755" t="str">
        <f>IF(ISBLANK([1]!ScoutingData[[#This Row],[autoSpeakerScore]]),"",[1]!ScoutingData[[#This Row],[autoSpeakerScore]])</f>
        <v/>
      </c>
    </row>
    <row r="756" spans="1:8" x14ac:dyDescent="0.45">
      <c r="A756" t="str">
        <f>IF(ISBLANK([1]!ScoutingData[[#This Row],[teamNumber]]),"",[1]!ScoutingData[[#This Row],[teamNumber]])</f>
        <v/>
      </c>
      <c r="B756" t="str">
        <f>IF(ISBLANK([1]!ScoutingData[[#This Row],[matchLevel]]),"",[1]!ScoutingData[[#This Row],[matchLevel]])</f>
        <v/>
      </c>
      <c r="C756" t="str">
        <f>IF(ISBLANK([1]!ScoutingData[[#This Row],[matchNumber]]),"",[1]!ScoutingData[[#This Row],[matchNumber]])</f>
        <v/>
      </c>
      <c r="D756" t="str">
        <f>IF(ISBLANK([1]!ScoutingData[[#This Row],[event]]),"",[1]!ScoutingData[[#This Row],[event]])</f>
        <v/>
      </c>
      <c r="E756" t="str">
        <f>IF(ISBLANK([1]!ScoutingData[[#This Row],[position]]),"",[1]!ScoutingData[[#This Row],[position]])</f>
        <v/>
      </c>
      <c r="F756" t="str">
        <f>IF(ISBLANK([1]!ScoutingData[[#This Row],[leaveStartingZone]]),"",[1]!ScoutingData[[#This Row],[leaveStartingZone]])</f>
        <v/>
      </c>
      <c r="G756" t="str">
        <f>IF(ISBLANK([1]!ScoutingData[[#This Row],[autoAmpScore]]),"",[1]!ScoutingData[[#This Row],[autoAmpScore]])</f>
        <v/>
      </c>
      <c r="H756" t="str">
        <f>IF(ISBLANK([1]!ScoutingData[[#This Row],[autoSpeakerScore]]),"",[1]!ScoutingData[[#This Row],[autoSpeakerScore]])</f>
        <v/>
      </c>
    </row>
    <row r="757" spans="1:8" x14ac:dyDescent="0.45">
      <c r="A757" t="str">
        <f>IF(ISBLANK([1]!ScoutingData[[#This Row],[teamNumber]]),"",[1]!ScoutingData[[#This Row],[teamNumber]])</f>
        <v/>
      </c>
      <c r="B757" t="str">
        <f>IF(ISBLANK([1]!ScoutingData[[#This Row],[matchLevel]]),"",[1]!ScoutingData[[#This Row],[matchLevel]])</f>
        <v/>
      </c>
      <c r="C757" t="str">
        <f>IF(ISBLANK([1]!ScoutingData[[#This Row],[matchNumber]]),"",[1]!ScoutingData[[#This Row],[matchNumber]])</f>
        <v/>
      </c>
      <c r="D757" t="str">
        <f>IF(ISBLANK([1]!ScoutingData[[#This Row],[event]]),"",[1]!ScoutingData[[#This Row],[event]])</f>
        <v/>
      </c>
      <c r="E757" t="str">
        <f>IF(ISBLANK([1]!ScoutingData[[#This Row],[position]]),"",[1]!ScoutingData[[#This Row],[position]])</f>
        <v/>
      </c>
      <c r="F757" t="str">
        <f>IF(ISBLANK([1]!ScoutingData[[#This Row],[leaveStartingZone]]),"",[1]!ScoutingData[[#This Row],[leaveStartingZone]])</f>
        <v/>
      </c>
      <c r="G757" t="str">
        <f>IF(ISBLANK([1]!ScoutingData[[#This Row],[autoAmpScore]]),"",[1]!ScoutingData[[#This Row],[autoAmpScore]])</f>
        <v/>
      </c>
      <c r="H757" t="str">
        <f>IF(ISBLANK([1]!ScoutingData[[#This Row],[autoSpeakerScore]]),"",[1]!ScoutingData[[#This Row],[autoSpeakerScore]])</f>
        <v/>
      </c>
    </row>
    <row r="758" spans="1:8" x14ac:dyDescent="0.45">
      <c r="A758" t="str">
        <f>IF(ISBLANK([1]!ScoutingData[[#This Row],[teamNumber]]),"",[1]!ScoutingData[[#This Row],[teamNumber]])</f>
        <v/>
      </c>
      <c r="B758" t="str">
        <f>IF(ISBLANK([1]!ScoutingData[[#This Row],[matchLevel]]),"",[1]!ScoutingData[[#This Row],[matchLevel]])</f>
        <v/>
      </c>
      <c r="C758" t="str">
        <f>IF(ISBLANK([1]!ScoutingData[[#This Row],[matchNumber]]),"",[1]!ScoutingData[[#This Row],[matchNumber]])</f>
        <v/>
      </c>
      <c r="D758" t="str">
        <f>IF(ISBLANK([1]!ScoutingData[[#This Row],[event]]),"",[1]!ScoutingData[[#This Row],[event]])</f>
        <v/>
      </c>
      <c r="E758" t="str">
        <f>IF(ISBLANK([1]!ScoutingData[[#This Row],[position]]),"",[1]!ScoutingData[[#This Row],[position]])</f>
        <v/>
      </c>
      <c r="F758" t="str">
        <f>IF(ISBLANK([1]!ScoutingData[[#This Row],[leaveStartingZone]]),"",[1]!ScoutingData[[#This Row],[leaveStartingZone]])</f>
        <v/>
      </c>
      <c r="G758" t="str">
        <f>IF(ISBLANK([1]!ScoutingData[[#This Row],[autoAmpScore]]),"",[1]!ScoutingData[[#This Row],[autoAmpScore]])</f>
        <v/>
      </c>
      <c r="H758" t="str">
        <f>IF(ISBLANK([1]!ScoutingData[[#This Row],[autoSpeakerScore]]),"",[1]!ScoutingData[[#This Row],[autoSpeakerScore]])</f>
        <v/>
      </c>
    </row>
    <row r="759" spans="1:8" x14ac:dyDescent="0.45">
      <c r="A759" t="str">
        <f>IF(ISBLANK([1]!ScoutingData[[#This Row],[teamNumber]]),"",[1]!ScoutingData[[#This Row],[teamNumber]])</f>
        <v/>
      </c>
      <c r="B759" t="str">
        <f>IF(ISBLANK([1]!ScoutingData[[#This Row],[matchLevel]]),"",[1]!ScoutingData[[#This Row],[matchLevel]])</f>
        <v/>
      </c>
      <c r="C759" t="str">
        <f>IF(ISBLANK([1]!ScoutingData[[#This Row],[matchNumber]]),"",[1]!ScoutingData[[#This Row],[matchNumber]])</f>
        <v/>
      </c>
      <c r="D759" t="str">
        <f>IF(ISBLANK([1]!ScoutingData[[#This Row],[event]]),"",[1]!ScoutingData[[#This Row],[event]])</f>
        <v/>
      </c>
      <c r="E759" t="str">
        <f>IF(ISBLANK([1]!ScoutingData[[#This Row],[position]]),"",[1]!ScoutingData[[#This Row],[position]])</f>
        <v/>
      </c>
      <c r="F759" t="str">
        <f>IF(ISBLANK([1]!ScoutingData[[#This Row],[leaveStartingZone]]),"",[1]!ScoutingData[[#This Row],[leaveStartingZone]])</f>
        <v/>
      </c>
      <c r="G759" t="str">
        <f>IF(ISBLANK([1]!ScoutingData[[#This Row],[autoAmpScore]]),"",[1]!ScoutingData[[#This Row],[autoAmpScore]])</f>
        <v/>
      </c>
      <c r="H759" t="str">
        <f>IF(ISBLANK([1]!ScoutingData[[#This Row],[autoSpeakerScore]]),"",[1]!ScoutingData[[#This Row],[autoSpeakerScore]])</f>
        <v/>
      </c>
    </row>
    <row r="760" spans="1:8" x14ac:dyDescent="0.45">
      <c r="A760" t="str">
        <f>IF(ISBLANK([1]!ScoutingData[[#This Row],[teamNumber]]),"",[1]!ScoutingData[[#This Row],[teamNumber]])</f>
        <v/>
      </c>
      <c r="B760" t="str">
        <f>IF(ISBLANK([1]!ScoutingData[[#This Row],[matchLevel]]),"",[1]!ScoutingData[[#This Row],[matchLevel]])</f>
        <v/>
      </c>
      <c r="C760" t="str">
        <f>IF(ISBLANK([1]!ScoutingData[[#This Row],[matchNumber]]),"",[1]!ScoutingData[[#This Row],[matchNumber]])</f>
        <v/>
      </c>
      <c r="D760" t="str">
        <f>IF(ISBLANK([1]!ScoutingData[[#This Row],[event]]),"",[1]!ScoutingData[[#This Row],[event]])</f>
        <v/>
      </c>
      <c r="E760" t="str">
        <f>IF(ISBLANK([1]!ScoutingData[[#This Row],[position]]),"",[1]!ScoutingData[[#This Row],[position]])</f>
        <v/>
      </c>
      <c r="F760" t="str">
        <f>IF(ISBLANK([1]!ScoutingData[[#This Row],[leaveStartingZone]]),"",[1]!ScoutingData[[#This Row],[leaveStartingZone]])</f>
        <v/>
      </c>
      <c r="G760" t="str">
        <f>IF(ISBLANK([1]!ScoutingData[[#This Row],[autoAmpScore]]),"",[1]!ScoutingData[[#This Row],[autoAmpScore]])</f>
        <v/>
      </c>
      <c r="H760" t="str">
        <f>IF(ISBLANK([1]!ScoutingData[[#This Row],[autoSpeakerScore]]),"",[1]!ScoutingData[[#This Row],[autoSpeakerScore]])</f>
        <v/>
      </c>
    </row>
    <row r="761" spans="1:8" x14ac:dyDescent="0.45">
      <c r="A761" t="str">
        <f>IF(ISBLANK([1]!ScoutingData[[#This Row],[teamNumber]]),"",[1]!ScoutingData[[#This Row],[teamNumber]])</f>
        <v/>
      </c>
      <c r="B761" t="str">
        <f>IF(ISBLANK([1]!ScoutingData[[#This Row],[matchLevel]]),"",[1]!ScoutingData[[#This Row],[matchLevel]])</f>
        <v/>
      </c>
      <c r="C761" t="str">
        <f>IF(ISBLANK([1]!ScoutingData[[#This Row],[matchNumber]]),"",[1]!ScoutingData[[#This Row],[matchNumber]])</f>
        <v/>
      </c>
      <c r="D761" t="str">
        <f>IF(ISBLANK([1]!ScoutingData[[#This Row],[event]]),"",[1]!ScoutingData[[#This Row],[event]])</f>
        <v/>
      </c>
      <c r="E761" t="str">
        <f>IF(ISBLANK([1]!ScoutingData[[#This Row],[position]]),"",[1]!ScoutingData[[#This Row],[position]])</f>
        <v/>
      </c>
      <c r="F761" t="str">
        <f>IF(ISBLANK([1]!ScoutingData[[#This Row],[leaveStartingZone]]),"",[1]!ScoutingData[[#This Row],[leaveStartingZone]])</f>
        <v/>
      </c>
      <c r="G761" t="str">
        <f>IF(ISBLANK([1]!ScoutingData[[#This Row],[autoAmpScore]]),"",[1]!ScoutingData[[#This Row],[autoAmpScore]])</f>
        <v/>
      </c>
      <c r="H761" t="str">
        <f>IF(ISBLANK([1]!ScoutingData[[#This Row],[autoSpeakerScore]]),"",[1]!ScoutingData[[#This Row],[autoSpeakerScore]])</f>
        <v/>
      </c>
    </row>
    <row r="762" spans="1:8" x14ac:dyDescent="0.45">
      <c r="A762" t="str">
        <f>IF(ISBLANK([1]!ScoutingData[[#This Row],[teamNumber]]),"",[1]!ScoutingData[[#This Row],[teamNumber]])</f>
        <v/>
      </c>
      <c r="B762" t="str">
        <f>IF(ISBLANK([1]!ScoutingData[[#This Row],[matchLevel]]),"",[1]!ScoutingData[[#This Row],[matchLevel]])</f>
        <v/>
      </c>
      <c r="C762" t="str">
        <f>IF(ISBLANK([1]!ScoutingData[[#This Row],[matchNumber]]),"",[1]!ScoutingData[[#This Row],[matchNumber]])</f>
        <v/>
      </c>
      <c r="D762" t="str">
        <f>IF(ISBLANK([1]!ScoutingData[[#This Row],[event]]),"",[1]!ScoutingData[[#This Row],[event]])</f>
        <v/>
      </c>
      <c r="E762" t="str">
        <f>IF(ISBLANK([1]!ScoutingData[[#This Row],[position]]),"",[1]!ScoutingData[[#This Row],[position]])</f>
        <v/>
      </c>
      <c r="F762" t="str">
        <f>IF(ISBLANK([1]!ScoutingData[[#This Row],[leaveStartingZone]]),"",[1]!ScoutingData[[#This Row],[leaveStartingZone]])</f>
        <v/>
      </c>
      <c r="G762" t="str">
        <f>IF(ISBLANK([1]!ScoutingData[[#This Row],[autoAmpScore]]),"",[1]!ScoutingData[[#This Row],[autoAmpScore]])</f>
        <v/>
      </c>
      <c r="H762" t="str">
        <f>IF(ISBLANK([1]!ScoutingData[[#This Row],[autoSpeakerScore]]),"",[1]!ScoutingData[[#This Row],[autoSpeakerScore]])</f>
        <v/>
      </c>
    </row>
    <row r="763" spans="1:8" x14ac:dyDescent="0.45">
      <c r="A763" t="str">
        <f>IF(ISBLANK([1]!ScoutingData[[#This Row],[teamNumber]]),"",[1]!ScoutingData[[#This Row],[teamNumber]])</f>
        <v/>
      </c>
      <c r="B763" t="str">
        <f>IF(ISBLANK([1]!ScoutingData[[#This Row],[matchLevel]]),"",[1]!ScoutingData[[#This Row],[matchLevel]])</f>
        <v/>
      </c>
      <c r="C763" t="str">
        <f>IF(ISBLANK([1]!ScoutingData[[#This Row],[matchNumber]]),"",[1]!ScoutingData[[#This Row],[matchNumber]])</f>
        <v/>
      </c>
      <c r="D763" t="str">
        <f>IF(ISBLANK([1]!ScoutingData[[#This Row],[event]]),"",[1]!ScoutingData[[#This Row],[event]])</f>
        <v/>
      </c>
      <c r="E763" t="str">
        <f>IF(ISBLANK([1]!ScoutingData[[#This Row],[position]]),"",[1]!ScoutingData[[#This Row],[position]])</f>
        <v/>
      </c>
      <c r="F763" t="str">
        <f>IF(ISBLANK([1]!ScoutingData[[#This Row],[leaveStartingZone]]),"",[1]!ScoutingData[[#This Row],[leaveStartingZone]])</f>
        <v/>
      </c>
      <c r="G763" t="str">
        <f>IF(ISBLANK([1]!ScoutingData[[#This Row],[autoAmpScore]]),"",[1]!ScoutingData[[#This Row],[autoAmpScore]])</f>
        <v/>
      </c>
      <c r="H763" t="str">
        <f>IF(ISBLANK([1]!ScoutingData[[#This Row],[autoSpeakerScore]]),"",[1]!ScoutingData[[#This Row],[autoSpeakerScore]])</f>
        <v/>
      </c>
    </row>
    <row r="764" spans="1:8" x14ac:dyDescent="0.45">
      <c r="A764" t="str">
        <f>IF(ISBLANK([1]!ScoutingData[[#This Row],[teamNumber]]),"",[1]!ScoutingData[[#This Row],[teamNumber]])</f>
        <v/>
      </c>
      <c r="B764" t="str">
        <f>IF(ISBLANK([1]!ScoutingData[[#This Row],[matchLevel]]),"",[1]!ScoutingData[[#This Row],[matchLevel]])</f>
        <v/>
      </c>
      <c r="C764" t="str">
        <f>IF(ISBLANK([1]!ScoutingData[[#This Row],[matchNumber]]),"",[1]!ScoutingData[[#This Row],[matchNumber]])</f>
        <v/>
      </c>
      <c r="D764" t="str">
        <f>IF(ISBLANK([1]!ScoutingData[[#This Row],[event]]),"",[1]!ScoutingData[[#This Row],[event]])</f>
        <v/>
      </c>
      <c r="E764" t="str">
        <f>IF(ISBLANK([1]!ScoutingData[[#This Row],[position]]),"",[1]!ScoutingData[[#This Row],[position]])</f>
        <v/>
      </c>
      <c r="F764" t="str">
        <f>IF(ISBLANK([1]!ScoutingData[[#This Row],[leaveStartingZone]]),"",[1]!ScoutingData[[#This Row],[leaveStartingZone]])</f>
        <v/>
      </c>
      <c r="G764" t="str">
        <f>IF(ISBLANK([1]!ScoutingData[[#This Row],[autoAmpScore]]),"",[1]!ScoutingData[[#This Row],[autoAmpScore]])</f>
        <v/>
      </c>
      <c r="H764" t="str">
        <f>IF(ISBLANK([1]!ScoutingData[[#This Row],[autoSpeakerScore]]),"",[1]!ScoutingData[[#This Row],[autoSpeakerScore]])</f>
        <v/>
      </c>
    </row>
    <row r="765" spans="1:8" x14ac:dyDescent="0.45">
      <c r="A765" t="str">
        <f>IF(ISBLANK([1]!ScoutingData[[#This Row],[teamNumber]]),"",[1]!ScoutingData[[#This Row],[teamNumber]])</f>
        <v/>
      </c>
      <c r="B765" t="str">
        <f>IF(ISBLANK([1]!ScoutingData[[#This Row],[matchLevel]]),"",[1]!ScoutingData[[#This Row],[matchLevel]])</f>
        <v/>
      </c>
      <c r="C765" t="str">
        <f>IF(ISBLANK([1]!ScoutingData[[#This Row],[matchNumber]]),"",[1]!ScoutingData[[#This Row],[matchNumber]])</f>
        <v/>
      </c>
      <c r="D765" t="str">
        <f>IF(ISBLANK([1]!ScoutingData[[#This Row],[event]]),"",[1]!ScoutingData[[#This Row],[event]])</f>
        <v/>
      </c>
      <c r="E765" t="str">
        <f>IF(ISBLANK([1]!ScoutingData[[#This Row],[position]]),"",[1]!ScoutingData[[#This Row],[position]])</f>
        <v/>
      </c>
      <c r="F765" t="str">
        <f>IF(ISBLANK([1]!ScoutingData[[#This Row],[leaveStartingZone]]),"",[1]!ScoutingData[[#This Row],[leaveStartingZone]])</f>
        <v/>
      </c>
      <c r="G765" t="str">
        <f>IF(ISBLANK([1]!ScoutingData[[#This Row],[autoAmpScore]]),"",[1]!ScoutingData[[#This Row],[autoAmpScore]])</f>
        <v/>
      </c>
      <c r="H765" t="str">
        <f>IF(ISBLANK([1]!ScoutingData[[#This Row],[autoSpeakerScore]]),"",[1]!ScoutingData[[#This Row],[autoSpeakerScore]])</f>
        <v/>
      </c>
    </row>
    <row r="766" spans="1:8" x14ac:dyDescent="0.45">
      <c r="A766" t="str">
        <f>IF(ISBLANK([1]!ScoutingData[[#This Row],[teamNumber]]),"",[1]!ScoutingData[[#This Row],[teamNumber]])</f>
        <v/>
      </c>
      <c r="B766" t="str">
        <f>IF(ISBLANK([1]!ScoutingData[[#This Row],[matchLevel]]),"",[1]!ScoutingData[[#This Row],[matchLevel]])</f>
        <v/>
      </c>
      <c r="C766" t="str">
        <f>IF(ISBLANK([1]!ScoutingData[[#This Row],[matchNumber]]),"",[1]!ScoutingData[[#This Row],[matchNumber]])</f>
        <v/>
      </c>
      <c r="D766" t="str">
        <f>IF(ISBLANK([1]!ScoutingData[[#This Row],[event]]),"",[1]!ScoutingData[[#This Row],[event]])</f>
        <v/>
      </c>
      <c r="E766" t="str">
        <f>IF(ISBLANK([1]!ScoutingData[[#This Row],[position]]),"",[1]!ScoutingData[[#This Row],[position]])</f>
        <v/>
      </c>
      <c r="F766" t="str">
        <f>IF(ISBLANK([1]!ScoutingData[[#This Row],[leaveStartingZone]]),"",[1]!ScoutingData[[#This Row],[leaveStartingZone]])</f>
        <v/>
      </c>
      <c r="G766" t="str">
        <f>IF(ISBLANK([1]!ScoutingData[[#This Row],[autoAmpScore]]),"",[1]!ScoutingData[[#This Row],[autoAmpScore]])</f>
        <v/>
      </c>
      <c r="H766" t="str">
        <f>IF(ISBLANK([1]!ScoutingData[[#This Row],[autoSpeakerScore]]),"",[1]!ScoutingData[[#This Row],[autoSpeakerScore]])</f>
        <v/>
      </c>
    </row>
    <row r="767" spans="1:8" x14ac:dyDescent="0.45">
      <c r="A767" t="str">
        <f>IF(ISBLANK([1]!ScoutingData[[#This Row],[teamNumber]]),"",[1]!ScoutingData[[#This Row],[teamNumber]])</f>
        <v/>
      </c>
      <c r="B767" t="str">
        <f>IF(ISBLANK([1]!ScoutingData[[#This Row],[matchLevel]]),"",[1]!ScoutingData[[#This Row],[matchLevel]])</f>
        <v/>
      </c>
      <c r="C767" t="str">
        <f>IF(ISBLANK([1]!ScoutingData[[#This Row],[matchNumber]]),"",[1]!ScoutingData[[#This Row],[matchNumber]])</f>
        <v/>
      </c>
      <c r="D767" t="str">
        <f>IF(ISBLANK([1]!ScoutingData[[#This Row],[event]]),"",[1]!ScoutingData[[#This Row],[event]])</f>
        <v/>
      </c>
      <c r="E767" t="str">
        <f>IF(ISBLANK([1]!ScoutingData[[#This Row],[position]]),"",[1]!ScoutingData[[#This Row],[position]])</f>
        <v/>
      </c>
      <c r="F767" t="str">
        <f>IF(ISBLANK([1]!ScoutingData[[#This Row],[leaveStartingZone]]),"",[1]!ScoutingData[[#This Row],[leaveStartingZone]])</f>
        <v/>
      </c>
      <c r="G767" t="str">
        <f>IF(ISBLANK([1]!ScoutingData[[#This Row],[autoAmpScore]]),"",[1]!ScoutingData[[#This Row],[autoAmpScore]])</f>
        <v/>
      </c>
      <c r="H767" t="str">
        <f>IF(ISBLANK([1]!ScoutingData[[#This Row],[autoSpeakerScore]]),"",[1]!ScoutingData[[#This Row],[autoSpeakerScore]])</f>
        <v/>
      </c>
    </row>
    <row r="768" spans="1:8" x14ac:dyDescent="0.45">
      <c r="A768" t="str">
        <f>IF(ISBLANK([1]!ScoutingData[[#This Row],[teamNumber]]),"",[1]!ScoutingData[[#This Row],[teamNumber]])</f>
        <v/>
      </c>
      <c r="B768" t="str">
        <f>IF(ISBLANK([1]!ScoutingData[[#This Row],[matchLevel]]),"",[1]!ScoutingData[[#This Row],[matchLevel]])</f>
        <v/>
      </c>
      <c r="C768" t="str">
        <f>IF(ISBLANK([1]!ScoutingData[[#This Row],[matchNumber]]),"",[1]!ScoutingData[[#This Row],[matchNumber]])</f>
        <v/>
      </c>
      <c r="D768" t="str">
        <f>IF(ISBLANK([1]!ScoutingData[[#This Row],[event]]),"",[1]!ScoutingData[[#This Row],[event]])</f>
        <v/>
      </c>
      <c r="E768" t="str">
        <f>IF(ISBLANK([1]!ScoutingData[[#This Row],[position]]),"",[1]!ScoutingData[[#This Row],[position]])</f>
        <v/>
      </c>
      <c r="F768" t="str">
        <f>IF(ISBLANK([1]!ScoutingData[[#This Row],[leaveStartingZone]]),"",[1]!ScoutingData[[#This Row],[leaveStartingZone]])</f>
        <v/>
      </c>
      <c r="G768" t="str">
        <f>IF(ISBLANK([1]!ScoutingData[[#This Row],[autoAmpScore]]),"",[1]!ScoutingData[[#This Row],[autoAmpScore]])</f>
        <v/>
      </c>
      <c r="H768" t="str">
        <f>IF(ISBLANK([1]!ScoutingData[[#This Row],[autoSpeakerScore]]),"",[1]!ScoutingData[[#This Row],[autoSpeakerScore]])</f>
        <v/>
      </c>
    </row>
    <row r="769" spans="1:8" x14ac:dyDescent="0.45">
      <c r="A769" t="str">
        <f>IF(ISBLANK([1]!ScoutingData[[#This Row],[teamNumber]]),"",[1]!ScoutingData[[#This Row],[teamNumber]])</f>
        <v/>
      </c>
      <c r="B769" t="str">
        <f>IF(ISBLANK([1]!ScoutingData[[#This Row],[matchLevel]]),"",[1]!ScoutingData[[#This Row],[matchLevel]])</f>
        <v/>
      </c>
      <c r="C769" t="str">
        <f>IF(ISBLANK([1]!ScoutingData[[#This Row],[matchNumber]]),"",[1]!ScoutingData[[#This Row],[matchNumber]])</f>
        <v/>
      </c>
      <c r="D769" t="str">
        <f>IF(ISBLANK([1]!ScoutingData[[#This Row],[event]]),"",[1]!ScoutingData[[#This Row],[event]])</f>
        <v/>
      </c>
      <c r="E769" t="str">
        <f>IF(ISBLANK([1]!ScoutingData[[#This Row],[position]]),"",[1]!ScoutingData[[#This Row],[position]])</f>
        <v/>
      </c>
      <c r="F769" t="str">
        <f>IF(ISBLANK([1]!ScoutingData[[#This Row],[leaveStartingZone]]),"",[1]!ScoutingData[[#This Row],[leaveStartingZone]])</f>
        <v/>
      </c>
      <c r="G769" t="str">
        <f>IF(ISBLANK([1]!ScoutingData[[#This Row],[autoAmpScore]]),"",[1]!ScoutingData[[#This Row],[autoAmpScore]])</f>
        <v/>
      </c>
      <c r="H769" t="str">
        <f>IF(ISBLANK([1]!ScoutingData[[#This Row],[autoSpeakerScore]]),"",[1]!ScoutingData[[#This Row],[autoSpeakerScore]])</f>
        <v/>
      </c>
    </row>
    <row r="770" spans="1:8" x14ac:dyDescent="0.45">
      <c r="A770" t="str">
        <f>IF(ISBLANK([1]!ScoutingData[[#This Row],[teamNumber]]),"",[1]!ScoutingData[[#This Row],[teamNumber]])</f>
        <v/>
      </c>
      <c r="B770" t="str">
        <f>IF(ISBLANK([1]!ScoutingData[[#This Row],[matchLevel]]),"",[1]!ScoutingData[[#This Row],[matchLevel]])</f>
        <v/>
      </c>
      <c r="C770" t="str">
        <f>IF(ISBLANK([1]!ScoutingData[[#This Row],[matchNumber]]),"",[1]!ScoutingData[[#This Row],[matchNumber]])</f>
        <v/>
      </c>
      <c r="D770" t="str">
        <f>IF(ISBLANK([1]!ScoutingData[[#This Row],[event]]),"",[1]!ScoutingData[[#This Row],[event]])</f>
        <v/>
      </c>
      <c r="E770" t="str">
        <f>IF(ISBLANK([1]!ScoutingData[[#This Row],[position]]),"",[1]!ScoutingData[[#This Row],[position]])</f>
        <v/>
      </c>
      <c r="F770" t="str">
        <f>IF(ISBLANK([1]!ScoutingData[[#This Row],[leaveStartingZone]]),"",[1]!ScoutingData[[#This Row],[leaveStartingZone]])</f>
        <v/>
      </c>
      <c r="G770" t="str">
        <f>IF(ISBLANK([1]!ScoutingData[[#This Row],[autoAmpScore]]),"",[1]!ScoutingData[[#This Row],[autoAmpScore]])</f>
        <v/>
      </c>
      <c r="H770" t="str">
        <f>IF(ISBLANK([1]!ScoutingData[[#This Row],[autoSpeakerScore]]),"",[1]!ScoutingData[[#This Row],[autoSpeakerScore]])</f>
        <v/>
      </c>
    </row>
    <row r="771" spans="1:8" x14ac:dyDescent="0.45">
      <c r="A771" t="str">
        <f>IF(ISBLANK([1]!ScoutingData[[#This Row],[teamNumber]]),"",[1]!ScoutingData[[#This Row],[teamNumber]])</f>
        <v/>
      </c>
      <c r="B771" t="str">
        <f>IF(ISBLANK([1]!ScoutingData[[#This Row],[matchLevel]]),"",[1]!ScoutingData[[#This Row],[matchLevel]])</f>
        <v/>
      </c>
      <c r="C771" t="str">
        <f>IF(ISBLANK([1]!ScoutingData[[#This Row],[matchNumber]]),"",[1]!ScoutingData[[#This Row],[matchNumber]])</f>
        <v/>
      </c>
      <c r="D771" t="str">
        <f>IF(ISBLANK([1]!ScoutingData[[#This Row],[event]]),"",[1]!ScoutingData[[#This Row],[event]])</f>
        <v/>
      </c>
      <c r="E771" t="str">
        <f>IF(ISBLANK([1]!ScoutingData[[#This Row],[position]]),"",[1]!ScoutingData[[#This Row],[position]])</f>
        <v/>
      </c>
      <c r="F771" t="str">
        <f>IF(ISBLANK([1]!ScoutingData[[#This Row],[leaveStartingZone]]),"",[1]!ScoutingData[[#This Row],[leaveStartingZone]])</f>
        <v/>
      </c>
      <c r="G771" t="str">
        <f>IF(ISBLANK([1]!ScoutingData[[#This Row],[autoAmpScore]]),"",[1]!ScoutingData[[#This Row],[autoAmpScore]])</f>
        <v/>
      </c>
      <c r="H771" t="str">
        <f>IF(ISBLANK([1]!ScoutingData[[#This Row],[autoSpeakerScore]]),"",[1]!ScoutingData[[#This Row],[autoSpeakerScore]])</f>
        <v/>
      </c>
    </row>
    <row r="772" spans="1:8" x14ac:dyDescent="0.45">
      <c r="A772" t="str">
        <f>IF(ISBLANK([1]!ScoutingData[[#This Row],[teamNumber]]),"",[1]!ScoutingData[[#This Row],[teamNumber]])</f>
        <v/>
      </c>
      <c r="B772" t="str">
        <f>IF(ISBLANK([1]!ScoutingData[[#This Row],[matchLevel]]),"",[1]!ScoutingData[[#This Row],[matchLevel]])</f>
        <v/>
      </c>
      <c r="C772" t="str">
        <f>IF(ISBLANK([1]!ScoutingData[[#This Row],[matchNumber]]),"",[1]!ScoutingData[[#This Row],[matchNumber]])</f>
        <v/>
      </c>
      <c r="D772" t="str">
        <f>IF(ISBLANK([1]!ScoutingData[[#This Row],[event]]),"",[1]!ScoutingData[[#This Row],[event]])</f>
        <v/>
      </c>
      <c r="E772" t="str">
        <f>IF(ISBLANK([1]!ScoutingData[[#This Row],[position]]),"",[1]!ScoutingData[[#This Row],[position]])</f>
        <v/>
      </c>
      <c r="F772" t="str">
        <f>IF(ISBLANK([1]!ScoutingData[[#This Row],[leaveStartingZone]]),"",[1]!ScoutingData[[#This Row],[leaveStartingZone]])</f>
        <v/>
      </c>
      <c r="G772" t="str">
        <f>IF(ISBLANK([1]!ScoutingData[[#This Row],[autoAmpScore]]),"",[1]!ScoutingData[[#This Row],[autoAmpScore]])</f>
        <v/>
      </c>
      <c r="H772" t="str">
        <f>IF(ISBLANK([1]!ScoutingData[[#This Row],[autoSpeakerScore]]),"",[1]!ScoutingData[[#This Row],[autoSpeakerScore]])</f>
        <v/>
      </c>
    </row>
    <row r="773" spans="1:8" x14ac:dyDescent="0.45">
      <c r="A773" t="str">
        <f>IF(ISBLANK([1]!ScoutingData[[#This Row],[teamNumber]]),"",[1]!ScoutingData[[#This Row],[teamNumber]])</f>
        <v/>
      </c>
      <c r="B773" t="str">
        <f>IF(ISBLANK([1]!ScoutingData[[#This Row],[matchLevel]]),"",[1]!ScoutingData[[#This Row],[matchLevel]])</f>
        <v/>
      </c>
      <c r="C773" t="str">
        <f>IF(ISBLANK([1]!ScoutingData[[#This Row],[matchNumber]]),"",[1]!ScoutingData[[#This Row],[matchNumber]])</f>
        <v/>
      </c>
      <c r="D773" t="str">
        <f>IF(ISBLANK([1]!ScoutingData[[#This Row],[event]]),"",[1]!ScoutingData[[#This Row],[event]])</f>
        <v/>
      </c>
      <c r="E773" t="str">
        <f>IF(ISBLANK([1]!ScoutingData[[#This Row],[position]]),"",[1]!ScoutingData[[#This Row],[position]])</f>
        <v/>
      </c>
      <c r="F773" t="str">
        <f>IF(ISBLANK([1]!ScoutingData[[#This Row],[leaveStartingZone]]),"",[1]!ScoutingData[[#This Row],[leaveStartingZone]])</f>
        <v/>
      </c>
      <c r="G773" t="str">
        <f>IF(ISBLANK([1]!ScoutingData[[#This Row],[autoAmpScore]]),"",[1]!ScoutingData[[#This Row],[autoAmpScore]])</f>
        <v/>
      </c>
      <c r="H773" t="str">
        <f>IF(ISBLANK([1]!ScoutingData[[#This Row],[autoSpeakerScore]]),"",[1]!ScoutingData[[#This Row],[autoSpeakerScore]])</f>
        <v/>
      </c>
    </row>
    <row r="774" spans="1:8" x14ac:dyDescent="0.45">
      <c r="A774" t="str">
        <f>IF(ISBLANK([1]!ScoutingData[[#This Row],[teamNumber]]),"",[1]!ScoutingData[[#This Row],[teamNumber]])</f>
        <v/>
      </c>
      <c r="B774" t="str">
        <f>IF(ISBLANK([1]!ScoutingData[[#This Row],[matchLevel]]),"",[1]!ScoutingData[[#This Row],[matchLevel]])</f>
        <v/>
      </c>
      <c r="C774" t="str">
        <f>IF(ISBLANK([1]!ScoutingData[[#This Row],[matchNumber]]),"",[1]!ScoutingData[[#This Row],[matchNumber]])</f>
        <v/>
      </c>
      <c r="D774" t="str">
        <f>IF(ISBLANK([1]!ScoutingData[[#This Row],[event]]),"",[1]!ScoutingData[[#This Row],[event]])</f>
        <v/>
      </c>
      <c r="E774" t="str">
        <f>IF(ISBLANK([1]!ScoutingData[[#This Row],[position]]),"",[1]!ScoutingData[[#This Row],[position]])</f>
        <v/>
      </c>
      <c r="F774" t="str">
        <f>IF(ISBLANK([1]!ScoutingData[[#This Row],[leaveStartingZone]]),"",[1]!ScoutingData[[#This Row],[leaveStartingZone]])</f>
        <v/>
      </c>
      <c r="G774" t="str">
        <f>IF(ISBLANK([1]!ScoutingData[[#This Row],[autoAmpScore]]),"",[1]!ScoutingData[[#This Row],[autoAmpScore]])</f>
        <v/>
      </c>
      <c r="H774" t="str">
        <f>IF(ISBLANK([1]!ScoutingData[[#This Row],[autoSpeakerScore]]),"",[1]!ScoutingData[[#This Row],[autoSpeakerScore]])</f>
        <v/>
      </c>
    </row>
    <row r="775" spans="1:8" x14ac:dyDescent="0.45">
      <c r="A775" t="str">
        <f>IF(ISBLANK([1]!ScoutingData[[#This Row],[teamNumber]]),"",[1]!ScoutingData[[#This Row],[teamNumber]])</f>
        <v/>
      </c>
      <c r="B775" t="str">
        <f>IF(ISBLANK([1]!ScoutingData[[#This Row],[matchLevel]]),"",[1]!ScoutingData[[#This Row],[matchLevel]])</f>
        <v/>
      </c>
      <c r="C775" t="str">
        <f>IF(ISBLANK([1]!ScoutingData[[#This Row],[matchNumber]]),"",[1]!ScoutingData[[#This Row],[matchNumber]])</f>
        <v/>
      </c>
      <c r="D775" t="str">
        <f>IF(ISBLANK([1]!ScoutingData[[#This Row],[event]]),"",[1]!ScoutingData[[#This Row],[event]])</f>
        <v/>
      </c>
      <c r="E775" t="str">
        <f>IF(ISBLANK([1]!ScoutingData[[#This Row],[position]]),"",[1]!ScoutingData[[#This Row],[position]])</f>
        <v/>
      </c>
      <c r="F775" t="str">
        <f>IF(ISBLANK([1]!ScoutingData[[#This Row],[leaveStartingZone]]),"",[1]!ScoutingData[[#This Row],[leaveStartingZone]])</f>
        <v/>
      </c>
      <c r="G775" t="str">
        <f>IF(ISBLANK([1]!ScoutingData[[#This Row],[autoAmpScore]]),"",[1]!ScoutingData[[#This Row],[autoAmpScore]])</f>
        <v/>
      </c>
      <c r="H775" t="str">
        <f>IF(ISBLANK([1]!ScoutingData[[#This Row],[autoSpeakerScore]]),"",[1]!ScoutingData[[#This Row],[autoSpeakerScore]])</f>
        <v/>
      </c>
    </row>
    <row r="776" spans="1:8" x14ac:dyDescent="0.45">
      <c r="A776" t="str">
        <f>IF(ISBLANK([1]!ScoutingData[[#This Row],[teamNumber]]),"",[1]!ScoutingData[[#This Row],[teamNumber]])</f>
        <v/>
      </c>
      <c r="B776" t="str">
        <f>IF(ISBLANK([1]!ScoutingData[[#This Row],[matchLevel]]),"",[1]!ScoutingData[[#This Row],[matchLevel]])</f>
        <v/>
      </c>
      <c r="C776" t="str">
        <f>IF(ISBLANK([1]!ScoutingData[[#This Row],[matchNumber]]),"",[1]!ScoutingData[[#This Row],[matchNumber]])</f>
        <v/>
      </c>
      <c r="D776" t="str">
        <f>IF(ISBLANK([1]!ScoutingData[[#This Row],[event]]),"",[1]!ScoutingData[[#This Row],[event]])</f>
        <v/>
      </c>
      <c r="E776" t="str">
        <f>IF(ISBLANK([1]!ScoutingData[[#This Row],[position]]),"",[1]!ScoutingData[[#This Row],[position]])</f>
        <v/>
      </c>
      <c r="F776" t="str">
        <f>IF(ISBLANK([1]!ScoutingData[[#This Row],[leaveStartingZone]]),"",[1]!ScoutingData[[#This Row],[leaveStartingZone]])</f>
        <v/>
      </c>
      <c r="G776" t="str">
        <f>IF(ISBLANK([1]!ScoutingData[[#This Row],[autoAmpScore]]),"",[1]!ScoutingData[[#This Row],[autoAmpScore]])</f>
        <v/>
      </c>
      <c r="H776" t="str">
        <f>IF(ISBLANK([1]!ScoutingData[[#This Row],[autoSpeakerScore]]),"",[1]!ScoutingData[[#This Row],[autoSpeakerScore]])</f>
        <v/>
      </c>
    </row>
    <row r="777" spans="1:8" x14ac:dyDescent="0.45">
      <c r="A777" t="str">
        <f>IF(ISBLANK([1]!ScoutingData[[#This Row],[teamNumber]]),"",[1]!ScoutingData[[#This Row],[teamNumber]])</f>
        <v/>
      </c>
      <c r="B777" t="str">
        <f>IF(ISBLANK([1]!ScoutingData[[#This Row],[matchLevel]]),"",[1]!ScoutingData[[#This Row],[matchLevel]])</f>
        <v/>
      </c>
      <c r="C777" t="str">
        <f>IF(ISBLANK([1]!ScoutingData[[#This Row],[matchNumber]]),"",[1]!ScoutingData[[#This Row],[matchNumber]])</f>
        <v/>
      </c>
      <c r="D777" t="str">
        <f>IF(ISBLANK([1]!ScoutingData[[#This Row],[event]]),"",[1]!ScoutingData[[#This Row],[event]])</f>
        <v/>
      </c>
      <c r="E777" t="str">
        <f>IF(ISBLANK([1]!ScoutingData[[#This Row],[position]]),"",[1]!ScoutingData[[#This Row],[position]])</f>
        <v/>
      </c>
      <c r="F777" t="str">
        <f>IF(ISBLANK([1]!ScoutingData[[#This Row],[leaveStartingZone]]),"",[1]!ScoutingData[[#This Row],[leaveStartingZone]])</f>
        <v/>
      </c>
      <c r="G777" t="str">
        <f>IF(ISBLANK([1]!ScoutingData[[#This Row],[autoAmpScore]]),"",[1]!ScoutingData[[#This Row],[autoAmpScore]])</f>
        <v/>
      </c>
      <c r="H777" t="str">
        <f>IF(ISBLANK([1]!ScoutingData[[#This Row],[autoSpeakerScore]]),"",[1]!ScoutingData[[#This Row],[autoSpeakerScore]])</f>
        <v/>
      </c>
    </row>
    <row r="778" spans="1:8" x14ac:dyDescent="0.45">
      <c r="A778" t="str">
        <f>IF(ISBLANK([1]!ScoutingData[[#This Row],[teamNumber]]),"",[1]!ScoutingData[[#This Row],[teamNumber]])</f>
        <v/>
      </c>
      <c r="B778" t="str">
        <f>IF(ISBLANK([1]!ScoutingData[[#This Row],[matchLevel]]),"",[1]!ScoutingData[[#This Row],[matchLevel]])</f>
        <v/>
      </c>
      <c r="C778" t="str">
        <f>IF(ISBLANK([1]!ScoutingData[[#This Row],[matchNumber]]),"",[1]!ScoutingData[[#This Row],[matchNumber]])</f>
        <v/>
      </c>
      <c r="D778" t="str">
        <f>IF(ISBLANK([1]!ScoutingData[[#This Row],[event]]),"",[1]!ScoutingData[[#This Row],[event]])</f>
        <v/>
      </c>
      <c r="E778" t="str">
        <f>IF(ISBLANK([1]!ScoutingData[[#This Row],[position]]),"",[1]!ScoutingData[[#This Row],[position]])</f>
        <v/>
      </c>
      <c r="F778" t="str">
        <f>IF(ISBLANK([1]!ScoutingData[[#This Row],[leaveStartingZone]]),"",[1]!ScoutingData[[#This Row],[leaveStartingZone]])</f>
        <v/>
      </c>
      <c r="G778" t="str">
        <f>IF(ISBLANK([1]!ScoutingData[[#This Row],[autoAmpScore]]),"",[1]!ScoutingData[[#This Row],[autoAmpScore]])</f>
        <v/>
      </c>
      <c r="H778" t="str">
        <f>IF(ISBLANK([1]!ScoutingData[[#This Row],[autoSpeakerScore]]),"",[1]!ScoutingData[[#This Row],[autoSpeakerScore]])</f>
        <v/>
      </c>
    </row>
    <row r="779" spans="1:8" x14ac:dyDescent="0.45">
      <c r="A779" t="str">
        <f>IF(ISBLANK([1]!ScoutingData[[#This Row],[teamNumber]]),"",[1]!ScoutingData[[#This Row],[teamNumber]])</f>
        <v/>
      </c>
      <c r="B779" t="str">
        <f>IF(ISBLANK([1]!ScoutingData[[#This Row],[matchLevel]]),"",[1]!ScoutingData[[#This Row],[matchLevel]])</f>
        <v/>
      </c>
      <c r="C779" t="str">
        <f>IF(ISBLANK([1]!ScoutingData[[#This Row],[matchNumber]]),"",[1]!ScoutingData[[#This Row],[matchNumber]])</f>
        <v/>
      </c>
      <c r="D779" t="str">
        <f>IF(ISBLANK([1]!ScoutingData[[#This Row],[event]]),"",[1]!ScoutingData[[#This Row],[event]])</f>
        <v/>
      </c>
      <c r="E779" t="str">
        <f>IF(ISBLANK([1]!ScoutingData[[#This Row],[position]]),"",[1]!ScoutingData[[#This Row],[position]])</f>
        <v/>
      </c>
      <c r="F779" t="str">
        <f>IF(ISBLANK([1]!ScoutingData[[#This Row],[leaveStartingZone]]),"",[1]!ScoutingData[[#This Row],[leaveStartingZone]])</f>
        <v/>
      </c>
      <c r="G779" t="str">
        <f>IF(ISBLANK([1]!ScoutingData[[#This Row],[autoAmpScore]]),"",[1]!ScoutingData[[#This Row],[autoAmpScore]])</f>
        <v/>
      </c>
      <c r="H779" t="str">
        <f>IF(ISBLANK([1]!ScoutingData[[#This Row],[autoSpeakerScore]]),"",[1]!ScoutingData[[#This Row],[autoSpeakerScore]])</f>
        <v/>
      </c>
    </row>
    <row r="780" spans="1:8" x14ac:dyDescent="0.45">
      <c r="A780" t="str">
        <f>IF(ISBLANK([1]!ScoutingData[[#This Row],[teamNumber]]),"",[1]!ScoutingData[[#This Row],[teamNumber]])</f>
        <v/>
      </c>
      <c r="B780" t="str">
        <f>IF(ISBLANK([1]!ScoutingData[[#This Row],[matchLevel]]),"",[1]!ScoutingData[[#This Row],[matchLevel]])</f>
        <v/>
      </c>
      <c r="C780" t="str">
        <f>IF(ISBLANK([1]!ScoutingData[[#This Row],[matchNumber]]),"",[1]!ScoutingData[[#This Row],[matchNumber]])</f>
        <v/>
      </c>
      <c r="D780" t="str">
        <f>IF(ISBLANK([1]!ScoutingData[[#This Row],[event]]),"",[1]!ScoutingData[[#This Row],[event]])</f>
        <v/>
      </c>
      <c r="E780" t="str">
        <f>IF(ISBLANK([1]!ScoutingData[[#This Row],[position]]),"",[1]!ScoutingData[[#This Row],[position]])</f>
        <v/>
      </c>
      <c r="F780" t="str">
        <f>IF(ISBLANK([1]!ScoutingData[[#This Row],[leaveStartingZone]]),"",[1]!ScoutingData[[#This Row],[leaveStartingZone]])</f>
        <v/>
      </c>
      <c r="G780" t="str">
        <f>IF(ISBLANK([1]!ScoutingData[[#This Row],[autoAmpScore]]),"",[1]!ScoutingData[[#This Row],[autoAmpScore]])</f>
        <v/>
      </c>
      <c r="H780" t="str">
        <f>IF(ISBLANK([1]!ScoutingData[[#This Row],[autoSpeakerScore]]),"",[1]!ScoutingData[[#This Row],[autoSpeakerScore]])</f>
        <v/>
      </c>
    </row>
    <row r="781" spans="1:8" x14ac:dyDescent="0.45">
      <c r="A781" t="str">
        <f>IF(ISBLANK([1]!ScoutingData[[#This Row],[teamNumber]]),"",[1]!ScoutingData[[#This Row],[teamNumber]])</f>
        <v/>
      </c>
      <c r="B781" t="str">
        <f>IF(ISBLANK([1]!ScoutingData[[#This Row],[matchLevel]]),"",[1]!ScoutingData[[#This Row],[matchLevel]])</f>
        <v/>
      </c>
      <c r="C781" t="str">
        <f>IF(ISBLANK([1]!ScoutingData[[#This Row],[matchNumber]]),"",[1]!ScoutingData[[#This Row],[matchNumber]])</f>
        <v/>
      </c>
      <c r="D781" t="str">
        <f>IF(ISBLANK([1]!ScoutingData[[#This Row],[event]]),"",[1]!ScoutingData[[#This Row],[event]])</f>
        <v/>
      </c>
      <c r="E781" t="str">
        <f>IF(ISBLANK([1]!ScoutingData[[#This Row],[position]]),"",[1]!ScoutingData[[#This Row],[position]])</f>
        <v/>
      </c>
      <c r="F781" t="str">
        <f>IF(ISBLANK([1]!ScoutingData[[#This Row],[leaveStartingZone]]),"",[1]!ScoutingData[[#This Row],[leaveStartingZone]])</f>
        <v/>
      </c>
      <c r="G781" t="str">
        <f>IF(ISBLANK([1]!ScoutingData[[#This Row],[autoAmpScore]]),"",[1]!ScoutingData[[#This Row],[autoAmpScore]])</f>
        <v/>
      </c>
      <c r="H781" t="str">
        <f>IF(ISBLANK([1]!ScoutingData[[#This Row],[autoSpeakerScore]]),"",[1]!ScoutingData[[#This Row],[autoSpeakerScore]])</f>
        <v/>
      </c>
    </row>
    <row r="782" spans="1:8" x14ac:dyDescent="0.45">
      <c r="A782" t="str">
        <f>IF(ISBLANK([1]!ScoutingData[[#This Row],[teamNumber]]),"",[1]!ScoutingData[[#This Row],[teamNumber]])</f>
        <v/>
      </c>
      <c r="B782" t="str">
        <f>IF(ISBLANK([1]!ScoutingData[[#This Row],[matchLevel]]),"",[1]!ScoutingData[[#This Row],[matchLevel]])</f>
        <v/>
      </c>
      <c r="C782" t="str">
        <f>IF(ISBLANK([1]!ScoutingData[[#This Row],[matchNumber]]),"",[1]!ScoutingData[[#This Row],[matchNumber]])</f>
        <v/>
      </c>
      <c r="D782" t="str">
        <f>IF(ISBLANK([1]!ScoutingData[[#This Row],[event]]),"",[1]!ScoutingData[[#This Row],[event]])</f>
        <v/>
      </c>
      <c r="E782" t="str">
        <f>IF(ISBLANK([1]!ScoutingData[[#This Row],[position]]),"",[1]!ScoutingData[[#This Row],[position]])</f>
        <v/>
      </c>
      <c r="F782" t="str">
        <f>IF(ISBLANK([1]!ScoutingData[[#This Row],[leaveStartingZone]]),"",[1]!ScoutingData[[#This Row],[leaveStartingZone]])</f>
        <v/>
      </c>
      <c r="G782" t="str">
        <f>IF(ISBLANK([1]!ScoutingData[[#This Row],[autoAmpScore]]),"",[1]!ScoutingData[[#This Row],[autoAmpScore]])</f>
        <v/>
      </c>
      <c r="H782" t="str">
        <f>IF(ISBLANK([1]!ScoutingData[[#This Row],[autoSpeakerScore]]),"",[1]!ScoutingData[[#This Row],[autoSpeakerScore]])</f>
        <v/>
      </c>
    </row>
    <row r="783" spans="1:8" x14ac:dyDescent="0.45">
      <c r="A783" t="str">
        <f>IF(ISBLANK([1]!ScoutingData[[#This Row],[teamNumber]]),"",[1]!ScoutingData[[#This Row],[teamNumber]])</f>
        <v/>
      </c>
      <c r="B783" t="str">
        <f>IF(ISBLANK([1]!ScoutingData[[#This Row],[matchLevel]]),"",[1]!ScoutingData[[#This Row],[matchLevel]])</f>
        <v/>
      </c>
      <c r="C783" t="str">
        <f>IF(ISBLANK([1]!ScoutingData[[#This Row],[matchNumber]]),"",[1]!ScoutingData[[#This Row],[matchNumber]])</f>
        <v/>
      </c>
      <c r="D783" t="str">
        <f>IF(ISBLANK([1]!ScoutingData[[#This Row],[event]]),"",[1]!ScoutingData[[#This Row],[event]])</f>
        <v/>
      </c>
      <c r="E783" t="str">
        <f>IF(ISBLANK([1]!ScoutingData[[#This Row],[position]]),"",[1]!ScoutingData[[#This Row],[position]])</f>
        <v/>
      </c>
      <c r="F783" t="str">
        <f>IF(ISBLANK([1]!ScoutingData[[#This Row],[leaveStartingZone]]),"",[1]!ScoutingData[[#This Row],[leaveStartingZone]])</f>
        <v/>
      </c>
      <c r="G783" t="str">
        <f>IF(ISBLANK([1]!ScoutingData[[#This Row],[autoAmpScore]]),"",[1]!ScoutingData[[#This Row],[autoAmpScore]])</f>
        <v/>
      </c>
      <c r="H783" t="str">
        <f>IF(ISBLANK([1]!ScoutingData[[#This Row],[autoSpeakerScore]]),"",[1]!ScoutingData[[#This Row],[autoSpeakerScore]])</f>
        <v/>
      </c>
    </row>
    <row r="784" spans="1:8" x14ac:dyDescent="0.45">
      <c r="A784" t="str">
        <f>IF(ISBLANK([1]!ScoutingData[[#This Row],[teamNumber]]),"",[1]!ScoutingData[[#This Row],[teamNumber]])</f>
        <v/>
      </c>
      <c r="B784" t="str">
        <f>IF(ISBLANK([1]!ScoutingData[[#This Row],[matchLevel]]),"",[1]!ScoutingData[[#This Row],[matchLevel]])</f>
        <v/>
      </c>
      <c r="C784" t="str">
        <f>IF(ISBLANK([1]!ScoutingData[[#This Row],[matchNumber]]),"",[1]!ScoutingData[[#This Row],[matchNumber]])</f>
        <v/>
      </c>
      <c r="D784" t="str">
        <f>IF(ISBLANK([1]!ScoutingData[[#This Row],[event]]),"",[1]!ScoutingData[[#This Row],[event]])</f>
        <v/>
      </c>
      <c r="E784" t="str">
        <f>IF(ISBLANK([1]!ScoutingData[[#This Row],[position]]),"",[1]!ScoutingData[[#This Row],[position]])</f>
        <v/>
      </c>
      <c r="F784" t="str">
        <f>IF(ISBLANK([1]!ScoutingData[[#This Row],[leaveStartingZone]]),"",[1]!ScoutingData[[#This Row],[leaveStartingZone]])</f>
        <v/>
      </c>
      <c r="G784" t="str">
        <f>IF(ISBLANK([1]!ScoutingData[[#This Row],[autoAmpScore]]),"",[1]!ScoutingData[[#This Row],[autoAmpScore]])</f>
        <v/>
      </c>
      <c r="H784" t="str">
        <f>IF(ISBLANK([1]!ScoutingData[[#This Row],[autoSpeakerScore]]),"",[1]!ScoutingData[[#This Row],[autoSpeakerScore]])</f>
        <v/>
      </c>
    </row>
    <row r="785" spans="1:8" x14ac:dyDescent="0.45">
      <c r="A785" t="str">
        <f>IF(ISBLANK([1]!ScoutingData[[#This Row],[teamNumber]]),"",[1]!ScoutingData[[#This Row],[teamNumber]])</f>
        <v/>
      </c>
      <c r="B785" t="str">
        <f>IF(ISBLANK([1]!ScoutingData[[#This Row],[matchLevel]]),"",[1]!ScoutingData[[#This Row],[matchLevel]])</f>
        <v/>
      </c>
      <c r="C785" t="str">
        <f>IF(ISBLANK([1]!ScoutingData[[#This Row],[matchNumber]]),"",[1]!ScoutingData[[#This Row],[matchNumber]])</f>
        <v/>
      </c>
      <c r="D785" t="str">
        <f>IF(ISBLANK([1]!ScoutingData[[#This Row],[event]]),"",[1]!ScoutingData[[#This Row],[event]])</f>
        <v/>
      </c>
      <c r="E785" t="str">
        <f>IF(ISBLANK([1]!ScoutingData[[#This Row],[position]]),"",[1]!ScoutingData[[#This Row],[position]])</f>
        <v/>
      </c>
      <c r="F785" t="str">
        <f>IF(ISBLANK([1]!ScoutingData[[#This Row],[leaveStartingZone]]),"",[1]!ScoutingData[[#This Row],[leaveStartingZone]])</f>
        <v/>
      </c>
      <c r="G785" t="str">
        <f>IF(ISBLANK([1]!ScoutingData[[#This Row],[autoAmpScore]]),"",[1]!ScoutingData[[#This Row],[autoAmpScore]])</f>
        <v/>
      </c>
      <c r="H785" t="str">
        <f>IF(ISBLANK([1]!ScoutingData[[#This Row],[autoSpeakerScore]]),"",[1]!ScoutingData[[#This Row],[autoSpeakerScore]])</f>
        <v/>
      </c>
    </row>
    <row r="786" spans="1:8" x14ac:dyDescent="0.45">
      <c r="A786" t="str">
        <f>IF(ISBLANK([1]!ScoutingData[[#This Row],[teamNumber]]),"",[1]!ScoutingData[[#This Row],[teamNumber]])</f>
        <v/>
      </c>
      <c r="B786" t="str">
        <f>IF(ISBLANK([1]!ScoutingData[[#This Row],[matchLevel]]),"",[1]!ScoutingData[[#This Row],[matchLevel]])</f>
        <v/>
      </c>
      <c r="C786" t="str">
        <f>IF(ISBLANK([1]!ScoutingData[[#This Row],[matchNumber]]),"",[1]!ScoutingData[[#This Row],[matchNumber]])</f>
        <v/>
      </c>
      <c r="D786" t="str">
        <f>IF(ISBLANK([1]!ScoutingData[[#This Row],[event]]),"",[1]!ScoutingData[[#This Row],[event]])</f>
        <v/>
      </c>
      <c r="E786" t="str">
        <f>IF(ISBLANK([1]!ScoutingData[[#This Row],[position]]),"",[1]!ScoutingData[[#This Row],[position]])</f>
        <v/>
      </c>
      <c r="F786" t="str">
        <f>IF(ISBLANK([1]!ScoutingData[[#This Row],[leaveStartingZone]]),"",[1]!ScoutingData[[#This Row],[leaveStartingZone]])</f>
        <v/>
      </c>
      <c r="G786" t="str">
        <f>IF(ISBLANK([1]!ScoutingData[[#This Row],[autoAmpScore]]),"",[1]!ScoutingData[[#This Row],[autoAmpScore]])</f>
        <v/>
      </c>
      <c r="H786" t="str">
        <f>IF(ISBLANK([1]!ScoutingData[[#This Row],[autoSpeakerScore]]),"",[1]!ScoutingData[[#This Row],[autoSpeakerScore]])</f>
        <v/>
      </c>
    </row>
    <row r="787" spans="1:8" x14ac:dyDescent="0.45">
      <c r="A787" t="str">
        <f>IF(ISBLANK([1]!ScoutingData[[#This Row],[teamNumber]]),"",[1]!ScoutingData[[#This Row],[teamNumber]])</f>
        <v/>
      </c>
      <c r="B787" t="str">
        <f>IF(ISBLANK([1]!ScoutingData[[#This Row],[matchLevel]]),"",[1]!ScoutingData[[#This Row],[matchLevel]])</f>
        <v/>
      </c>
      <c r="C787" t="str">
        <f>IF(ISBLANK([1]!ScoutingData[[#This Row],[matchNumber]]),"",[1]!ScoutingData[[#This Row],[matchNumber]])</f>
        <v/>
      </c>
      <c r="D787" t="str">
        <f>IF(ISBLANK([1]!ScoutingData[[#This Row],[event]]),"",[1]!ScoutingData[[#This Row],[event]])</f>
        <v/>
      </c>
      <c r="E787" t="str">
        <f>IF(ISBLANK([1]!ScoutingData[[#This Row],[position]]),"",[1]!ScoutingData[[#This Row],[position]])</f>
        <v/>
      </c>
      <c r="F787" t="str">
        <f>IF(ISBLANK([1]!ScoutingData[[#This Row],[leaveStartingZone]]),"",[1]!ScoutingData[[#This Row],[leaveStartingZone]])</f>
        <v/>
      </c>
      <c r="G787" t="str">
        <f>IF(ISBLANK([1]!ScoutingData[[#This Row],[autoAmpScore]]),"",[1]!ScoutingData[[#This Row],[autoAmpScore]])</f>
        <v/>
      </c>
      <c r="H787" t="str">
        <f>IF(ISBLANK([1]!ScoutingData[[#This Row],[autoSpeakerScore]]),"",[1]!ScoutingData[[#This Row],[autoSpeakerScore]])</f>
        <v/>
      </c>
    </row>
    <row r="788" spans="1:8" x14ac:dyDescent="0.45">
      <c r="A788" t="str">
        <f>IF(ISBLANK([1]!ScoutingData[[#This Row],[teamNumber]]),"",[1]!ScoutingData[[#This Row],[teamNumber]])</f>
        <v/>
      </c>
      <c r="B788" t="str">
        <f>IF(ISBLANK([1]!ScoutingData[[#This Row],[matchLevel]]),"",[1]!ScoutingData[[#This Row],[matchLevel]])</f>
        <v/>
      </c>
      <c r="C788" t="str">
        <f>IF(ISBLANK([1]!ScoutingData[[#This Row],[matchNumber]]),"",[1]!ScoutingData[[#This Row],[matchNumber]])</f>
        <v/>
      </c>
      <c r="D788" t="str">
        <f>IF(ISBLANK([1]!ScoutingData[[#This Row],[event]]),"",[1]!ScoutingData[[#This Row],[event]])</f>
        <v/>
      </c>
      <c r="E788" t="str">
        <f>IF(ISBLANK([1]!ScoutingData[[#This Row],[position]]),"",[1]!ScoutingData[[#This Row],[position]])</f>
        <v/>
      </c>
      <c r="F788" t="str">
        <f>IF(ISBLANK([1]!ScoutingData[[#This Row],[leaveStartingZone]]),"",[1]!ScoutingData[[#This Row],[leaveStartingZone]])</f>
        <v/>
      </c>
      <c r="G788" t="str">
        <f>IF(ISBLANK([1]!ScoutingData[[#This Row],[autoAmpScore]]),"",[1]!ScoutingData[[#This Row],[autoAmpScore]])</f>
        <v/>
      </c>
      <c r="H788" t="str">
        <f>IF(ISBLANK([1]!ScoutingData[[#This Row],[autoSpeakerScore]]),"",[1]!ScoutingData[[#This Row],[autoSpeakerScore]])</f>
        <v/>
      </c>
    </row>
    <row r="789" spans="1:8" x14ac:dyDescent="0.45">
      <c r="A789" t="str">
        <f>IF(ISBLANK([1]!ScoutingData[[#This Row],[teamNumber]]),"",[1]!ScoutingData[[#This Row],[teamNumber]])</f>
        <v/>
      </c>
      <c r="B789" t="str">
        <f>IF(ISBLANK([1]!ScoutingData[[#This Row],[matchLevel]]),"",[1]!ScoutingData[[#This Row],[matchLevel]])</f>
        <v/>
      </c>
      <c r="C789" t="str">
        <f>IF(ISBLANK([1]!ScoutingData[[#This Row],[matchNumber]]),"",[1]!ScoutingData[[#This Row],[matchNumber]])</f>
        <v/>
      </c>
      <c r="D789" t="str">
        <f>IF(ISBLANK([1]!ScoutingData[[#This Row],[event]]),"",[1]!ScoutingData[[#This Row],[event]])</f>
        <v/>
      </c>
      <c r="E789" t="str">
        <f>IF(ISBLANK([1]!ScoutingData[[#This Row],[position]]),"",[1]!ScoutingData[[#This Row],[position]])</f>
        <v/>
      </c>
      <c r="F789" t="str">
        <f>IF(ISBLANK([1]!ScoutingData[[#This Row],[leaveStartingZone]]),"",[1]!ScoutingData[[#This Row],[leaveStartingZone]])</f>
        <v/>
      </c>
      <c r="G789" t="str">
        <f>IF(ISBLANK([1]!ScoutingData[[#This Row],[autoAmpScore]]),"",[1]!ScoutingData[[#This Row],[autoAmpScore]])</f>
        <v/>
      </c>
      <c r="H789" t="str">
        <f>IF(ISBLANK([1]!ScoutingData[[#This Row],[autoSpeakerScore]]),"",[1]!ScoutingData[[#This Row],[autoSpeakerScore]])</f>
        <v/>
      </c>
    </row>
    <row r="790" spans="1:8" x14ac:dyDescent="0.45">
      <c r="A790" t="str">
        <f>IF(ISBLANK([1]!ScoutingData[[#This Row],[teamNumber]]),"",[1]!ScoutingData[[#This Row],[teamNumber]])</f>
        <v/>
      </c>
      <c r="B790" t="str">
        <f>IF(ISBLANK([1]!ScoutingData[[#This Row],[matchLevel]]),"",[1]!ScoutingData[[#This Row],[matchLevel]])</f>
        <v/>
      </c>
      <c r="C790" t="str">
        <f>IF(ISBLANK([1]!ScoutingData[[#This Row],[matchNumber]]),"",[1]!ScoutingData[[#This Row],[matchNumber]])</f>
        <v/>
      </c>
      <c r="D790" t="str">
        <f>IF(ISBLANK([1]!ScoutingData[[#This Row],[event]]),"",[1]!ScoutingData[[#This Row],[event]])</f>
        <v/>
      </c>
      <c r="E790" t="str">
        <f>IF(ISBLANK([1]!ScoutingData[[#This Row],[position]]),"",[1]!ScoutingData[[#This Row],[position]])</f>
        <v/>
      </c>
      <c r="F790" t="str">
        <f>IF(ISBLANK([1]!ScoutingData[[#This Row],[leaveStartingZone]]),"",[1]!ScoutingData[[#This Row],[leaveStartingZone]])</f>
        <v/>
      </c>
      <c r="G790" t="str">
        <f>IF(ISBLANK([1]!ScoutingData[[#This Row],[autoAmpScore]]),"",[1]!ScoutingData[[#This Row],[autoAmpScore]])</f>
        <v/>
      </c>
      <c r="H790" t="str">
        <f>IF(ISBLANK([1]!ScoutingData[[#This Row],[autoSpeakerScore]]),"",[1]!ScoutingData[[#This Row],[autoSpeakerScore]])</f>
        <v/>
      </c>
    </row>
    <row r="791" spans="1:8" x14ac:dyDescent="0.45">
      <c r="A791" t="str">
        <f>IF(ISBLANK([1]!ScoutingData[[#This Row],[teamNumber]]),"",[1]!ScoutingData[[#This Row],[teamNumber]])</f>
        <v/>
      </c>
      <c r="B791" t="str">
        <f>IF(ISBLANK([1]!ScoutingData[[#This Row],[matchLevel]]),"",[1]!ScoutingData[[#This Row],[matchLevel]])</f>
        <v/>
      </c>
      <c r="C791" t="str">
        <f>IF(ISBLANK([1]!ScoutingData[[#This Row],[matchNumber]]),"",[1]!ScoutingData[[#This Row],[matchNumber]])</f>
        <v/>
      </c>
      <c r="D791" t="str">
        <f>IF(ISBLANK([1]!ScoutingData[[#This Row],[event]]),"",[1]!ScoutingData[[#This Row],[event]])</f>
        <v/>
      </c>
      <c r="E791" t="str">
        <f>IF(ISBLANK([1]!ScoutingData[[#This Row],[position]]),"",[1]!ScoutingData[[#This Row],[position]])</f>
        <v/>
      </c>
      <c r="F791" t="str">
        <f>IF(ISBLANK([1]!ScoutingData[[#This Row],[leaveStartingZone]]),"",[1]!ScoutingData[[#This Row],[leaveStartingZone]])</f>
        <v/>
      </c>
      <c r="G791" t="str">
        <f>IF(ISBLANK([1]!ScoutingData[[#This Row],[autoAmpScore]]),"",[1]!ScoutingData[[#This Row],[autoAmpScore]])</f>
        <v/>
      </c>
      <c r="H791" t="str">
        <f>IF(ISBLANK([1]!ScoutingData[[#This Row],[autoSpeakerScore]]),"",[1]!ScoutingData[[#This Row],[autoSpeakerScore]])</f>
        <v/>
      </c>
    </row>
    <row r="792" spans="1:8" x14ac:dyDescent="0.45">
      <c r="A792" t="str">
        <f>IF(ISBLANK([1]!ScoutingData[[#This Row],[teamNumber]]),"",[1]!ScoutingData[[#This Row],[teamNumber]])</f>
        <v/>
      </c>
      <c r="B792" t="str">
        <f>IF(ISBLANK([1]!ScoutingData[[#This Row],[matchLevel]]),"",[1]!ScoutingData[[#This Row],[matchLevel]])</f>
        <v/>
      </c>
      <c r="C792" t="str">
        <f>IF(ISBLANK([1]!ScoutingData[[#This Row],[matchNumber]]),"",[1]!ScoutingData[[#This Row],[matchNumber]])</f>
        <v/>
      </c>
      <c r="D792" t="str">
        <f>IF(ISBLANK([1]!ScoutingData[[#This Row],[event]]),"",[1]!ScoutingData[[#This Row],[event]])</f>
        <v/>
      </c>
      <c r="E792" t="str">
        <f>IF(ISBLANK([1]!ScoutingData[[#This Row],[position]]),"",[1]!ScoutingData[[#This Row],[position]])</f>
        <v/>
      </c>
      <c r="F792" t="str">
        <f>IF(ISBLANK([1]!ScoutingData[[#This Row],[leaveStartingZone]]),"",[1]!ScoutingData[[#This Row],[leaveStartingZone]])</f>
        <v/>
      </c>
      <c r="G792" t="str">
        <f>IF(ISBLANK([1]!ScoutingData[[#This Row],[autoAmpScore]]),"",[1]!ScoutingData[[#This Row],[autoAmpScore]])</f>
        <v/>
      </c>
      <c r="H792" t="str">
        <f>IF(ISBLANK([1]!ScoutingData[[#This Row],[autoSpeakerScore]]),"",[1]!ScoutingData[[#This Row],[autoSpeakerScore]])</f>
        <v/>
      </c>
    </row>
    <row r="793" spans="1:8" x14ac:dyDescent="0.45">
      <c r="A793" t="str">
        <f>IF(ISBLANK([1]!ScoutingData[[#This Row],[teamNumber]]),"",[1]!ScoutingData[[#This Row],[teamNumber]])</f>
        <v/>
      </c>
      <c r="B793" t="str">
        <f>IF(ISBLANK([1]!ScoutingData[[#This Row],[matchLevel]]),"",[1]!ScoutingData[[#This Row],[matchLevel]])</f>
        <v/>
      </c>
      <c r="C793" t="str">
        <f>IF(ISBLANK([1]!ScoutingData[[#This Row],[matchNumber]]),"",[1]!ScoutingData[[#This Row],[matchNumber]])</f>
        <v/>
      </c>
      <c r="D793" t="str">
        <f>IF(ISBLANK([1]!ScoutingData[[#This Row],[event]]),"",[1]!ScoutingData[[#This Row],[event]])</f>
        <v/>
      </c>
      <c r="E793" t="str">
        <f>IF(ISBLANK([1]!ScoutingData[[#This Row],[position]]),"",[1]!ScoutingData[[#This Row],[position]])</f>
        <v/>
      </c>
      <c r="F793" t="str">
        <f>IF(ISBLANK([1]!ScoutingData[[#This Row],[leaveStartingZone]]),"",[1]!ScoutingData[[#This Row],[leaveStartingZone]])</f>
        <v/>
      </c>
      <c r="G793" t="str">
        <f>IF(ISBLANK([1]!ScoutingData[[#This Row],[autoAmpScore]]),"",[1]!ScoutingData[[#This Row],[autoAmpScore]])</f>
        <v/>
      </c>
      <c r="H793" t="str">
        <f>IF(ISBLANK([1]!ScoutingData[[#This Row],[autoSpeakerScore]]),"",[1]!ScoutingData[[#This Row],[autoSpeakerScore]])</f>
        <v/>
      </c>
    </row>
    <row r="794" spans="1:8" x14ac:dyDescent="0.45">
      <c r="A794" t="str">
        <f>IF(ISBLANK([1]!ScoutingData[[#This Row],[teamNumber]]),"",[1]!ScoutingData[[#This Row],[teamNumber]])</f>
        <v/>
      </c>
      <c r="B794" t="str">
        <f>IF(ISBLANK([1]!ScoutingData[[#This Row],[matchLevel]]),"",[1]!ScoutingData[[#This Row],[matchLevel]])</f>
        <v/>
      </c>
      <c r="C794" t="str">
        <f>IF(ISBLANK([1]!ScoutingData[[#This Row],[matchNumber]]),"",[1]!ScoutingData[[#This Row],[matchNumber]])</f>
        <v/>
      </c>
      <c r="D794" t="str">
        <f>IF(ISBLANK([1]!ScoutingData[[#This Row],[event]]),"",[1]!ScoutingData[[#This Row],[event]])</f>
        <v/>
      </c>
      <c r="E794" t="str">
        <f>IF(ISBLANK([1]!ScoutingData[[#This Row],[position]]),"",[1]!ScoutingData[[#This Row],[position]])</f>
        <v/>
      </c>
      <c r="F794" t="str">
        <f>IF(ISBLANK([1]!ScoutingData[[#This Row],[leaveStartingZone]]),"",[1]!ScoutingData[[#This Row],[leaveStartingZone]])</f>
        <v/>
      </c>
      <c r="G794" t="str">
        <f>IF(ISBLANK([1]!ScoutingData[[#This Row],[autoAmpScore]]),"",[1]!ScoutingData[[#This Row],[autoAmpScore]])</f>
        <v/>
      </c>
      <c r="H794" t="str">
        <f>IF(ISBLANK([1]!ScoutingData[[#This Row],[autoSpeakerScore]]),"",[1]!ScoutingData[[#This Row],[autoSpeakerScore]])</f>
        <v/>
      </c>
    </row>
    <row r="795" spans="1:8" x14ac:dyDescent="0.45">
      <c r="A795" t="str">
        <f>IF(ISBLANK([1]!ScoutingData[[#This Row],[teamNumber]]),"",[1]!ScoutingData[[#This Row],[teamNumber]])</f>
        <v/>
      </c>
      <c r="B795" t="str">
        <f>IF(ISBLANK([1]!ScoutingData[[#This Row],[matchLevel]]),"",[1]!ScoutingData[[#This Row],[matchLevel]])</f>
        <v/>
      </c>
      <c r="C795" t="str">
        <f>IF(ISBLANK([1]!ScoutingData[[#This Row],[matchNumber]]),"",[1]!ScoutingData[[#This Row],[matchNumber]])</f>
        <v/>
      </c>
      <c r="D795" t="str">
        <f>IF(ISBLANK([1]!ScoutingData[[#This Row],[event]]),"",[1]!ScoutingData[[#This Row],[event]])</f>
        <v/>
      </c>
      <c r="E795" t="str">
        <f>IF(ISBLANK([1]!ScoutingData[[#This Row],[position]]),"",[1]!ScoutingData[[#This Row],[position]])</f>
        <v/>
      </c>
      <c r="F795" t="str">
        <f>IF(ISBLANK([1]!ScoutingData[[#This Row],[leaveStartingZone]]),"",[1]!ScoutingData[[#This Row],[leaveStartingZone]])</f>
        <v/>
      </c>
      <c r="G795" t="str">
        <f>IF(ISBLANK([1]!ScoutingData[[#This Row],[autoAmpScore]]),"",[1]!ScoutingData[[#This Row],[autoAmpScore]])</f>
        <v/>
      </c>
      <c r="H795" t="str">
        <f>IF(ISBLANK([1]!ScoutingData[[#This Row],[autoSpeakerScore]]),"",[1]!ScoutingData[[#This Row],[autoSpeakerScore]])</f>
        <v/>
      </c>
    </row>
    <row r="796" spans="1:8" x14ac:dyDescent="0.45">
      <c r="A796" t="str">
        <f>IF(ISBLANK([1]!ScoutingData[[#This Row],[teamNumber]]),"",[1]!ScoutingData[[#This Row],[teamNumber]])</f>
        <v/>
      </c>
      <c r="B796" t="str">
        <f>IF(ISBLANK([1]!ScoutingData[[#This Row],[matchLevel]]),"",[1]!ScoutingData[[#This Row],[matchLevel]])</f>
        <v/>
      </c>
      <c r="C796" t="str">
        <f>IF(ISBLANK([1]!ScoutingData[[#This Row],[matchNumber]]),"",[1]!ScoutingData[[#This Row],[matchNumber]])</f>
        <v/>
      </c>
      <c r="D796" t="str">
        <f>IF(ISBLANK([1]!ScoutingData[[#This Row],[event]]),"",[1]!ScoutingData[[#This Row],[event]])</f>
        <v/>
      </c>
      <c r="E796" t="str">
        <f>IF(ISBLANK([1]!ScoutingData[[#This Row],[position]]),"",[1]!ScoutingData[[#This Row],[position]])</f>
        <v/>
      </c>
      <c r="F796" t="str">
        <f>IF(ISBLANK([1]!ScoutingData[[#This Row],[leaveStartingZone]]),"",[1]!ScoutingData[[#This Row],[leaveStartingZone]])</f>
        <v/>
      </c>
      <c r="G796" t="str">
        <f>IF(ISBLANK([1]!ScoutingData[[#This Row],[autoAmpScore]]),"",[1]!ScoutingData[[#This Row],[autoAmpScore]])</f>
        <v/>
      </c>
      <c r="H796" t="str">
        <f>IF(ISBLANK([1]!ScoutingData[[#This Row],[autoSpeakerScore]]),"",[1]!ScoutingData[[#This Row],[autoSpeakerScore]])</f>
        <v/>
      </c>
    </row>
    <row r="797" spans="1:8" x14ac:dyDescent="0.45">
      <c r="A797" t="str">
        <f>IF(ISBLANK([1]!ScoutingData[[#This Row],[teamNumber]]),"",[1]!ScoutingData[[#This Row],[teamNumber]])</f>
        <v/>
      </c>
      <c r="B797" t="str">
        <f>IF(ISBLANK([1]!ScoutingData[[#This Row],[matchLevel]]),"",[1]!ScoutingData[[#This Row],[matchLevel]])</f>
        <v/>
      </c>
      <c r="C797" t="str">
        <f>IF(ISBLANK([1]!ScoutingData[[#This Row],[matchNumber]]),"",[1]!ScoutingData[[#This Row],[matchNumber]])</f>
        <v/>
      </c>
      <c r="D797" t="str">
        <f>IF(ISBLANK([1]!ScoutingData[[#This Row],[event]]),"",[1]!ScoutingData[[#This Row],[event]])</f>
        <v/>
      </c>
      <c r="E797" t="str">
        <f>IF(ISBLANK([1]!ScoutingData[[#This Row],[position]]),"",[1]!ScoutingData[[#This Row],[position]])</f>
        <v/>
      </c>
      <c r="F797" t="str">
        <f>IF(ISBLANK([1]!ScoutingData[[#This Row],[leaveStartingZone]]),"",[1]!ScoutingData[[#This Row],[leaveStartingZone]])</f>
        <v/>
      </c>
      <c r="G797" t="str">
        <f>IF(ISBLANK([1]!ScoutingData[[#This Row],[autoAmpScore]]),"",[1]!ScoutingData[[#This Row],[autoAmpScore]])</f>
        <v/>
      </c>
      <c r="H797" t="str">
        <f>IF(ISBLANK([1]!ScoutingData[[#This Row],[autoSpeakerScore]]),"",[1]!ScoutingData[[#This Row],[autoSpeakerScore]])</f>
        <v/>
      </c>
    </row>
    <row r="798" spans="1:8" x14ac:dyDescent="0.45">
      <c r="A798" t="str">
        <f>IF(ISBLANK([1]!ScoutingData[[#This Row],[teamNumber]]),"",[1]!ScoutingData[[#This Row],[teamNumber]])</f>
        <v/>
      </c>
      <c r="B798" t="str">
        <f>IF(ISBLANK([1]!ScoutingData[[#This Row],[matchLevel]]),"",[1]!ScoutingData[[#This Row],[matchLevel]])</f>
        <v/>
      </c>
      <c r="C798" t="str">
        <f>IF(ISBLANK([1]!ScoutingData[[#This Row],[matchNumber]]),"",[1]!ScoutingData[[#This Row],[matchNumber]])</f>
        <v/>
      </c>
      <c r="D798" t="str">
        <f>IF(ISBLANK([1]!ScoutingData[[#This Row],[event]]),"",[1]!ScoutingData[[#This Row],[event]])</f>
        <v/>
      </c>
      <c r="E798" t="str">
        <f>IF(ISBLANK([1]!ScoutingData[[#This Row],[position]]),"",[1]!ScoutingData[[#This Row],[position]])</f>
        <v/>
      </c>
      <c r="F798" t="str">
        <f>IF(ISBLANK([1]!ScoutingData[[#This Row],[leaveStartingZone]]),"",[1]!ScoutingData[[#This Row],[leaveStartingZone]])</f>
        <v/>
      </c>
      <c r="G798" t="str">
        <f>IF(ISBLANK([1]!ScoutingData[[#This Row],[autoAmpScore]]),"",[1]!ScoutingData[[#This Row],[autoAmpScore]])</f>
        <v/>
      </c>
      <c r="H798" t="str">
        <f>IF(ISBLANK([1]!ScoutingData[[#This Row],[autoSpeakerScore]]),"",[1]!ScoutingData[[#This Row],[autoSpeakerScore]])</f>
        <v/>
      </c>
    </row>
    <row r="799" spans="1:8" x14ac:dyDescent="0.45">
      <c r="A799" t="str">
        <f>IF(ISBLANK([1]!ScoutingData[[#This Row],[teamNumber]]),"",[1]!ScoutingData[[#This Row],[teamNumber]])</f>
        <v/>
      </c>
      <c r="B799" t="str">
        <f>IF(ISBLANK([1]!ScoutingData[[#This Row],[matchLevel]]),"",[1]!ScoutingData[[#This Row],[matchLevel]])</f>
        <v/>
      </c>
      <c r="C799" t="str">
        <f>IF(ISBLANK([1]!ScoutingData[[#This Row],[matchNumber]]),"",[1]!ScoutingData[[#This Row],[matchNumber]])</f>
        <v/>
      </c>
      <c r="D799" t="str">
        <f>IF(ISBLANK([1]!ScoutingData[[#This Row],[event]]),"",[1]!ScoutingData[[#This Row],[event]])</f>
        <v/>
      </c>
      <c r="E799" t="str">
        <f>IF(ISBLANK([1]!ScoutingData[[#This Row],[position]]),"",[1]!ScoutingData[[#This Row],[position]])</f>
        <v/>
      </c>
      <c r="F799" t="str">
        <f>IF(ISBLANK([1]!ScoutingData[[#This Row],[leaveStartingZone]]),"",[1]!ScoutingData[[#This Row],[leaveStartingZone]])</f>
        <v/>
      </c>
      <c r="G799" t="str">
        <f>IF(ISBLANK([1]!ScoutingData[[#This Row],[autoAmpScore]]),"",[1]!ScoutingData[[#This Row],[autoAmpScore]])</f>
        <v/>
      </c>
      <c r="H799" t="str">
        <f>IF(ISBLANK([1]!ScoutingData[[#This Row],[autoSpeakerScore]]),"",[1]!ScoutingData[[#This Row],[autoSpeakerScore]])</f>
        <v/>
      </c>
    </row>
    <row r="800" spans="1:8" x14ac:dyDescent="0.45">
      <c r="A800" t="str">
        <f>IF(ISBLANK([1]!ScoutingData[[#This Row],[teamNumber]]),"",[1]!ScoutingData[[#This Row],[teamNumber]])</f>
        <v/>
      </c>
      <c r="B800" t="str">
        <f>IF(ISBLANK([1]!ScoutingData[[#This Row],[matchLevel]]),"",[1]!ScoutingData[[#This Row],[matchLevel]])</f>
        <v/>
      </c>
      <c r="C800" t="str">
        <f>IF(ISBLANK([1]!ScoutingData[[#This Row],[matchNumber]]),"",[1]!ScoutingData[[#This Row],[matchNumber]])</f>
        <v/>
      </c>
      <c r="D800" t="str">
        <f>IF(ISBLANK([1]!ScoutingData[[#This Row],[event]]),"",[1]!ScoutingData[[#This Row],[event]])</f>
        <v/>
      </c>
      <c r="E800" t="str">
        <f>IF(ISBLANK([1]!ScoutingData[[#This Row],[position]]),"",[1]!ScoutingData[[#This Row],[position]])</f>
        <v/>
      </c>
      <c r="F800" t="str">
        <f>IF(ISBLANK([1]!ScoutingData[[#This Row],[leaveStartingZone]]),"",[1]!ScoutingData[[#This Row],[leaveStartingZone]])</f>
        <v/>
      </c>
      <c r="G800" t="str">
        <f>IF(ISBLANK([1]!ScoutingData[[#This Row],[autoAmpScore]]),"",[1]!ScoutingData[[#This Row],[autoAmpScore]])</f>
        <v/>
      </c>
      <c r="H800" t="str">
        <f>IF(ISBLANK([1]!ScoutingData[[#This Row],[autoSpeakerScore]]),"",[1]!ScoutingData[[#This Row],[autoSpeakerScore]])</f>
        <v/>
      </c>
    </row>
    <row r="801" spans="1:8" x14ac:dyDescent="0.45">
      <c r="A801" t="str">
        <f>IF(ISBLANK([1]!ScoutingData[[#This Row],[teamNumber]]),"",[1]!ScoutingData[[#This Row],[teamNumber]])</f>
        <v/>
      </c>
      <c r="B801" t="str">
        <f>IF(ISBLANK([1]!ScoutingData[[#This Row],[matchLevel]]),"",[1]!ScoutingData[[#This Row],[matchLevel]])</f>
        <v/>
      </c>
      <c r="C801" t="str">
        <f>IF(ISBLANK([1]!ScoutingData[[#This Row],[matchNumber]]),"",[1]!ScoutingData[[#This Row],[matchNumber]])</f>
        <v/>
      </c>
      <c r="D801" t="str">
        <f>IF(ISBLANK([1]!ScoutingData[[#This Row],[event]]),"",[1]!ScoutingData[[#This Row],[event]])</f>
        <v/>
      </c>
      <c r="E801" t="str">
        <f>IF(ISBLANK([1]!ScoutingData[[#This Row],[position]]),"",[1]!ScoutingData[[#This Row],[position]])</f>
        <v/>
      </c>
      <c r="F801" t="str">
        <f>IF(ISBLANK([1]!ScoutingData[[#This Row],[leaveStartingZone]]),"",[1]!ScoutingData[[#This Row],[leaveStartingZone]])</f>
        <v/>
      </c>
      <c r="G801" t="str">
        <f>IF(ISBLANK([1]!ScoutingData[[#This Row],[autoAmpScore]]),"",[1]!ScoutingData[[#This Row],[autoAmpScore]])</f>
        <v/>
      </c>
      <c r="H801" t="str">
        <f>IF(ISBLANK([1]!ScoutingData[[#This Row],[autoSpeakerScore]]),"",[1]!ScoutingData[[#This Row],[autoSpeakerScore]])</f>
        <v/>
      </c>
    </row>
    <row r="802" spans="1:8" x14ac:dyDescent="0.45">
      <c r="A802" t="str">
        <f>IF(ISBLANK([1]!ScoutingData[[#This Row],[teamNumber]]),"",[1]!ScoutingData[[#This Row],[teamNumber]])</f>
        <v/>
      </c>
      <c r="B802" t="str">
        <f>IF(ISBLANK([1]!ScoutingData[[#This Row],[matchLevel]]),"",[1]!ScoutingData[[#This Row],[matchLevel]])</f>
        <v/>
      </c>
      <c r="C802" t="str">
        <f>IF(ISBLANK([1]!ScoutingData[[#This Row],[matchNumber]]),"",[1]!ScoutingData[[#This Row],[matchNumber]])</f>
        <v/>
      </c>
      <c r="D802" t="str">
        <f>IF(ISBLANK([1]!ScoutingData[[#This Row],[event]]),"",[1]!ScoutingData[[#This Row],[event]])</f>
        <v/>
      </c>
      <c r="E802" t="str">
        <f>IF(ISBLANK([1]!ScoutingData[[#This Row],[position]]),"",[1]!ScoutingData[[#This Row],[position]])</f>
        <v/>
      </c>
      <c r="F802" t="str">
        <f>IF(ISBLANK([1]!ScoutingData[[#This Row],[leaveStartingZone]]),"",[1]!ScoutingData[[#This Row],[leaveStartingZone]])</f>
        <v/>
      </c>
      <c r="G802" t="str">
        <f>IF(ISBLANK([1]!ScoutingData[[#This Row],[autoAmpScore]]),"",[1]!ScoutingData[[#This Row],[autoAmpScore]])</f>
        <v/>
      </c>
      <c r="H802" t="str">
        <f>IF(ISBLANK([1]!ScoutingData[[#This Row],[autoSpeakerScore]]),"",[1]!ScoutingData[[#This Row],[autoSpeakerScore]])</f>
        <v/>
      </c>
    </row>
    <row r="803" spans="1:8" x14ac:dyDescent="0.45">
      <c r="A803" t="str">
        <f>IF(ISBLANK([1]!ScoutingData[[#This Row],[teamNumber]]),"",[1]!ScoutingData[[#This Row],[teamNumber]])</f>
        <v/>
      </c>
      <c r="B803" t="str">
        <f>IF(ISBLANK([1]!ScoutingData[[#This Row],[matchLevel]]),"",[1]!ScoutingData[[#This Row],[matchLevel]])</f>
        <v/>
      </c>
      <c r="C803" t="str">
        <f>IF(ISBLANK([1]!ScoutingData[[#This Row],[matchNumber]]),"",[1]!ScoutingData[[#This Row],[matchNumber]])</f>
        <v/>
      </c>
      <c r="D803" t="str">
        <f>IF(ISBLANK([1]!ScoutingData[[#This Row],[event]]),"",[1]!ScoutingData[[#This Row],[event]])</f>
        <v/>
      </c>
      <c r="E803" t="str">
        <f>IF(ISBLANK([1]!ScoutingData[[#This Row],[position]]),"",[1]!ScoutingData[[#This Row],[position]])</f>
        <v/>
      </c>
      <c r="F803" t="str">
        <f>IF(ISBLANK([1]!ScoutingData[[#This Row],[leaveStartingZone]]),"",[1]!ScoutingData[[#This Row],[leaveStartingZone]])</f>
        <v/>
      </c>
      <c r="G803" t="str">
        <f>IF(ISBLANK([1]!ScoutingData[[#This Row],[autoAmpScore]]),"",[1]!ScoutingData[[#This Row],[autoAmpScore]])</f>
        <v/>
      </c>
      <c r="H803" t="str">
        <f>IF(ISBLANK([1]!ScoutingData[[#This Row],[autoSpeakerScore]]),"",[1]!ScoutingData[[#This Row],[autoSpeakerScore]])</f>
        <v/>
      </c>
    </row>
    <row r="804" spans="1:8" x14ac:dyDescent="0.45">
      <c r="A804" t="str">
        <f>IF(ISBLANK([1]!ScoutingData[[#This Row],[teamNumber]]),"",[1]!ScoutingData[[#This Row],[teamNumber]])</f>
        <v/>
      </c>
      <c r="B804" t="str">
        <f>IF(ISBLANK([1]!ScoutingData[[#This Row],[matchLevel]]),"",[1]!ScoutingData[[#This Row],[matchLevel]])</f>
        <v/>
      </c>
      <c r="C804" t="str">
        <f>IF(ISBLANK([1]!ScoutingData[[#This Row],[matchNumber]]),"",[1]!ScoutingData[[#This Row],[matchNumber]])</f>
        <v/>
      </c>
      <c r="D804" t="str">
        <f>IF(ISBLANK([1]!ScoutingData[[#This Row],[event]]),"",[1]!ScoutingData[[#This Row],[event]])</f>
        <v/>
      </c>
      <c r="E804" t="str">
        <f>IF(ISBLANK([1]!ScoutingData[[#This Row],[position]]),"",[1]!ScoutingData[[#This Row],[position]])</f>
        <v/>
      </c>
      <c r="F804" t="str">
        <f>IF(ISBLANK([1]!ScoutingData[[#This Row],[leaveStartingZone]]),"",[1]!ScoutingData[[#This Row],[leaveStartingZone]])</f>
        <v/>
      </c>
      <c r="G804" t="str">
        <f>IF(ISBLANK([1]!ScoutingData[[#This Row],[autoAmpScore]]),"",[1]!ScoutingData[[#This Row],[autoAmpScore]])</f>
        <v/>
      </c>
      <c r="H804" t="str">
        <f>IF(ISBLANK([1]!ScoutingData[[#This Row],[autoSpeakerScore]]),"",[1]!ScoutingData[[#This Row],[autoSpeakerScore]])</f>
        <v/>
      </c>
    </row>
    <row r="805" spans="1:8" x14ac:dyDescent="0.45">
      <c r="A805" t="str">
        <f>IF(ISBLANK([1]!ScoutingData[[#This Row],[teamNumber]]),"",[1]!ScoutingData[[#This Row],[teamNumber]])</f>
        <v/>
      </c>
      <c r="B805" t="str">
        <f>IF(ISBLANK([1]!ScoutingData[[#This Row],[matchLevel]]),"",[1]!ScoutingData[[#This Row],[matchLevel]])</f>
        <v/>
      </c>
      <c r="C805" t="str">
        <f>IF(ISBLANK([1]!ScoutingData[[#This Row],[matchNumber]]),"",[1]!ScoutingData[[#This Row],[matchNumber]])</f>
        <v/>
      </c>
      <c r="D805" t="str">
        <f>IF(ISBLANK([1]!ScoutingData[[#This Row],[event]]),"",[1]!ScoutingData[[#This Row],[event]])</f>
        <v/>
      </c>
      <c r="E805" t="str">
        <f>IF(ISBLANK([1]!ScoutingData[[#This Row],[position]]),"",[1]!ScoutingData[[#This Row],[position]])</f>
        <v/>
      </c>
      <c r="F805" t="str">
        <f>IF(ISBLANK([1]!ScoutingData[[#This Row],[leaveStartingZone]]),"",[1]!ScoutingData[[#This Row],[leaveStartingZone]])</f>
        <v/>
      </c>
      <c r="G805" t="str">
        <f>IF(ISBLANK([1]!ScoutingData[[#This Row],[autoAmpScore]]),"",[1]!ScoutingData[[#This Row],[autoAmpScore]])</f>
        <v/>
      </c>
      <c r="H805" t="str">
        <f>IF(ISBLANK([1]!ScoutingData[[#This Row],[autoSpeakerScore]]),"",[1]!ScoutingData[[#This Row],[autoSpeakerScore]])</f>
        <v/>
      </c>
    </row>
    <row r="806" spans="1:8" x14ac:dyDescent="0.45">
      <c r="A806" t="str">
        <f>IF(ISBLANK([1]!ScoutingData[[#This Row],[teamNumber]]),"",[1]!ScoutingData[[#This Row],[teamNumber]])</f>
        <v/>
      </c>
      <c r="B806" t="str">
        <f>IF(ISBLANK([1]!ScoutingData[[#This Row],[matchLevel]]),"",[1]!ScoutingData[[#This Row],[matchLevel]])</f>
        <v/>
      </c>
      <c r="C806" t="str">
        <f>IF(ISBLANK([1]!ScoutingData[[#This Row],[matchNumber]]),"",[1]!ScoutingData[[#This Row],[matchNumber]])</f>
        <v/>
      </c>
      <c r="D806" t="str">
        <f>IF(ISBLANK([1]!ScoutingData[[#This Row],[event]]),"",[1]!ScoutingData[[#This Row],[event]])</f>
        <v/>
      </c>
      <c r="E806" t="str">
        <f>IF(ISBLANK([1]!ScoutingData[[#This Row],[position]]),"",[1]!ScoutingData[[#This Row],[position]])</f>
        <v/>
      </c>
      <c r="F806" t="str">
        <f>IF(ISBLANK([1]!ScoutingData[[#This Row],[leaveStartingZone]]),"",[1]!ScoutingData[[#This Row],[leaveStartingZone]])</f>
        <v/>
      </c>
      <c r="G806" t="str">
        <f>IF(ISBLANK([1]!ScoutingData[[#This Row],[autoAmpScore]]),"",[1]!ScoutingData[[#This Row],[autoAmpScore]])</f>
        <v/>
      </c>
      <c r="H806" t="str">
        <f>IF(ISBLANK([1]!ScoutingData[[#This Row],[autoSpeakerScore]]),"",[1]!ScoutingData[[#This Row],[autoSpeakerScore]])</f>
        <v/>
      </c>
    </row>
    <row r="807" spans="1:8" x14ac:dyDescent="0.45">
      <c r="A807" t="str">
        <f>IF(ISBLANK([1]!ScoutingData[[#This Row],[teamNumber]]),"",[1]!ScoutingData[[#This Row],[teamNumber]])</f>
        <v/>
      </c>
      <c r="B807" t="str">
        <f>IF(ISBLANK([1]!ScoutingData[[#This Row],[matchLevel]]),"",[1]!ScoutingData[[#This Row],[matchLevel]])</f>
        <v/>
      </c>
      <c r="C807" t="str">
        <f>IF(ISBLANK([1]!ScoutingData[[#This Row],[matchNumber]]),"",[1]!ScoutingData[[#This Row],[matchNumber]])</f>
        <v/>
      </c>
      <c r="D807" t="str">
        <f>IF(ISBLANK([1]!ScoutingData[[#This Row],[event]]),"",[1]!ScoutingData[[#This Row],[event]])</f>
        <v/>
      </c>
      <c r="E807" t="str">
        <f>IF(ISBLANK([1]!ScoutingData[[#This Row],[position]]),"",[1]!ScoutingData[[#This Row],[position]])</f>
        <v/>
      </c>
      <c r="F807" t="str">
        <f>IF(ISBLANK([1]!ScoutingData[[#This Row],[leaveStartingZone]]),"",[1]!ScoutingData[[#This Row],[leaveStartingZone]])</f>
        <v/>
      </c>
      <c r="G807" t="str">
        <f>IF(ISBLANK([1]!ScoutingData[[#This Row],[autoAmpScore]]),"",[1]!ScoutingData[[#This Row],[autoAmpScore]])</f>
        <v/>
      </c>
      <c r="H807" t="str">
        <f>IF(ISBLANK([1]!ScoutingData[[#This Row],[autoSpeakerScore]]),"",[1]!ScoutingData[[#This Row],[autoSpeakerScore]])</f>
        <v/>
      </c>
    </row>
    <row r="808" spans="1:8" x14ac:dyDescent="0.45">
      <c r="A808" t="str">
        <f>IF(ISBLANK([1]!ScoutingData[[#This Row],[teamNumber]]),"",[1]!ScoutingData[[#This Row],[teamNumber]])</f>
        <v/>
      </c>
      <c r="B808" t="str">
        <f>IF(ISBLANK([1]!ScoutingData[[#This Row],[matchLevel]]),"",[1]!ScoutingData[[#This Row],[matchLevel]])</f>
        <v/>
      </c>
      <c r="C808" t="str">
        <f>IF(ISBLANK([1]!ScoutingData[[#This Row],[matchNumber]]),"",[1]!ScoutingData[[#This Row],[matchNumber]])</f>
        <v/>
      </c>
      <c r="D808" t="str">
        <f>IF(ISBLANK([1]!ScoutingData[[#This Row],[event]]),"",[1]!ScoutingData[[#This Row],[event]])</f>
        <v/>
      </c>
      <c r="E808" t="str">
        <f>IF(ISBLANK([1]!ScoutingData[[#This Row],[position]]),"",[1]!ScoutingData[[#This Row],[position]])</f>
        <v/>
      </c>
      <c r="F808" t="str">
        <f>IF(ISBLANK([1]!ScoutingData[[#This Row],[leaveStartingZone]]),"",[1]!ScoutingData[[#This Row],[leaveStartingZone]])</f>
        <v/>
      </c>
      <c r="G808" t="str">
        <f>IF(ISBLANK([1]!ScoutingData[[#This Row],[autoAmpScore]]),"",[1]!ScoutingData[[#This Row],[autoAmpScore]])</f>
        <v/>
      </c>
      <c r="H808" t="str">
        <f>IF(ISBLANK([1]!ScoutingData[[#This Row],[autoSpeakerScore]]),"",[1]!ScoutingData[[#This Row],[autoSpeakerScore]])</f>
        <v/>
      </c>
    </row>
    <row r="809" spans="1:8" x14ac:dyDescent="0.45">
      <c r="A809" t="str">
        <f>IF(ISBLANK([1]!ScoutingData[[#This Row],[teamNumber]]),"",[1]!ScoutingData[[#This Row],[teamNumber]])</f>
        <v/>
      </c>
      <c r="B809" t="str">
        <f>IF(ISBLANK([1]!ScoutingData[[#This Row],[matchLevel]]),"",[1]!ScoutingData[[#This Row],[matchLevel]])</f>
        <v/>
      </c>
      <c r="C809" t="str">
        <f>IF(ISBLANK([1]!ScoutingData[[#This Row],[matchNumber]]),"",[1]!ScoutingData[[#This Row],[matchNumber]])</f>
        <v/>
      </c>
      <c r="D809" t="str">
        <f>IF(ISBLANK([1]!ScoutingData[[#This Row],[event]]),"",[1]!ScoutingData[[#This Row],[event]])</f>
        <v/>
      </c>
      <c r="E809" t="str">
        <f>IF(ISBLANK([1]!ScoutingData[[#This Row],[position]]),"",[1]!ScoutingData[[#This Row],[position]])</f>
        <v/>
      </c>
      <c r="F809" t="str">
        <f>IF(ISBLANK([1]!ScoutingData[[#This Row],[leaveStartingZone]]),"",[1]!ScoutingData[[#This Row],[leaveStartingZone]])</f>
        <v/>
      </c>
      <c r="G809" t="str">
        <f>IF(ISBLANK([1]!ScoutingData[[#This Row],[autoAmpScore]]),"",[1]!ScoutingData[[#This Row],[autoAmpScore]])</f>
        <v/>
      </c>
      <c r="H809" t="str">
        <f>IF(ISBLANK([1]!ScoutingData[[#This Row],[autoSpeakerScore]]),"",[1]!ScoutingData[[#This Row],[autoSpeakerScore]])</f>
        <v/>
      </c>
    </row>
    <row r="810" spans="1:8" x14ac:dyDescent="0.45">
      <c r="A810" t="str">
        <f>IF(ISBLANK([1]!ScoutingData[[#This Row],[teamNumber]]),"",[1]!ScoutingData[[#This Row],[teamNumber]])</f>
        <v/>
      </c>
      <c r="B810" t="str">
        <f>IF(ISBLANK([1]!ScoutingData[[#This Row],[matchLevel]]),"",[1]!ScoutingData[[#This Row],[matchLevel]])</f>
        <v/>
      </c>
      <c r="C810" t="str">
        <f>IF(ISBLANK([1]!ScoutingData[[#This Row],[matchNumber]]),"",[1]!ScoutingData[[#This Row],[matchNumber]])</f>
        <v/>
      </c>
      <c r="D810" t="str">
        <f>IF(ISBLANK([1]!ScoutingData[[#This Row],[event]]),"",[1]!ScoutingData[[#This Row],[event]])</f>
        <v/>
      </c>
      <c r="E810" t="str">
        <f>IF(ISBLANK([1]!ScoutingData[[#This Row],[position]]),"",[1]!ScoutingData[[#This Row],[position]])</f>
        <v/>
      </c>
      <c r="F810" t="str">
        <f>IF(ISBLANK([1]!ScoutingData[[#This Row],[leaveStartingZone]]),"",[1]!ScoutingData[[#This Row],[leaveStartingZone]])</f>
        <v/>
      </c>
      <c r="G810" t="str">
        <f>IF(ISBLANK([1]!ScoutingData[[#This Row],[autoAmpScore]]),"",[1]!ScoutingData[[#This Row],[autoAmpScore]])</f>
        <v/>
      </c>
      <c r="H810" t="str">
        <f>IF(ISBLANK([1]!ScoutingData[[#This Row],[autoSpeakerScore]]),"",[1]!ScoutingData[[#This Row],[autoSpeakerScore]])</f>
        <v/>
      </c>
    </row>
    <row r="811" spans="1:8" x14ac:dyDescent="0.45">
      <c r="A811" t="str">
        <f>IF(ISBLANK([1]!ScoutingData[[#This Row],[teamNumber]]),"",[1]!ScoutingData[[#This Row],[teamNumber]])</f>
        <v/>
      </c>
      <c r="B811" t="str">
        <f>IF(ISBLANK([1]!ScoutingData[[#This Row],[matchLevel]]),"",[1]!ScoutingData[[#This Row],[matchLevel]])</f>
        <v/>
      </c>
      <c r="C811" t="str">
        <f>IF(ISBLANK([1]!ScoutingData[[#This Row],[matchNumber]]),"",[1]!ScoutingData[[#This Row],[matchNumber]])</f>
        <v/>
      </c>
      <c r="D811" t="str">
        <f>IF(ISBLANK([1]!ScoutingData[[#This Row],[event]]),"",[1]!ScoutingData[[#This Row],[event]])</f>
        <v/>
      </c>
      <c r="E811" t="str">
        <f>IF(ISBLANK([1]!ScoutingData[[#This Row],[position]]),"",[1]!ScoutingData[[#This Row],[position]])</f>
        <v/>
      </c>
      <c r="F811" t="str">
        <f>IF(ISBLANK([1]!ScoutingData[[#This Row],[leaveStartingZone]]),"",[1]!ScoutingData[[#This Row],[leaveStartingZone]])</f>
        <v/>
      </c>
      <c r="G811" t="str">
        <f>IF(ISBLANK([1]!ScoutingData[[#This Row],[autoAmpScore]]),"",[1]!ScoutingData[[#This Row],[autoAmpScore]])</f>
        <v/>
      </c>
      <c r="H811" t="str">
        <f>IF(ISBLANK([1]!ScoutingData[[#This Row],[autoSpeakerScore]]),"",[1]!ScoutingData[[#This Row],[autoSpeakerScore]])</f>
        <v/>
      </c>
    </row>
    <row r="812" spans="1:8" x14ac:dyDescent="0.45">
      <c r="A812" t="str">
        <f>IF(ISBLANK([1]!ScoutingData[[#This Row],[teamNumber]]),"",[1]!ScoutingData[[#This Row],[teamNumber]])</f>
        <v/>
      </c>
      <c r="B812" t="str">
        <f>IF(ISBLANK([1]!ScoutingData[[#This Row],[matchLevel]]),"",[1]!ScoutingData[[#This Row],[matchLevel]])</f>
        <v/>
      </c>
      <c r="C812" t="str">
        <f>IF(ISBLANK([1]!ScoutingData[[#This Row],[matchNumber]]),"",[1]!ScoutingData[[#This Row],[matchNumber]])</f>
        <v/>
      </c>
      <c r="D812" t="str">
        <f>IF(ISBLANK([1]!ScoutingData[[#This Row],[event]]),"",[1]!ScoutingData[[#This Row],[event]])</f>
        <v/>
      </c>
      <c r="E812" t="str">
        <f>IF(ISBLANK([1]!ScoutingData[[#This Row],[position]]),"",[1]!ScoutingData[[#This Row],[position]])</f>
        <v/>
      </c>
      <c r="F812" t="str">
        <f>IF(ISBLANK([1]!ScoutingData[[#This Row],[leaveStartingZone]]),"",[1]!ScoutingData[[#This Row],[leaveStartingZone]])</f>
        <v/>
      </c>
      <c r="G812" t="str">
        <f>IF(ISBLANK([1]!ScoutingData[[#This Row],[autoAmpScore]]),"",[1]!ScoutingData[[#This Row],[autoAmpScore]])</f>
        <v/>
      </c>
      <c r="H812" t="str">
        <f>IF(ISBLANK([1]!ScoutingData[[#This Row],[autoSpeakerScore]]),"",[1]!ScoutingData[[#This Row],[autoSpeakerScore]])</f>
        <v/>
      </c>
    </row>
    <row r="813" spans="1:8" x14ac:dyDescent="0.45">
      <c r="A813" t="str">
        <f>IF(ISBLANK([1]!ScoutingData[[#This Row],[teamNumber]]),"",[1]!ScoutingData[[#This Row],[teamNumber]])</f>
        <v/>
      </c>
      <c r="B813" t="str">
        <f>IF(ISBLANK([1]!ScoutingData[[#This Row],[matchLevel]]),"",[1]!ScoutingData[[#This Row],[matchLevel]])</f>
        <v/>
      </c>
      <c r="C813" t="str">
        <f>IF(ISBLANK([1]!ScoutingData[[#This Row],[matchNumber]]),"",[1]!ScoutingData[[#This Row],[matchNumber]])</f>
        <v/>
      </c>
      <c r="D813" t="str">
        <f>IF(ISBLANK([1]!ScoutingData[[#This Row],[event]]),"",[1]!ScoutingData[[#This Row],[event]])</f>
        <v/>
      </c>
      <c r="E813" t="str">
        <f>IF(ISBLANK([1]!ScoutingData[[#This Row],[position]]),"",[1]!ScoutingData[[#This Row],[position]])</f>
        <v/>
      </c>
      <c r="F813" t="str">
        <f>IF(ISBLANK([1]!ScoutingData[[#This Row],[leaveStartingZone]]),"",[1]!ScoutingData[[#This Row],[leaveStartingZone]])</f>
        <v/>
      </c>
      <c r="G813" t="str">
        <f>IF(ISBLANK([1]!ScoutingData[[#This Row],[autoAmpScore]]),"",[1]!ScoutingData[[#This Row],[autoAmpScore]])</f>
        <v/>
      </c>
      <c r="H813" t="str">
        <f>IF(ISBLANK([1]!ScoutingData[[#This Row],[autoSpeakerScore]]),"",[1]!ScoutingData[[#This Row],[autoSpeakerScore]])</f>
        <v/>
      </c>
    </row>
    <row r="814" spans="1:8" x14ac:dyDescent="0.45">
      <c r="A814" t="str">
        <f>IF(ISBLANK([1]!ScoutingData[[#This Row],[teamNumber]]),"",[1]!ScoutingData[[#This Row],[teamNumber]])</f>
        <v/>
      </c>
      <c r="B814" t="str">
        <f>IF(ISBLANK([1]!ScoutingData[[#This Row],[matchLevel]]),"",[1]!ScoutingData[[#This Row],[matchLevel]])</f>
        <v/>
      </c>
      <c r="C814" t="str">
        <f>IF(ISBLANK([1]!ScoutingData[[#This Row],[matchNumber]]),"",[1]!ScoutingData[[#This Row],[matchNumber]])</f>
        <v/>
      </c>
      <c r="D814" t="str">
        <f>IF(ISBLANK([1]!ScoutingData[[#This Row],[event]]),"",[1]!ScoutingData[[#This Row],[event]])</f>
        <v/>
      </c>
      <c r="E814" t="str">
        <f>IF(ISBLANK([1]!ScoutingData[[#This Row],[position]]),"",[1]!ScoutingData[[#This Row],[position]])</f>
        <v/>
      </c>
      <c r="F814" t="str">
        <f>IF(ISBLANK([1]!ScoutingData[[#This Row],[leaveStartingZone]]),"",[1]!ScoutingData[[#This Row],[leaveStartingZone]])</f>
        <v/>
      </c>
      <c r="G814" t="str">
        <f>IF(ISBLANK([1]!ScoutingData[[#This Row],[autoAmpScore]]),"",[1]!ScoutingData[[#This Row],[autoAmpScore]])</f>
        <v/>
      </c>
      <c r="H814" t="str">
        <f>IF(ISBLANK([1]!ScoutingData[[#This Row],[autoSpeakerScore]]),"",[1]!ScoutingData[[#This Row],[autoSpeakerScore]])</f>
        <v/>
      </c>
    </row>
    <row r="815" spans="1:8" x14ac:dyDescent="0.45">
      <c r="A815" t="str">
        <f>IF(ISBLANK([1]!ScoutingData[[#This Row],[teamNumber]]),"",[1]!ScoutingData[[#This Row],[teamNumber]])</f>
        <v/>
      </c>
      <c r="B815" t="str">
        <f>IF(ISBLANK([1]!ScoutingData[[#This Row],[matchLevel]]),"",[1]!ScoutingData[[#This Row],[matchLevel]])</f>
        <v/>
      </c>
      <c r="C815" t="str">
        <f>IF(ISBLANK([1]!ScoutingData[[#This Row],[matchNumber]]),"",[1]!ScoutingData[[#This Row],[matchNumber]])</f>
        <v/>
      </c>
      <c r="D815" t="str">
        <f>IF(ISBLANK([1]!ScoutingData[[#This Row],[event]]),"",[1]!ScoutingData[[#This Row],[event]])</f>
        <v/>
      </c>
      <c r="E815" t="str">
        <f>IF(ISBLANK([1]!ScoutingData[[#This Row],[position]]),"",[1]!ScoutingData[[#This Row],[position]])</f>
        <v/>
      </c>
      <c r="F815" t="str">
        <f>IF(ISBLANK([1]!ScoutingData[[#This Row],[leaveStartingZone]]),"",[1]!ScoutingData[[#This Row],[leaveStartingZone]])</f>
        <v/>
      </c>
      <c r="G815" t="str">
        <f>IF(ISBLANK([1]!ScoutingData[[#This Row],[autoAmpScore]]),"",[1]!ScoutingData[[#This Row],[autoAmpScore]])</f>
        <v/>
      </c>
      <c r="H815" t="str">
        <f>IF(ISBLANK([1]!ScoutingData[[#This Row],[autoSpeakerScore]]),"",[1]!ScoutingData[[#This Row],[autoSpeakerScore]])</f>
        <v/>
      </c>
    </row>
    <row r="816" spans="1:8" x14ac:dyDescent="0.45">
      <c r="A816" t="str">
        <f>IF(ISBLANK([1]!ScoutingData[[#This Row],[teamNumber]]),"",[1]!ScoutingData[[#This Row],[teamNumber]])</f>
        <v/>
      </c>
      <c r="B816" t="str">
        <f>IF(ISBLANK([1]!ScoutingData[[#This Row],[matchLevel]]),"",[1]!ScoutingData[[#This Row],[matchLevel]])</f>
        <v/>
      </c>
      <c r="C816" t="str">
        <f>IF(ISBLANK([1]!ScoutingData[[#This Row],[matchNumber]]),"",[1]!ScoutingData[[#This Row],[matchNumber]])</f>
        <v/>
      </c>
      <c r="D816" t="str">
        <f>IF(ISBLANK([1]!ScoutingData[[#This Row],[event]]),"",[1]!ScoutingData[[#This Row],[event]])</f>
        <v/>
      </c>
      <c r="E816" t="str">
        <f>IF(ISBLANK([1]!ScoutingData[[#This Row],[position]]),"",[1]!ScoutingData[[#This Row],[position]])</f>
        <v/>
      </c>
      <c r="F816" t="str">
        <f>IF(ISBLANK([1]!ScoutingData[[#This Row],[leaveStartingZone]]),"",[1]!ScoutingData[[#This Row],[leaveStartingZone]])</f>
        <v/>
      </c>
      <c r="G816" t="str">
        <f>IF(ISBLANK([1]!ScoutingData[[#This Row],[autoAmpScore]]),"",[1]!ScoutingData[[#This Row],[autoAmpScore]])</f>
        <v/>
      </c>
      <c r="H816" t="str">
        <f>IF(ISBLANK([1]!ScoutingData[[#This Row],[autoSpeakerScore]]),"",[1]!ScoutingData[[#This Row],[autoSpeakerScore]])</f>
        <v/>
      </c>
    </row>
    <row r="817" spans="1:8" x14ac:dyDescent="0.45">
      <c r="A817" t="str">
        <f>IF(ISBLANK([1]!ScoutingData[[#This Row],[teamNumber]]),"",[1]!ScoutingData[[#This Row],[teamNumber]])</f>
        <v/>
      </c>
      <c r="B817" t="str">
        <f>IF(ISBLANK([1]!ScoutingData[[#This Row],[matchLevel]]),"",[1]!ScoutingData[[#This Row],[matchLevel]])</f>
        <v/>
      </c>
      <c r="C817" t="str">
        <f>IF(ISBLANK([1]!ScoutingData[[#This Row],[matchNumber]]),"",[1]!ScoutingData[[#This Row],[matchNumber]])</f>
        <v/>
      </c>
      <c r="D817" t="str">
        <f>IF(ISBLANK([1]!ScoutingData[[#This Row],[event]]),"",[1]!ScoutingData[[#This Row],[event]])</f>
        <v/>
      </c>
      <c r="E817" t="str">
        <f>IF(ISBLANK([1]!ScoutingData[[#This Row],[position]]),"",[1]!ScoutingData[[#This Row],[position]])</f>
        <v/>
      </c>
      <c r="F817" t="str">
        <f>IF(ISBLANK([1]!ScoutingData[[#This Row],[leaveStartingZone]]),"",[1]!ScoutingData[[#This Row],[leaveStartingZone]])</f>
        <v/>
      </c>
      <c r="G817" t="str">
        <f>IF(ISBLANK([1]!ScoutingData[[#This Row],[autoAmpScore]]),"",[1]!ScoutingData[[#This Row],[autoAmpScore]])</f>
        <v/>
      </c>
      <c r="H817" t="str">
        <f>IF(ISBLANK([1]!ScoutingData[[#This Row],[autoSpeakerScore]]),"",[1]!ScoutingData[[#This Row],[autoSpeakerScore]])</f>
        <v/>
      </c>
    </row>
    <row r="818" spans="1:8" x14ac:dyDescent="0.45">
      <c r="A818" t="str">
        <f>IF(ISBLANK([1]!ScoutingData[[#This Row],[teamNumber]]),"",[1]!ScoutingData[[#This Row],[teamNumber]])</f>
        <v/>
      </c>
      <c r="B818" t="str">
        <f>IF(ISBLANK([1]!ScoutingData[[#This Row],[matchLevel]]),"",[1]!ScoutingData[[#This Row],[matchLevel]])</f>
        <v/>
      </c>
      <c r="C818" t="str">
        <f>IF(ISBLANK([1]!ScoutingData[[#This Row],[matchNumber]]),"",[1]!ScoutingData[[#This Row],[matchNumber]])</f>
        <v/>
      </c>
      <c r="D818" t="str">
        <f>IF(ISBLANK([1]!ScoutingData[[#This Row],[event]]),"",[1]!ScoutingData[[#This Row],[event]])</f>
        <v/>
      </c>
      <c r="E818" t="str">
        <f>IF(ISBLANK([1]!ScoutingData[[#This Row],[position]]),"",[1]!ScoutingData[[#This Row],[position]])</f>
        <v/>
      </c>
      <c r="F818" t="str">
        <f>IF(ISBLANK([1]!ScoutingData[[#This Row],[leaveStartingZone]]),"",[1]!ScoutingData[[#This Row],[leaveStartingZone]])</f>
        <v/>
      </c>
      <c r="G818" t="str">
        <f>IF(ISBLANK([1]!ScoutingData[[#This Row],[autoAmpScore]]),"",[1]!ScoutingData[[#This Row],[autoAmpScore]])</f>
        <v/>
      </c>
      <c r="H818" t="str">
        <f>IF(ISBLANK([1]!ScoutingData[[#This Row],[autoSpeakerScore]]),"",[1]!ScoutingData[[#This Row],[autoSpeakerScore]])</f>
        <v/>
      </c>
    </row>
    <row r="819" spans="1:8" x14ac:dyDescent="0.45">
      <c r="A819" t="str">
        <f>IF(ISBLANK([1]!ScoutingData[[#This Row],[teamNumber]]),"",[1]!ScoutingData[[#This Row],[teamNumber]])</f>
        <v/>
      </c>
      <c r="B819" t="str">
        <f>IF(ISBLANK([1]!ScoutingData[[#This Row],[matchLevel]]),"",[1]!ScoutingData[[#This Row],[matchLevel]])</f>
        <v/>
      </c>
      <c r="C819" t="str">
        <f>IF(ISBLANK([1]!ScoutingData[[#This Row],[matchNumber]]),"",[1]!ScoutingData[[#This Row],[matchNumber]])</f>
        <v/>
      </c>
      <c r="D819" t="str">
        <f>IF(ISBLANK([1]!ScoutingData[[#This Row],[event]]),"",[1]!ScoutingData[[#This Row],[event]])</f>
        <v/>
      </c>
      <c r="E819" t="str">
        <f>IF(ISBLANK([1]!ScoutingData[[#This Row],[position]]),"",[1]!ScoutingData[[#This Row],[position]])</f>
        <v/>
      </c>
      <c r="F819" t="str">
        <f>IF(ISBLANK([1]!ScoutingData[[#This Row],[leaveStartingZone]]),"",[1]!ScoutingData[[#This Row],[leaveStartingZone]])</f>
        <v/>
      </c>
      <c r="G819" t="str">
        <f>IF(ISBLANK([1]!ScoutingData[[#This Row],[autoAmpScore]]),"",[1]!ScoutingData[[#This Row],[autoAmpScore]])</f>
        <v/>
      </c>
      <c r="H819" t="str">
        <f>IF(ISBLANK([1]!ScoutingData[[#This Row],[autoSpeakerScore]]),"",[1]!ScoutingData[[#This Row],[autoSpeakerScore]])</f>
        <v/>
      </c>
    </row>
    <row r="820" spans="1:8" x14ac:dyDescent="0.45">
      <c r="A820" t="str">
        <f>IF(ISBLANK([1]!ScoutingData[[#This Row],[teamNumber]]),"",[1]!ScoutingData[[#This Row],[teamNumber]])</f>
        <v/>
      </c>
      <c r="B820" t="str">
        <f>IF(ISBLANK([1]!ScoutingData[[#This Row],[matchLevel]]),"",[1]!ScoutingData[[#This Row],[matchLevel]])</f>
        <v/>
      </c>
      <c r="C820" t="str">
        <f>IF(ISBLANK([1]!ScoutingData[[#This Row],[matchNumber]]),"",[1]!ScoutingData[[#This Row],[matchNumber]])</f>
        <v/>
      </c>
      <c r="D820" t="str">
        <f>IF(ISBLANK([1]!ScoutingData[[#This Row],[event]]),"",[1]!ScoutingData[[#This Row],[event]])</f>
        <v/>
      </c>
      <c r="E820" t="str">
        <f>IF(ISBLANK([1]!ScoutingData[[#This Row],[position]]),"",[1]!ScoutingData[[#This Row],[position]])</f>
        <v/>
      </c>
      <c r="F820" t="str">
        <f>IF(ISBLANK([1]!ScoutingData[[#This Row],[leaveStartingZone]]),"",[1]!ScoutingData[[#This Row],[leaveStartingZone]])</f>
        <v/>
      </c>
      <c r="G820" t="str">
        <f>IF(ISBLANK([1]!ScoutingData[[#This Row],[autoAmpScore]]),"",[1]!ScoutingData[[#This Row],[autoAmpScore]])</f>
        <v/>
      </c>
      <c r="H820" t="str">
        <f>IF(ISBLANK([1]!ScoutingData[[#This Row],[autoSpeakerScore]]),"",[1]!ScoutingData[[#This Row],[autoSpeakerScore]])</f>
        <v/>
      </c>
    </row>
    <row r="821" spans="1:8" x14ac:dyDescent="0.45">
      <c r="A821" t="str">
        <f>IF(ISBLANK([1]!ScoutingData[[#This Row],[teamNumber]]),"",[1]!ScoutingData[[#This Row],[teamNumber]])</f>
        <v/>
      </c>
      <c r="B821" t="str">
        <f>IF(ISBLANK([1]!ScoutingData[[#This Row],[matchLevel]]),"",[1]!ScoutingData[[#This Row],[matchLevel]])</f>
        <v/>
      </c>
      <c r="C821" t="str">
        <f>IF(ISBLANK([1]!ScoutingData[[#This Row],[matchNumber]]),"",[1]!ScoutingData[[#This Row],[matchNumber]])</f>
        <v/>
      </c>
      <c r="D821" t="str">
        <f>IF(ISBLANK([1]!ScoutingData[[#This Row],[event]]),"",[1]!ScoutingData[[#This Row],[event]])</f>
        <v/>
      </c>
      <c r="E821" t="str">
        <f>IF(ISBLANK([1]!ScoutingData[[#This Row],[position]]),"",[1]!ScoutingData[[#This Row],[position]])</f>
        <v/>
      </c>
      <c r="F821" t="str">
        <f>IF(ISBLANK([1]!ScoutingData[[#This Row],[leaveStartingZone]]),"",[1]!ScoutingData[[#This Row],[leaveStartingZone]])</f>
        <v/>
      </c>
      <c r="G821" t="str">
        <f>IF(ISBLANK([1]!ScoutingData[[#This Row],[autoAmpScore]]),"",[1]!ScoutingData[[#This Row],[autoAmpScore]])</f>
        <v/>
      </c>
      <c r="H821" t="str">
        <f>IF(ISBLANK([1]!ScoutingData[[#This Row],[autoSpeakerScore]]),"",[1]!ScoutingData[[#This Row],[autoSpeakerScore]])</f>
        <v/>
      </c>
    </row>
    <row r="822" spans="1:8" x14ac:dyDescent="0.45">
      <c r="A822" t="str">
        <f>IF(ISBLANK([1]!ScoutingData[[#This Row],[teamNumber]]),"",[1]!ScoutingData[[#This Row],[teamNumber]])</f>
        <v/>
      </c>
      <c r="B822" t="str">
        <f>IF(ISBLANK([1]!ScoutingData[[#This Row],[matchLevel]]),"",[1]!ScoutingData[[#This Row],[matchLevel]])</f>
        <v/>
      </c>
      <c r="C822" t="str">
        <f>IF(ISBLANK([1]!ScoutingData[[#This Row],[matchNumber]]),"",[1]!ScoutingData[[#This Row],[matchNumber]])</f>
        <v/>
      </c>
      <c r="D822" t="str">
        <f>IF(ISBLANK([1]!ScoutingData[[#This Row],[event]]),"",[1]!ScoutingData[[#This Row],[event]])</f>
        <v/>
      </c>
      <c r="E822" t="str">
        <f>IF(ISBLANK([1]!ScoutingData[[#This Row],[position]]),"",[1]!ScoutingData[[#This Row],[position]])</f>
        <v/>
      </c>
      <c r="F822" t="str">
        <f>IF(ISBLANK([1]!ScoutingData[[#This Row],[leaveStartingZone]]),"",[1]!ScoutingData[[#This Row],[leaveStartingZone]])</f>
        <v/>
      </c>
      <c r="G822" t="str">
        <f>IF(ISBLANK([1]!ScoutingData[[#This Row],[autoAmpScore]]),"",[1]!ScoutingData[[#This Row],[autoAmpScore]])</f>
        <v/>
      </c>
      <c r="H822" t="str">
        <f>IF(ISBLANK([1]!ScoutingData[[#This Row],[autoSpeakerScore]]),"",[1]!ScoutingData[[#This Row],[autoSpeakerScore]])</f>
        <v/>
      </c>
    </row>
    <row r="823" spans="1:8" x14ac:dyDescent="0.45">
      <c r="A823" t="str">
        <f>IF(ISBLANK([1]!ScoutingData[[#This Row],[teamNumber]]),"",[1]!ScoutingData[[#This Row],[teamNumber]])</f>
        <v/>
      </c>
      <c r="B823" t="str">
        <f>IF(ISBLANK([1]!ScoutingData[[#This Row],[matchLevel]]),"",[1]!ScoutingData[[#This Row],[matchLevel]])</f>
        <v/>
      </c>
      <c r="C823" t="str">
        <f>IF(ISBLANK([1]!ScoutingData[[#This Row],[matchNumber]]),"",[1]!ScoutingData[[#This Row],[matchNumber]])</f>
        <v/>
      </c>
      <c r="D823" t="str">
        <f>IF(ISBLANK([1]!ScoutingData[[#This Row],[event]]),"",[1]!ScoutingData[[#This Row],[event]])</f>
        <v/>
      </c>
      <c r="E823" t="str">
        <f>IF(ISBLANK([1]!ScoutingData[[#This Row],[position]]),"",[1]!ScoutingData[[#This Row],[position]])</f>
        <v/>
      </c>
      <c r="F823" t="str">
        <f>IF(ISBLANK([1]!ScoutingData[[#This Row],[leaveStartingZone]]),"",[1]!ScoutingData[[#This Row],[leaveStartingZone]])</f>
        <v/>
      </c>
      <c r="G823" t="str">
        <f>IF(ISBLANK([1]!ScoutingData[[#This Row],[autoAmpScore]]),"",[1]!ScoutingData[[#This Row],[autoAmpScore]])</f>
        <v/>
      </c>
      <c r="H823" t="str">
        <f>IF(ISBLANK([1]!ScoutingData[[#This Row],[autoSpeakerScore]]),"",[1]!ScoutingData[[#This Row],[autoSpeakerScore]])</f>
        <v/>
      </c>
    </row>
    <row r="824" spans="1:8" x14ac:dyDescent="0.45">
      <c r="A824" t="str">
        <f>IF(ISBLANK([1]!ScoutingData[[#This Row],[teamNumber]]),"",[1]!ScoutingData[[#This Row],[teamNumber]])</f>
        <v/>
      </c>
      <c r="B824" t="str">
        <f>IF(ISBLANK([1]!ScoutingData[[#This Row],[matchLevel]]),"",[1]!ScoutingData[[#This Row],[matchLevel]])</f>
        <v/>
      </c>
      <c r="C824" t="str">
        <f>IF(ISBLANK([1]!ScoutingData[[#This Row],[matchNumber]]),"",[1]!ScoutingData[[#This Row],[matchNumber]])</f>
        <v/>
      </c>
      <c r="D824" t="str">
        <f>IF(ISBLANK([1]!ScoutingData[[#This Row],[event]]),"",[1]!ScoutingData[[#This Row],[event]])</f>
        <v/>
      </c>
      <c r="E824" t="str">
        <f>IF(ISBLANK([1]!ScoutingData[[#This Row],[position]]),"",[1]!ScoutingData[[#This Row],[position]])</f>
        <v/>
      </c>
      <c r="F824" t="str">
        <f>IF(ISBLANK([1]!ScoutingData[[#This Row],[leaveStartingZone]]),"",[1]!ScoutingData[[#This Row],[leaveStartingZone]])</f>
        <v/>
      </c>
      <c r="G824" t="str">
        <f>IF(ISBLANK([1]!ScoutingData[[#This Row],[autoAmpScore]]),"",[1]!ScoutingData[[#This Row],[autoAmpScore]])</f>
        <v/>
      </c>
      <c r="H824" t="str">
        <f>IF(ISBLANK([1]!ScoutingData[[#This Row],[autoSpeakerScore]]),"",[1]!ScoutingData[[#This Row],[autoSpeakerScore]])</f>
        <v/>
      </c>
    </row>
    <row r="825" spans="1:8" x14ac:dyDescent="0.45">
      <c r="A825" t="str">
        <f>IF(ISBLANK([1]!ScoutingData[[#This Row],[teamNumber]]),"",[1]!ScoutingData[[#This Row],[teamNumber]])</f>
        <v/>
      </c>
      <c r="B825" t="str">
        <f>IF(ISBLANK([1]!ScoutingData[[#This Row],[matchLevel]]),"",[1]!ScoutingData[[#This Row],[matchLevel]])</f>
        <v/>
      </c>
      <c r="C825" t="str">
        <f>IF(ISBLANK([1]!ScoutingData[[#This Row],[matchNumber]]),"",[1]!ScoutingData[[#This Row],[matchNumber]])</f>
        <v/>
      </c>
      <c r="D825" t="str">
        <f>IF(ISBLANK([1]!ScoutingData[[#This Row],[event]]),"",[1]!ScoutingData[[#This Row],[event]])</f>
        <v/>
      </c>
      <c r="E825" t="str">
        <f>IF(ISBLANK([1]!ScoutingData[[#This Row],[position]]),"",[1]!ScoutingData[[#This Row],[position]])</f>
        <v/>
      </c>
      <c r="F825" t="str">
        <f>IF(ISBLANK([1]!ScoutingData[[#This Row],[leaveStartingZone]]),"",[1]!ScoutingData[[#This Row],[leaveStartingZone]])</f>
        <v/>
      </c>
      <c r="G825" t="str">
        <f>IF(ISBLANK([1]!ScoutingData[[#This Row],[autoAmpScore]]),"",[1]!ScoutingData[[#This Row],[autoAmpScore]])</f>
        <v/>
      </c>
      <c r="H825" t="str">
        <f>IF(ISBLANK([1]!ScoutingData[[#This Row],[autoSpeakerScore]]),"",[1]!ScoutingData[[#This Row],[autoSpeakerScore]])</f>
        <v/>
      </c>
    </row>
    <row r="826" spans="1:8" x14ac:dyDescent="0.45">
      <c r="A826" t="str">
        <f>IF(ISBLANK([1]!ScoutingData[[#This Row],[teamNumber]]),"",[1]!ScoutingData[[#This Row],[teamNumber]])</f>
        <v/>
      </c>
      <c r="B826" t="str">
        <f>IF(ISBLANK([1]!ScoutingData[[#This Row],[matchLevel]]),"",[1]!ScoutingData[[#This Row],[matchLevel]])</f>
        <v/>
      </c>
      <c r="C826" t="str">
        <f>IF(ISBLANK([1]!ScoutingData[[#This Row],[matchNumber]]),"",[1]!ScoutingData[[#This Row],[matchNumber]])</f>
        <v/>
      </c>
      <c r="D826" t="str">
        <f>IF(ISBLANK([1]!ScoutingData[[#This Row],[event]]),"",[1]!ScoutingData[[#This Row],[event]])</f>
        <v/>
      </c>
      <c r="E826" t="str">
        <f>IF(ISBLANK([1]!ScoutingData[[#This Row],[position]]),"",[1]!ScoutingData[[#This Row],[position]])</f>
        <v/>
      </c>
      <c r="F826" t="str">
        <f>IF(ISBLANK([1]!ScoutingData[[#This Row],[leaveStartingZone]]),"",[1]!ScoutingData[[#This Row],[leaveStartingZone]])</f>
        <v/>
      </c>
      <c r="G826" t="str">
        <f>IF(ISBLANK([1]!ScoutingData[[#This Row],[autoAmpScore]]),"",[1]!ScoutingData[[#This Row],[autoAmpScore]])</f>
        <v/>
      </c>
      <c r="H826" t="str">
        <f>IF(ISBLANK([1]!ScoutingData[[#This Row],[autoSpeakerScore]]),"",[1]!ScoutingData[[#This Row],[autoSpeakerScore]])</f>
        <v/>
      </c>
    </row>
    <row r="827" spans="1:8" x14ac:dyDescent="0.45">
      <c r="A827" t="str">
        <f>IF(ISBLANK([1]!ScoutingData[[#This Row],[teamNumber]]),"",[1]!ScoutingData[[#This Row],[teamNumber]])</f>
        <v/>
      </c>
      <c r="B827" t="str">
        <f>IF(ISBLANK([1]!ScoutingData[[#This Row],[matchLevel]]),"",[1]!ScoutingData[[#This Row],[matchLevel]])</f>
        <v/>
      </c>
      <c r="C827" t="str">
        <f>IF(ISBLANK([1]!ScoutingData[[#This Row],[matchNumber]]),"",[1]!ScoutingData[[#This Row],[matchNumber]])</f>
        <v/>
      </c>
      <c r="D827" t="str">
        <f>IF(ISBLANK([1]!ScoutingData[[#This Row],[event]]),"",[1]!ScoutingData[[#This Row],[event]])</f>
        <v/>
      </c>
      <c r="E827" t="str">
        <f>IF(ISBLANK([1]!ScoutingData[[#This Row],[position]]),"",[1]!ScoutingData[[#This Row],[position]])</f>
        <v/>
      </c>
      <c r="F827" t="str">
        <f>IF(ISBLANK([1]!ScoutingData[[#This Row],[leaveStartingZone]]),"",[1]!ScoutingData[[#This Row],[leaveStartingZone]])</f>
        <v/>
      </c>
      <c r="G827" t="str">
        <f>IF(ISBLANK([1]!ScoutingData[[#This Row],[autoAmpScore]]),"",[1]!ScoutingData[[#This Row],[autoAmpScore]])</f>
        <v/>
      </c>
      <c r="H827" t="str">
        <f>IF(ISBLANK([1]!ScoutingData[[#This Row],[autoSpeakerScore]]),"",[1]!ScoutingData[[#This Row],[autoSpeakerScore]])</f>
        <v/>
      </c>
    </row>
    <row r="828" spans="1:8" x14ac:dyDescent="0.45">
      <c r="A828" t="str">
        <f>IF(ISBLANK([1]!ScoutingData[[#This Row],[teamNumber]]),"",[1]!ScoutingData[[#This Row],[teamNumber]])</f>
        <v/>
      </c>
      <c r="B828" t="str">
        <f>IF(ISBLANK([1]!ScoutingData[[#This Row],[matchLevel]]),"",[1]!ScoutingData[[#This Row],[matchLevel]])</f>
        <v/>
      </c>
      <c r="C828" t="str">
        <f>IF(ISBLANK([1]!ScoutingData[[#This Row],[matchNumber]]),"",[1]!ScoutingData[[#This Row],[matchNumber]])</f>
        <v/>
      </c>
      <c r="D828" t="str">
        <f>IF(ISBLANK([1]!ScoutingData[[#This Row],[event]]),"",[1]!ScoutingData[[#This Row],[event]])</f>
        <v/>
      </c>
      <c r="E828" t="str">
        <f>IF(ISBLANK([1]!ScoutingData[[#This Row],[position]]),"",[1]!ScoutingData[[#This Row],[position]])</f>
        <v/>
      </c>
      <c r="F828" t="str">
        <f>IF(ISBLANK([1]!ScoutingData[[#This Row],[leaveStartingZone]]),"",[1]!ScoutingData[[#This Row],[leaveStartingZone]])</f>
        <v/>
      </c>
      <c r="G828" t="str">
        <f>IF(ISBLANK([1]!ScoutingData[[#This Row],[autoAmpScore]]),"",[1]!ScoutingData[[#This Row],[autoAmpScore]])</f>
        <v/>
      </c>
      <c r="H828" t="str">
        <f>IF(ISBLANK([1]!ScoutingData[[#This Row],[autoSpeakerScore]]),"",[1]!ScoutingData[[#This Row],[autoSpeakerScore]])</f>
        <v/>
      </c>
    </row>
    <row r="829" spans="1:8" x14ac:dyDescent="0.45">
      <c r="A829" t="str">
        <f>IF(ISBLANK([1]!ScoutingData[[#This Row],[teamNumber]]),"",[1]!ScoutingData[[#This Row],[teamNumber]])</f>
        <v/>
      </c>
      <c r="B829" t="str">
        <f>IF(ISBLANK([1]!ScoutingData[[#This Row],[matchLevel]]),"",[1]!ScoutingData[[#This Row],[matchLevel]])</f>
        <v/>
      </c>
      <c r="C829" t="str">
        <f>IF(ISBLANK([1]!ScoutingData[[#This Row],[matchNumber]]),"",[1]!ScoutingData[[#This Row],[matchNumber]])</f>
        <v/>
      </c>
      <c r="D829" t="str">
        <f>IF(ISBLANK([1]!ScoutingData[[#This Row],[event]]),"",[1]!ScoutingData[[#This Row],[event]])</f>
        <v/>
      </c>
      <c r="E829" t="str">
        <f>IF(ISBLANK([1]!ScoutingData[[#This Row],[position]]),"",[1]!ScoutingData[[#This Row],[position]])</f>
        <v/>
      </c>
      <c r="F829" t="str">
        <f>IF(ISBLANK([1]!ScoutingData[[#This Row],[leaveStartingZone]]),"",[1]!ScoutingData[[#This Row],[leaveStartingZone]])</f>
        <v/>
      </c>
      <c r="G829" t="str">
        <f>IF(ISBLANK([1]!ScoutingData[[#This Row],[autoAmpScore]]),"",[1]!ScoutingData[[#This Row],[autoAmpScore]])</f>
        <v/>
      </c>
      <c r="H829" t="str">
        <f>IF(ISBLANK([1]!ScoutingData[[#This Row],[autoSpeakerScore]]),"",[1]!ScoutingData[[#This Row],[autoSpeakerScore]])</f>
        <v/>
      </c>
    </row>
    <row r="830" spans="1:8" x14ac:dyDescent="0.45">
      <c r="A830" t="str">
        <f>IF(ISBLANK([1]!ScoutingData[[#This Row],[teamNumber]]),"",[1]!ScoutingData[[#This Row],[teamNumber]])</f>
        <v/>
      </c>
      <c r="B830" t="str">
        <f>IF(ISBLANK([1]!ScoutingData[[#This Row],[matchLevel]]),"",[1]!ScoutingData[[#This Row],[matchLevel]])</f>
        <v/>
      </c>
      <c r="C830" t="str">
        <f>IF(ISBLANK([1]!ScoutingData[[#This Row],[matchNumber]]),"",[1]!ScoutingData[[#This Row],[matchNumber]])</f>
        <v/>
      </c>
      <c r="D830" t="str">
        <f>IF(ISBLANK([1]!ScoutingData[[#This Row],[event]]),"",[1]!ScoutingData[[#This Row],[event]])</f>
        <v/>
      </c>
      <c r="E830" t="str">
        <f>IF(ISBLANK([1]!ScoutingData[[#This Row],[position]]),"",[1]!ScoutingData[[#This Row],[position]])</f>
        <v/>
      </c>
      <c r="F830" t="str">
        <f>IF(ISBLANK([1]!ScoutingData[[#This Row],[leaveStartingZone]]),"",[1]!ScoutingData[[#This Row],[leaveStartingZone]])</f>
        <v/>
      </c>
      <c r="G830" t="str">
        <f>IF(ISBLANK([1]!ScoutingData[[#This Row],[autoAmpScore]]),"",[1]!ScoutingData[[#This Row],[autoAmpScore]])</f>
        <v/>
      </c>
      <c r="H830" t="str">
        <f>IF(ISBLANK([1]!ScoutingData[[#This Row],[autoSpeakerScore]]),"",[1]!ScoutingData[[#This Row],[autoSpeakerScore]])</f>
        <v/>
      </c>
    </row>
    <row r="831" spans="1:8" x14ac:dyDescent="0.45">
      <c r="A831" t="str">
        <f>IF(ISBLANK([1]!ScoutingData[[#This Row],[teamNumber]]),"",[1]!ScoutingData[[#This Row],[teamNumber]])</f>
        <v/>
      </c>
      <c r="B831" t="str">
        <f>IF(ISBLANK([1]!ScoutingData[[#This Row],[matchLevel]]),"",[1]!ScoutingData[[#This Row],[matchLevel]])</f>
        <v/>
      </c>
      <c r="C831" t="str">
        <f>IF(ISBLANK([1]!ScoutingData[[#This Row],[matchNumber]]),"",[1]!ScoutingData[[#This Row],[matchNumber]])</f>
        <v/>
      </c>
      <c r="D831" t="str">
        <f>IF(ISBLANK([1]!ScoutingData[[#This Row],[event]]),"",[1]!ScoutingData[[#This Row],[event]])</f>
        <v/>
      </c>
      <c r="E831" t="str">
        <f>IF(ISBLANK([1]!ScoutingData[[#This Row],[position]]),"",[1]!ScoutingData[[#This Row],[position]])</f>
        <v/>
      </c>
      <c r="F831" t="str">
        <f>IF(ISBLANK([1]!ScoutingData[[#This Row],[leaveStartingZone]]),"",[1]!ScoutingData[[#This Row],[leaveStartingZone]])</f>
        <v/>
      </c>
      <c r="G831" t="str">
        <f>IF(ISBLANK([1]!ScoutingData[[#This Row],[autoAmpScore]]),"",[1]!ScoutingData[[#This Row],[autoAmpScore]])</f>
        <v/>
      </c>
      <c r="H831" t="str">
        <f>IF(ISBLANK([1]!ScoutingData[[#This Row],[autoSpeakerScore]]),"",[1]!ScoutingData[[#This Row],[autoSpeakerScore]])</f>
        <v/>
      </c>
    </row>
    <row r="832" spans="1:8" x14ac:dyDescent="0.45">
      <c r="A832" t="str">
        <f>IF(ISBLANK([1]!ScoutingData[[#This Row],[teamNumber]]),"",[1]!ScoutingData[[#This Row],[teamNumber]])</f>
        <v/>
      </c>
      <c r="B832" t="str">
        <f>IF(ISBLANK([1]!ScoutingData[[#This Row],[matchLevel]]),"",[1]!ScoutingData[[#This Row],[matchLevel]])</f>
        <v/>
      </c>
      <c r="C832" t="str">
        <f>IF(ISBLANK([1]!ScoutingData[[#This Row],[matchNumber]]),"",[1]!ScoutingData[[#This Row],[matchNumber]])</f>
        <v/>
      </c>
      <c r="D832" t="str">
        <f>IF(ISBLANK([1]!ScoutingData[[#This Row],[event]]),"",[1]!ScoutingData[[#This Row],[event]])</f>
        <v/>
      </c>
      <c r="E832" t="str">
        <f>IF(ISBLANK([1]!ScoutingData[[#This Row],[position]]),"",[1]!ScoutingData[[#This Row],[position]])</f>
        <v/>
      </c>
      <c r="F832" t="str">
        <f>IF(ISBLANK([1]!ScoutingData[[#This Row],[leaveStartingZone]]),"",[1]!ScoutingData[[#This Row],[leaveStartingZone]])</f>
        <v/>
      </c>
      <c r="G832" t="str">
        <f>IF(ISBLANK([1]!ScoutingData[[#This Row],[autoAmpScore]]),"",[1]!ScoutingData[[#This Row],[autoAmpScore]])</f>
        <v/>
      </c>
      <c r="H832" t="str">
        <f>IF(ISBLANK([1]!ScoutingData[[#This Row],[autoSpeakerScore]]),"",[1]!ScoutingData[[#This Row],[autoSpeakerScore]])</f>
        <v/>
      </c>
    </row>
    <row r="833" spans="1:8" x14ac:dyDescent="0.45">
      <c r="A833" t="str">
        <f>IF(ISBLANK([1]!ScoutingData[[#This Row],[teamNumber]]),"",[1]!ScoutingData[[#This Row],[teamNumber]])</f>
        <v/>
      </c>
      <c r="B833" t="str">
        <f>IF(ISBLANK([1]!ScoutingData[[#This Row],[matchLevel]]),"",[1]!ScoutingData[[#This Row],[matchLevel]])</f>
        <v/>
      </c>
      <c r="C833" t="str">
        <f>IF(ISBLANK([1]!ScoutingData[[#This Row],[matchNumber]]),"",[1]!ScoutingData[[#This Row],[matchNumber]])</f>
        <v/>
      </c>
      <c r="D833" t="str">
        <f>IF(ISBLANK([1]!ScoutingData[[#This Row],[event]]),"",[1]!ScoutingData[[#This Row],[event]])</f>
        <v/>
      </c>
      <c r="E833" t="str">
        <f>IF(ISBLANK([1]!ScoutingData[[#This Row],[position]]),"",[1]!ScoutingData[[#This Row],[position]])</f>
        <v/>
      </c>
      <c r="F833" t="str">
        <f>IF(ISBLANK([1]!ScoutingData[[#This Row],[leaveStartingZone]]),"",[1]!ScoutingData[[#This Row],[leaveStartingZone]])</f>
        <v/>
      </c>
      <c r="G833" t="str">
        <f>IF(ISBLANK([1]!ScoutingData[[#This Row],[autoAmpScore]]),"",[1]!ScoutingData[[#This Row],[autoAmpScore]])</f>
        <v/>
      </c>
      <c r="H833" t="str">
        <f>IF(ISBLANK([1]!ScoutingData[[#This Row],[autoSpeakerScore]]),"",[1]!ScoutingData[[#This Row],[autoSpeakerScore]])</f>
        <v/>
      </c>
    </row>
    <row r="834" spans="1:8" x14ac:dyDescent="0.45">
      <c r="A834" t="str">
        <f>IF(ISBLANK([1]!ScoutingData[[#This Row],[teamNumber]]),"",[1]!ScoutingData[[#This Row],[teamNumber]])</f>
        <v/>
      </c>
      <c r="B834" t="str">
        <f>IF(ISBLANK([1]!ScoutingData[[#This Row],[matchLevel]]),"",[1]!ScoutingData[[#This Row],[matchLevel]])</f>
        <v/>
      </c>
      <c r="C834" t="str">
        <f>IF(ISBLANK([1]!ScoutingData[[#This Row],[matchNumber]]),"",[1]!ScoutingData[[#This Row],[matchNumber]])</f>
        <v/>
      </c>
      <c r="D834" t="str">
        <f>IF(ISBLANK([1]!ScoutingData[[#This Row],[event]]),"",[1]!ScoutingData[[#This Row],[event]])</f>
        <v/>
      </c>
      <c r="E834" t="str">
        <f>IF(ISBLANK([1]!ScoutingData[[#This Row],[position]]),"",[1]!ScoutingData[[#This Row],[position]])</f>
        <v/>
      </c>
      <c r="F834" t="str">
        <f>IF(ISBLANK([1]!ScoutingData[[#This Row],[leaveStartingZone]]),"",[1]!ScoutingData[[#This Row],[leaveStartingZone]])</f>
        <v/>
      </c>
      <c r="G834" t="str">
        <f>IF(ISBLANK([1]!ScoutingData[[#This Row],[autoAmpScore]]),"",[1]!ScoutingData[[#This Row],[autoAmpScore]])</f>
        <v/>
      </c>
      <c r="H834" t="str">
        <f>IF(ISBLANK([1]!ScoutingData[[#This Row],[autoSpeakerScore]]),"",[1]!ScoutingData[[#This Row],[autoSpeakerScore]])</f>
        <v/>
      </c>
    </row>
    <row r="835" spans="1:8" x14ac:dyDescent="0.45">
      <c r="A835" t="str">
        <f>IF(ISBLANK([1]!ScoutingData[[#This Row],[teamNumber]]),"",[1]!ScoutingData[[#This Row],[teamNumber]])</f>
        <v/>
      </c>
      <c r="B835" t="str">
        <f>IF(ISBLANK([1]!ScoutingData[[#This Row],[matchLevel]]),"",[1]!ScoutingData[[#This Row],[matchLevel]])</f>
        <v/>
      </c>
      <c r="C835" t="str">
        <f>IF(ISBLANK([1]!ScoutingData[[#This Row],[matchNumber]]),"",[1]!ScoutingData[[#This Row],[matchNumber]])</f>
        <v/>
      </c>
      <c r="D835" t="str">
        <f>IF(ISBLANK([1]!ScoutingData[[#This Row],[event]]),"",[1]!ScoutingData[[#This Row],[event]])</f>
        <v/>
      </c>
      <c r="E835" t="str">
        <f>IF(ISBLANK([1]!ScoutingData[[#This Row],[position]]),"",[1]!ScoutingData[[#This Row],[position]])</f>
        <v/>
      </c>
      <c r="F835" t="str">
        <f>IF(ISBLANK([1]!ScoutingData[[#This Row],[leaveStartingZone]]),"",[1]!ScoutingData[[#This Row],[leaveStartingZone]])</f>
        <v/>
      </c>
      <c r="G835" t="str">
        <f>IF(ISBLANK([1]!ScoutingData[[#This Row],[autoAmpScore]]),"",[1]!ScoutingData[[#This Row],[autoAmpScore]])</f>
        <v/>
      </c>
      <c r="H835" t="str">
        <f>IF(ISBLANK([1]!ScoutingData[[#This Row],[autoSpeakerScore]]),"",[1]!ScoutingData[[#This Row],[autoSpeakerScore]])</f>
        <v/>
      </c>
    </row>
    <row r="836" spans="1:8" x14ac:dyDescent="0.45">
      <c r="A836" t="str">
        <f>IF(ISBLANK([1]!ScoutingData[[#This Row],[teamNumber]]),"",[1]!ScoutingData[[#This Row],[teamNumber]])</f>
        <v/>
      </c>
      <c r="B836" t="str">
        <f>IF(ISBLANK([1]!ScoutingData[[#This Row],[matchLevel]]),"",[1]!ScoutingData[[#This Row],[matchLevel]])</f>
        <v/>
      </c>
      <c r="C836" t="str">
        <f>IF(ISBLANK([1]!ScoutingData[[#This Row],[matchNumber]]),"",[1]!ScoutingData[[#This Row],[matchNumber]])</f>
        <v/>
      </c>
      <c r="D836" t="str">
        <f>IF(ISBLANK([1]!ScoutingData[[#This Row],[event]]),"",[1]!ScoutingData[[#This Row],[event]])</f>
        <v/>
      </c>
      <c r="E836" t="str">
        <f>IF(ISBLANK([1]!ScoutingData[[#This Row],[position]]),"",[1]!ScoutingData[[#This Row],[position]])</f>
        <v/>
      </c>
      <c r="F836" t="str">
        <f>IF(ISBLANK([1]!ScoutingData[[#This Row],[leaveStartingZone]]),"",[1]!ScoutingData[[#This Row],[leaveStartingZone]])</f>
        <v/>
      </c>
      <c r="G836" t="str">
        <f>IF(ISBLANK([1]!ScoutingData[[#This Row],[autoAmpScore]]),"",[1]!ScoutingData[[#This Row],[autoAmpScore]])</f>
        <v/>
      </c>
      <c r="H836" t="str">
        <f>IF(ISBLANK([1]!ScoutingData[[#This Row],[autoSpeakerScore]]),"",[1]!ScoutingData[[#This Row],[autoSpeakerScore]])</f>
        <v/>
      </c>
    </row>
    <row r="837" spans="1:8" x14ac:dyDescent="0.45">
      <c r="A837" t="str">
        <f>IF(ISBLANK([1]!ScoutingData[[#This Row],[teamNumber]]),"",[1]!ScoutingData[[#This Row],[teamNumber]])</f>
        <v/>
      </c>
      <c r="B837" t="str">
        <f>IF(ISBLANK([1]!ScoutingData[[#This Row],[matchLevel]]),"",[1]!ScoutingData[[#This Row],[matchLevel]])</f>
        <v/>
      </c>
      <c r="C837" t="str">
        <f>IF(ISBLANK([1]!ScoutingData[[#This Row],[matchNumber]]),"",[1]!ScoutingData[[#This Row],[matchNumber]])</f>
        <v/>
      </c>
      <c r="D837" t="str">
        <f>IF(ISBLANK([1]!ScoutingData[[#This Row],[event]]),"",[1]!ScoutingData[[#This Row],[event]])</f>
        <v/>
      </c>
      <c r="E837" t="str">
        <f>IF(ISBLANK([1]!ScoutingData[[#This Row],[position]]),"",[1]!ScoutingData[[#This Row],[position]])</f>
        <v/>
      </c>
      <c r="F837" t="str">
        <f>IF(ISBLANK([1]!ScoutingData[[#This Row],[leaveStartingZone]]),"",[1]!ScoutingData[[#This Row],[leaveStartingZone]])</f>
        <v/>
      </c>
      <c r="G837" t="str">
        <f>IF(ISBLANK([1]!ScoutingData[[#This Row],[autoAmpScore]]),"",[1]!ScoutingData[[#This Row],[autoAmpScore]])</f>
        <v/>
      </c>
      <c r="H837" t="str">
        <f>IF(ISBLANK([1]!ScoutingData[[#This Row],[autoSpeakerScore]]),"",[1]!ScoutingData[[#This Row],[autoSpeakerScore]])</f>
        <v/>
      </c>
    </row>
    <row r="838" spans="1:8" x14ac:dyDescent="0.45">
      <c r="A838" t="str">
        <f>IF(ISBLANK([1]!ScoutingData[[#This Row],[teamNumber]]),"",[1]!ScoutingData[[#This Row],[teamNumber]])</f>
        <v/>
      </c>
      <c r="B838" t="str">
        <f>IF(ISBLANK([1]!ScoutingData[[#This Row],[matchLevel]]),"",[1]!ScoutingData[[#This Row],[matchLevel]])</f>
        <v/>
      </c>
      <c r="C838" t="str">
        <f>IF(ISBLANK([1]!ScoutingData[[#This Row],[matchNumber]]),"",[1]!ScoutingData[[#This Row],[matchNumber]])</f>
        <v/>
      </c>
      <c r="D838" t="str">
        <f>IF(ISBLANK([1]!ScoutingData[[#This Row],[event]]),"",[1]!ScoutingData[[#This Row],[event]])</f>
        <v/>
      </c>
      <c r="E838" t="str">
        <f>IF(ISBLANK([1]!ScoutingData[[#This Row],[position]]),"",[1]!ScoutingData[[#This Row],[position]])</f>
        <v/>
      </c>
      <c r="F838" t="str">
        <f>IF(ISBLANK([1]!ScoutingData[[#This Row],[leaveStartingZone]]),"",[1]!ScoutingData[[#This Row],[leaveStartingZone]])</f>
        <v/>
      </c>
      <c r="G838" t="str">
        <f>IF(ISBLANK([1]!ScoutingData[[#This Row],[autoAmpScore]]),"",[1]!ScoutingData[[#This Row],[autoAmpScore]])</f>
        <v/>
      </c>
      <c r="H838" t="str">
        <f>IF(ISBLANK([1]!ScoutingData[[#This Row],[autoSpeakerScore]]),"",[1]!ScoutingData[[#This Row],[autoSpeakerScore]])</f>
        <v/>
      </c>
    </row>
    <row r="839" spans="1:8" x14ac:dyDescent="0.45">
      <c r="A839" t="str">
        <f>IF(ISBLANK([1]!ScoutingData[[#This Row],[teamNumber]]),"",[1]!ScoutingData[[#This Row],[teamNumber]])</f>
        <v/>
      </c>
      <c r="B839" t="str">
        <f>IF(ISBLANK([1]!ScoutingData[[#This Row],[matchLevel]]),"",[1]!ScoutingData[[#This Row],[matchLevel]])</f>
        <v/>
      </c>
      <c r="C839" t="str">
        <f>IF(ISBLANK([1]!ScoutingData[[#This Row],[matchNumber]]),"",[1]!ScoutingData[[#This Row],[matchNumber]])</f>
        <v/>
      </c>
      <c r="D839" t="str">
        <f>IF(ISBLANK([1]!ScoutingData[[#This Row],[event]]),"",[1]!ScoutingData[[#This Row],[event]])</f>
        <v/>
      </c>
      <c r="E839" t="str">
        <f>IF(ISBLANK([1]!ScoutingData[[#This Row],[position]]),"",[1]!ScoutingData[[#This Row],[position]])</f>
        <v/>
      </c>
      <c r="F839" t="str">
        <f>IF(ISBLANK([1]!ScoutingData[[#This Row],[leaveStartingZone]]),"",[1]!ScoutingData[[#This Row],[leaveStartingZone]])</f>
        <v/>
      </c>
      <c r="G839" t="str">
        <f>IF(ISBLANK([1]!ScoutingData[[#This Row],[autoAmpScore]]),"",[1]!ScoutingData[[#This Row],[autoAmpScore]])</f>
        <v/>
      </c>
      <c r="H839" t="str">
        <f>IF(ISBLANK([1]!ScoutingData[[#This Row],[autoSpeakerScore]]),"",[1]!ScoutingData[[#This Row],[autoSpeakerScore]])</f>
        <v/>
      </c>
    </row>
    <row r="840" spans="1:8" x14ac:dyDescent="0.45">
      <c r="A840" t="str">
        <f>IF(ISBLANK([1]!ScoutingData[[#This Row],[teamNumber]]),"",[1]!ScoutingData[[#This Row],[teamNumber]])</f>
        <v/>
      </c>
      <c r="B840" t="str">
        <f>IF(ISBLANK([1]!ScoutingData[[#This Row],[matchLevel]]),"",[1]!ScoutingData[[#This Row],[matchLevel]])</f>
        <v/>
      </c>
      <c r="C840" t="str">
        <f>IF(ISBLANK([1]!ScoutingData[[#This Row],[matchNumber]]),"",[1]!ScoutingData[[#This Row],[matchNumber]])</f>
        <v/>
      </c>
      <c r="D840" t="str">
        <f>IF(ISBLANK([1]!ScoutingData[[#This Row],[event]]),"",[1]!ScoutingData[[#This Row],[event]])</f>
        <v/>
      </c>
      <c r="E840" t="str">
        <f>IF(ISBLANK([1]!ScoutingData[[#This Row],[position]]),"",[1]!ScoutingData[[#This Row],[position]])</f>
        <v/>
      </c>
      <c r="F840" t="str">
        <f>IF(ISBLANK([1]!ScoutingData[[#This Row],[leaveStartingZone]]),"",[1]!ScoutingData[[#This Row],[leaveStartingZone]])</f>
        <v/>
      </c>
      <c r="G840" t="str">
        <f>IF(ISBLANK([1]!ScoutingData[[#This Row],[autoAmpScore]]),"",[1]!ScoutingData[[#This Row],[autoAmpScore]])</f>
        <v/>
      </c>
      <c r="H840" t="str">
        <f>IF(ISBLANK([1]!ScoutingData[[#This Row],[autoSpeakerScore]]),"",[1]!ScoutingData[[#This Row],[autoSpeakerScore]])</f>
        <v/>
      </c>
    </row>
    <row r="841" spans="1:8" x14ac:dyDescent="0.45">
      <c r="A841" t="str">
        <f>IF(ISBLANK([1]!ScoutingData[[#This Row],[teamNumber]]),"",[1]!ScoutingData[[#This Row],[teamNumber]])</f>
        <v/>
      </c>
      <c r="B841" t="str">
        <f>IF(ISBLANK([1]!ScoutingData[[#This Row],[matchLevel]]),"",[1]!ScoutingData[[#This Row],[matchLevel]])</f>
        <v/>
      </c>
      <c r="C841" t="str">
        <f>IF(ISBLANK([1]!ScoutingData[[#This Row],[matchNumber]]),"",[1]!ScoutingData[[#This Row],[matchNumber]])</f>
        <v/>
      </c>
      <c r="D841" t="str">
        <f>IF(ISBLANK([1]!ScoutingData[[#This Row],[event]]),"",[1]!ScoutingData[[#This Row],[event]])</f>
        <v/>
      </c>
      <c r="E841" t="str">
        <f>IF(ISBLANK([1]!ScoutingData[[#This Row],[position]]),"",[1]!ScoutingData[[#This Row],[position]])</f>
        <v/>
      </c>
      <c r="F841" t="str">
        <f>IF(ISBLANK([1]!ScoutingData[[#This Row],[leaveStartingZone]]),"",[1]!ScoutingData[[#This Row],[leaveStartingZone]])</f>
        <v/>
      </c>
      <c r="G841" t="str">
        <f>IF(ISBLANK([1]!ScoutingData[[#This Row],[autoAmpScore]]),"",[1]!ScoutingData[[#This Row],[autoAmpScore]])</f>
        <v/>
      </c>
      <c r="H841" t="str">
        <f>IF(ISBLANK([1]!ScoutingData[[#This Row],[autoSpeakerScore]]),"",[1]!ScoutingData[[#This Row],[autoSpeakerScore]])</f>
        <v/>
      </c>
    </row>
    <row r="842" spans="1:8" x14ac:dyDescent="0.45">
      <c r="A842" t="str">
        <f>IF(ISBLANK([1]!ScoutingData[[#This Row],[teamNumber]]),"",[1]!ScoutingData[[#This Row],[teamNumber]])</f>
        <v/>
      </c>
      <c r="B842" t="str">
        <f>IF(ISBLANK([1]!ScoutingData[[#This Row],[matchLevel]]),"",[1]!ScoutingData[[#This Row],[matchLevel]])</f>
        <v/>
      </c>
      <c r="C842" t="str">
        <f>IF(ISBLANK([1]!ScoutingData[[#This Row],[matchNumber]]),"",[1]!ScoutingData[[#This Row],[matchNumber]])</f>
        <v/>
      </c>
      <c r="D842" t="str">
        <f>IF(ISBLANK([1]!ScoutingData[[#This Row],[event]]),"",[1]!ScoutingData[[#This Row],[event]])</f>
        <v/>
      </c>
      <c r="E842" t="str">
        <f>IF(ISBLANK([1]!ScoutingData[[#This Row],[position]]),"",[1]!ScoutingData[[#This Row],[position]])</f>
        <v/>
      </c>
      <c r="F842" t="str">
        <f>IF(ISBLANK([1]!ScoutingData[[#This Row],[leaveStartingZone]]),"",[1]!ScoutingData[[#This Row],[leaveStartingZone]])</f>
        <v/>
      </c>
      <c r="G842" t="str">
        <f>IF(ISBLANK([1]!ScoutingData[[#This Row],[autoAmpScore]]),"",[1]!ScoutingData[[#This Row],[autoAmpScore]])</f>
        <v/>
      </c>
      <c r="H842" t="str">
        <f>IF(ISBLANK([1]!ScoutingData[[#This Row],[autoSpeakerScore]]),"",[1]!ScoutingData[[#This Row],[autoSpeakerScore]])</f>
        <v/>
      </c>
    </row>
    <row r="843" spans="1:8" x14ac:dyDescent="0.45">
      <c r="A843" t="str">
        <f>IF(ISBLANK([1]!ScoutingData[[#This Row],[teamNumber]]),"",[1]!ScoutingData[[#This Row],[teamNumber]])</f>
        <v/>
      </c>
      <c r="B843" t="str">
        <f>IF(ISBLANK([1]!ScoutingData[[#This Row],[matchLevel]]),"",[1]!ScoutingData[[#This Row],[matchLevel]])</f>
        <v/>
      </c>
      <c r="C843" t="str">
        <f>IF(ISBLANK([1]!ScoutingData[[#This Row],[matchNumber]]),"",[1]!ScoutingData[[#This Row],[matchNumber]])</f>
        <v/>
      </c>
      <c r="D843" t="str">
        <f>IF(ISBLANK([1]!ScoutingData[[#This Row],[event]]),"",[1]!ScoutingData[[#This Row],[event]])</f>
        <v/>
      </c>
      <c r="E843" t="str">
        <f>IF(ISBLANK([1]!ScoutingData[[#This Row],[position]]),"",[1]!ScoutingData[[#This Row],[position]])</f>
        <v/>
      </c>
      <c r="F843" t="str">
        <f>IF(ISBLANK([1]!ScoutingData[[#This Row],[leaveStartingZone]]),"",[1]!ScoutingData[[#This Row],[leaveStartingZone]])</f>
        <v/>
      </c>
      <c r="G843" t="str">
        <f>IF(ISBLANK([1]!ScoutingData[[#This Row],[autoAmpScore]]),"",[1]!ScoutingData[[#This Row],[autoAmpScore]])</f>
        <v/>
      </c>
      <c r="H843" t="str">
        <f>IF(ISBLANK([1]!ScoutingData[[#This Row],[autoSpeakerScore]]),"",[1]!ScoutingData[[#This Row],[autoSpeakerScore]])</f>
        <v/>
      </c>
    </row>
    <row r="844" spans="1:8" x14ac:dyDescent="0.45">
      <c r="A844" t="str">
        <f>IF(ISBLANK([1]!ScoutingData[[#This Row],[teamNumber]]),"",[1]!ScoutingData[[#This Row],[teamNumber]])</f>
        <v/>
      </c>
      <c r="B844" t="str">
        <f>IF(ISBLANK([1]!ScoutingData[[#This Row],[matchLevel]]),"",[1]!ScoutingData[[#This Row],[matchLevel]])</f>
        <v/>
      </c>
      <c r="C844" t="str">
        <f>IF(ISBLANK([1]!ScoutingData[[#This Row],[matchNumber]]),"",[1]!ScoutingData[[#This Row],[matchNumber]])</f>
        <v/>
      </c>
      <c r="D844" t="str">
        <f>IF(ISBLANK([1]!ScoutingData[[#This Row],[event]]),"",[1]!ScoutingData[[#This Row],[event]])</f>
        <v/>
      </c>
      <c r="E844" t="str">
        <f>IF(ISBLANK([1]!ScoutingData[[#This Row],[position]]),"",[1]!ScoutingData[[#This Row],[position]])</f>
        <v/>
      </c>
      <c r="F844" t="str">
        <f>IF(ISBLANK([1]!ScoutingData[[#This Row],[leaveStartingZone]]),"",[1]!ScoutingData[[#This Row],[leaveStartingZone]])</f>
        <v/>
      </c>
      <c r="G844" t="str">
        <f>IF(ISBLANK([1]!ScoutingData[[#This Row],[autoAmpScore]]),"",[1]!ScoutingData[[#This Row],[autoAmpScore]])</f>
        <v/>
      </c>
      <c r="H844" t="str">
        <f>IF(ISBLANK([1]!ScoutingData[[#This Row],[autoSpeakerScore]]),"",[1]!ScoutingData[[#This Row],[autoSpeakerScore]])</f>
        <v/>
      </c>
    </row>
    <row r="845" spans="1:8" x14ac:dyDescent="0.45">
      <c r="A845" t="str">
        <f>IF(ISBLANK([1]!ScoutingData[[#This Row],[teamNumber]]),"",[1]!ScoutingData[[#This Row],[teamNumber]])</f>
        <v/>
      </c>
      <c r="B845" t="str">
        <f>IF(ISBLANK([1]!ScoutingData[[#This Row],[matchLevel]]),"",[1]!ScoutingData[[#This Row],[matchLevel]])</f>
        <v/>
      </c>
      <c r="C845" t="str">
        <f>IF(ISBLANK([1]!ScoutingData[[#This Row],[matchNumber]]),"",[1]!ScoutingData[[#This Row],[matchNumber]])</f>
        <v/>
      </c>
      <c r="D845" t="str">
        <f>IF(ISBLANK([1]!ScoutingData[[#This Row],[event]]),"",[1]!ScoutingData[[#This Row],[event]])</f>
        <v/>
      </c>
      <c r="E845" t="str">
        <f>IF(ISBLANK([1]!ScoutingData[[#This Row],[position]]),"",[1]!ScoutingData[[#This Row],[position]])</f>
        <v/>
      </c>
      <c r="F845" t="str">
        <f>IF(ISBLANK([1]!ScoutingData[[#This Row],[leaveStartingZone]]),"",[1]!ScoutingData[[#This Row],[leaveStartingZone]])</f>
        <v/>
      </c>
      <c r="G845" t="str">
        <f>IF(ISBLANK([1]!ScoutingData[[#This Row],[autoAmpScore]]),"",[1]!ScoutingData[[#This Row],[autoAmpScore]])</f>
        <v/>
      </c>
      <c r="H845" t="str">
        <f>IF(ISBLANK([1]!ScoutingData[[#This Row],[autoSpeakerScore]]),"",[1]!ScoutingData[[#This Row],[autoSpeakerScore]])</f>
        <v/>
      </c>
    </row>
    <row r="846" spans="1:8" x14ac:dyDescent="0.45">
      <c r="A846" t="str">
        <f>IF(ISBLANK([1]!ScoutingData[[#This Row],[teamNumber]]),"",[1]!ScoutingData[[#This Row],[teamNumber]])</f>
        <v/>
      </c>
      <c r="B846" t="str">
        <f>IF(ISBLANK([1]!ScoutingData[[#This Row],[matchLevel]]),"",[1]!ScoutingData[[#This Row],[matchLevel]])</f>
        <v/>
      </c>
      <c r="C846" t="str">
        <f>IF(ISBLANK([1]!ScoutingData[[#This Row],[matchNumber]]),"",[1]!ScoutingData[[#This Row],[matchNumber]])</f>
        <v/>
      </c>
      <c r="D846" t="str">
        <f>IF(ISBLANK([1]!ScoutingData[[#This Row],[event]]),"",[1]!ScoutingData[[#This Row],[event]])</f>
        <v/>
      </c>
      <c r="E846" t="str">
        <f>IF(ISBLANK([1]!ScoutingData[[#This Row],[position]]),"",[1]!ScoutingData[[#This Row],[position]])</f>
        <v/>
      </c>
      <c r="F846" t="str">
        <f>IF(ISBLANK([1]!ScoutingData[[#This Row],[leaveStartingZone]]),"",[1]!ScoutingData[[#This Row],[leaveStartingZone]])</f>
        <v/>
      </c>
      <c r="G846" t="str">
        <f>IF(ISBLANK([1]!ScoutingData[[#This Row],[autoAmpScore]]),"",[1]!ScoutingData[[#This Row],[autoAmpScore]])</f>
        <v/>
      </c>
      <c r="H846" t="str">
        <f>IF(ISBLANK([1]!ScoutingData[[#This Row],[autoSpeakerScore]]),"",[1]!ScoutingData[[#This Row],[autoSpeakerScore]])</f>
        <v/>
      </c>
    </row>
    <row r="847" spans="1:8" x14ac:dyDescent="0.45">
      <c r="A847" t="str">
        <f>IF(ISBLANK([1]!ScoutingData[[#This Row],[teamNumber]]),"",[1]!ScoutingData[[#This Row],[teamNumber]])</f>
        <v/>
      </c>
      <c r="B847" t="str">
        <f>IF(ISBLANK([1]!ScoutingData[[#This Row],[matchLevel]]),"",[1]!ScoutingData[[#This Row],[matchLevel]])</f>
        <v/>
      </c>
      <c r="C847" t="str">
        <f>IF(ISBLANK([1]!ScoutingData[[#This Row],[matchNumber]]),"",[1]!ScoutingData[[#This Row],[matchNumber]])</f>
        <v/>
      </c>
      <c r="D847" t="str">
        <f>IF(ISBLANK([1]!ScoutingData[[#This Row],[event]]),"",[1]!ScoutingData[[#This Row],[event]])</f>
        <v/>
      </c>
      <c r="E847" t="str">
        <f>IF(ISBLANK([1]!ScoutingData[[#This Row],[position]]),"",[1]!ScoutingData[[#This Row],[position]])</f>
        <v/>
      </c>
      <c r="F847" t="str">
        <f>IF(ISBLANK([1]!ScoutingData[[#This Row],[leaveStartingZone]]),"",[1]!ScoutingData[[#This Row],[leaveStartingZone]])</f>
        <v/>
      </c>
      <c r="G847" t="str">
        <f>IF(ISBLANK([1]!ScoutingData[[#This Row],[autoAmpScore]]),"",[1]!ScoutingData[[#This Row],[autoAmpScore]])</f>
        <v/>
      </c>
      <c r="H847" t="str">
        <f>IF(ISBLANK([1]!ScoutingData[[#This Row],[autoSpeakerScore]]),"",[1]!ScoutingData[[#This Row],[autoSpeakerScore]])</f>
        <v/>
      </c>
    </row>
    <row r="848" spans="1:8" x14ac:dyDescent="0.45">
      <c r="A848" t="str">
        <f>IF(ISBLANK([1]!ScoutingData[[#This Row],[teamNumber]]),"",[1]!ScoutingData[[#This Row],[teamNumber]])</f>
        <v/>
      </c>
      <c r="B848" t="str">
        <f>IF(ISBLANK([1]!ScoutingData[[#This Row],[matchLevel]]),"",[1]!ScoutingData[[#This Row],[matchLevel]])</f>
        <v/>
      </c>
      <c r="C848" t="str">
        <f>IF(ISBLANK([1]!ScoutingData[[#This Row],[matchNumber]]),"",[1]!ScoutingData[[#This Row],[matchNumber]])</f>
        <v/>
      </c>
      <c r="D848" t="str">
        <f>IF(ISBLANK([1]!ScoutingData[[#This Row],[event]]),"",[1]!ScoutingData[[#This Row],[event]])</f>
        <v/>
      </c>
      <c r="E848" t="str">
        <f>IF(ISBLANK([1]!ScoutingData[[#This Row],[position]]),"",[1]!ScoutingData[[#This Row],[position]])</f>
        <v/>
      </c>
      <c r="F848" t="str">
        <f>IF(ISBLANK([1]!ScoutingData[[#This Row],[leaveStartingZone]]),"",[1]!ScoutingData[[#This Row],[leaveStartingZone]])</f>
        <v/>
      </c>
      <c r="G848" t="str">
        <f>IF(ISBLANK([1]!ScoutingData[[#This Row],[autoAmpScore]]),"",[1]!ScoutingData[[#This Row],[autoAmpScore]])</f>
        <v/>
      </c>
      <c r="H848" t="str">
        <f>IF(ISBLANK([1]!ScoutingData[[#This Row],[autoSpeakerScore]]),"",[1]!ScoutingData[[#This Row],[autoSpeakerScore]])</f>
        <v/>
      </c>
    </row>
    <row r="849" spans="1:8" x14ac:dyDescent="0.45">
      <c r="A849" t="str">
        <f>IF(ISBLANK([1]!ScoutingData[[#This Row],[teamNumber]]),"",[1]!ScoutingData[[#This Row],[teamNumber]])</f>
        <v/>
      </c>
      <c r="B849" t="str">
        <f>IF(ISBLANK([1]!ScoutingData[[#This Row],[matchLevel]]),"",[1]!ScoutingData[[#This Row],[matchLevel]])</f>
        <v/>
      </c>
      <c r="C849" t="str">
        <f>IF(ISBLANK([1]!ScoutingData[[#This Row],[matchNumber]]),"",[1]!ScoutingData[[#This Row],[matchNumber]])</f>
        <v/>
      </c>
      <c r="D849" t="str">
        <f>IF(ISBLANK([1]!ScoutingData[[#This Row],[event]]),"",[1]!ScoutingData[[#This Row],[event]])</f>
        <v/>
      </c>
      <c r="E849" t="str">
        <f>IF(ISBLANK([1]!ScoutingData[[#This Row],[position]]),"",[1]!ScoutingData[[#This Row],[position]])</f>
        <v/>
      </c>
      <c r="F849" t="str">
        <f>IF(ISBLANK([1]!ScoutingData[[#This Row],[leaveStartingZone]]),"",[1]!ScoutingData[[#This Row],[leaveStartingZone]])</f>
        <v/>
      </c>
      <c r="G849" t="str">
        <f>IF(ISBLANK([1]!ScoutingData[[#This Row],[autoAmpScore]]),"",[1]!ScoutingData[[#This Row],[autoAmpScore]])</f>
        <v/>
      </c>
      <c r="H849" t="str">
        <f>IF(ISBLANK([1]!ScoutingData[[#This Row],[autoSpeakerScore]]),"",[1]!ScoutingData[[#This Row],[autoSpeakerScore]])</f>
        <v/>
      </c>
    </row>
    <row r="850" spans="1:8" x14ac:dyDescent="0.45">
      <c r="A850" t="str">
        <f>IF(ISBLANK([1]!ScoutingData[[#This Row],[teamNumber]]),"",[1]!ScoutingData[[#This Row],[teamNumber]])</f>
        <v/>
      </c>
      <c r="B850" t="str">
        <f>IF(ISBLANK([1]!ScoutingData[[#This Row],[matchLevel]]),"",[1]!ScoutingData[[#This Row],[matchLevel]])</f>
        <v/>
      </c>
      <c r="C850" t="str">
        <f>IF(ISBLANK([1]!ScoutingData[[#This Row],[matchNumber]]),"",[1]!ScoutingData[[#This Row],[matchNumber]])</f>
        <v/>
      </c>
      <c r="D850" t="str">
        <f>IF(ISBLANK([1]!ScoutingData[[#This Row],[event]]),"",[1]!ScoutingData[[#This Row],[event]])</f>
        <v/>
      </c>
      <c r="E850" t="str">
        <f>IF(ISBLANK([1]!ScoutingData[[#This Row],[position]]),"",[1]!ScoutingData[[#This Row],[position]])</f>
        <v/>
      </c>
      <c r="F850" t="str">
        <f>IF(ISBLANK([1]!ScoutingData[[#This Row],[leaveStartingZone]]),"",[1]!ScoutingData[[#This Row],[leaveStartingZone]])</f>
        <v/>
      </c>
      <c r="G850" t="str">
        <f>IF(ISBLANK([1]!ScoutingData[[#This Row],[autoAmpScore]]),"",[1]!ScoutingData[[#This Row],[autoAmpScore]])</f>
        <v/>
      </c>
      <c r="H850" t="str">
        <f>IF(ISBLANK([1]!ScoutingData[[#This Row],[autoSpeakerScore]]),"",[1]!ScoutingData[[#This Row],[autoSpeakerScore]])</f>
        <v/>
      </c>
    </row>
    <row r="851" spans="1:8" x14ac:dyDescent="0.45">
      <c r="A851" t="str">
        <f>IF(ISBLANK([1]!ScoutingData[[#This Row],[teamNumber]]),"",[1]!ScoutingData[[#This Row],[teamNumber]])</f>
        <v/>
      </c>
      <c r="B851" t="str">
        <f>IF(ISBLANK([1]!ScoutingData[[#This Row],[matchLevel]]),"",[1]!ScoutingData[[#This Row],[matchLevel]])</f>
        <v/>
      </c>
      <c r="C851" t="str">
        <f>IF(ISBLANK([1]!ScoutingData[[#This Row],[matchNumber]]),"",[1]!ScoutingData[[#This Row],[matchNumber]])</f>
        <v/>
      </c>
      <c r="D851" t="str">
        <f>IF(ISBLANK([1]!ScoutingData[[#This Row],[event]]),"",[1]!ScoutingData[[#This Row],[event]])</f>
        <v/>
      </c>
      <c r="E851" t="str">
        <f>IF(ISBLANK([1]!ScoutingData[[#This Row],[position]]),"",[1]!ScoutingData[[#This Row],[position]])</f>
        <v/>
      </c>
      <c r="F851" t="str">
        <f>IF(ISBLANK([1]!ScoutingData[[#This Row],[leaveStartingZone]]),"",[1]!ScoutingData[[#This Row],[leaveStartingZone]])</f>
        <v/>
      </c>
      <c r="G851" t="str">
        <f>IF(ISBLANK([1]!ScoutingData[[#This Row],[autoAmpScore]]),"",[1]!ScoutingData[[#This Row],[autoAmpScore]])</f>
        <v/>
      </c>
      <c r="H851" t="str">
        <f>IF(ISBLANK([1]!ScoutingData[[#This Row],[autoSpeakerScore]]),"",[1]!ScoutingData[[#This Row],[autoSpeakerScore]])</f>
        <v/>
      </c>
    </row>
    <row r="852" spans="1:8" x14ac:dyDescent="0.45">
      <c r="A852" t="str">
        <f>IF(ISBLANK([1]!ScoutingData[[#This Row],[teamNumber]]),"",[1]!ScoutingData[[#This Row],[teamNumber]])</f>
        <v/>
      </c>
      <c r="B852" t="str">
        <f>IF(ISBLANK([1]!ScoutingData[[#This Row],[matchLevel]]),"",[1]!ScoutingData[[#This Row],[matchLevel]])</f>
        <v/>
      </c>
      <c r="C852" t="str">
        <f>IF(ISBLANK([1]!ScoutingData[[#This Row],[matchNumber]]),"",[1]!ScoutingData[[#This Row],[matchNumber]])</f>
        <v/>
      </c>
      <c r="D852" t="str">
        <f>IF(ISBLANK([1]!ScoutingData[[#This Row],[event]]),"",[1]!ScoutingData[[#This Row],[event]])</f>
        <v/>
      </c>
      <c r="E852" t="str">
        <f>IF(ISBLANK([1]!ScoutingData[[#This Row],[position]]),"",[1]!ScoutingData[[#This Row],[position]])</f>
        <v/>
      </c>
      <c r="F852" t="str">
        <f>IF(ISBLANK([1]!ScoutingData[[#This Row],[leaveStartingZone]]),"",[1]!ScoutingData[[#This Row],[leaveStartingZone]])</f>
        <v/>
      </c>
      <c r="G852" t="str">
        <f>IF(ISBLANK([1]!ScoutingData[[#This Row],[autoAmpScore]]),"",[1]!ScoutingData[[#This Row],[autoAmpScore]])</f>
        <v/>
      </c>
      <c r="H852" t="str">
        <f>IF(ISBLANK([1]!ScoutingData[[#This Row],[autoSpeakerScore]]),"",[1]!ScoutingData[[#This Row],[autoSpeakerScore]])</f>
        <v/>
      </c>
    </row>
    <row r="853" spans="1:8" x14ac:dyDescent="0.45">
      <c r="A853" t="str">
        <f>IF(ISBLANK([1]!ScoutingData[[#This Row],[teamNumber]]),"",[1]!ScoutingData[[#This Row],[teamNumber]])</f>
        <v/>
      </c>
      <c r="B853" t="str">
        <f>IF(ISBLANK([1]!ScoutingData[[#This Row],[matchLevel]]),"",[1]!ScoutingData[[#This Row],[matchLevel]])</f>
        <v/>
      </c>
      <c r="C853" t="str">
        <f>IF(ISBLANK([1]!ScoutingData[[#This Row],[matchNumber]]),"",[1]!ScoutingData[[#This Row],[matchNumber]])</f>
        <v/>
      </c>
      <c r="D853" t="str">
        <f>IF(ISBLANK([1]!ScoutingData[[#This Row],[event]]),"",[1]!ScoutingData[[#This Row],[event]])</f>
        <v/>
      </c>
      <c r="E853" t="str">
        <f>IF(ISBLANK([1]!ScoutingData[[#This Row],[position]]),"",[1]!ScoutingData[[#This Row],[position]])</f>
        <v/>
      </c>
      <c r="F853" t="str">
        <f>IF(ISBLANK([1]!ScoutingData[[#This Row],[leaveStartingZone]]),"",[1]!ScoutingData[[#This Row],[leaveStartingZone]])</f>
        <v/>
      </c>
      <c r="G853" t="str">
        <f>IF(ISBLANK([1]!ScoutingData[[#This Row],[autoAmpScore]]),"",[1]!ScoutingData[[#This Row],[autoAmpScore]])</f>
        <v/>
      </c>
      <c r="H853" t="str">
        <f>IF(ISBLANK([1]!ScoutingData[[#This Row],[autoSpeakerScore]]),"",[1]!ScoutingData[[#This Row],[autoSpeakerScore]])</f>
        <v/>
      </c>
    </row>
    <row r="854" spans="1:8" x14ac:dyDescent="0.45">
      <c r="A854" t="str">
        <f>IF(ISBLANK([1]!ScoutingData[[#This Row],[teamNumber]]),"",[1]!ScoutingData[[#This Row],[teamNumber]])</f>
        <v/>
      </c>
      <c r="B854" t="str">
        <f>IF(ISBLANK([1]!ScoutingData[[#This Row],[matchLevel]]),"",[1]!ScoutingData[[#This Row],[matchLevel]])</f>
        <v/>
      </c>
      <c r="C854" t="str">
        <f>IF(ISBLANK([1]!ScoutingData[[#This Row],[matchNumber]]),"",[1]!ScoutingData[[#This Row],[matchNumber]])</f>
        <v/>
      </c>
      <c r="D854" t="str">
        <f>IF(ISBLANK([1]!ScoutingData[[#This Row],[event]]),"",[1]!ScoutingData[[#This Row],[event]])</f>
        <v/>
      </c>
      <c r="E854" t="str">
        <f>IF(ISBLANK([1]!ScoutingData[[#This Row],[position]]),"",[1]!ScoutingData[[#This Row],[position]])</f>
        <v/>
      </c>
      <c r="F854" t="str">
        <f>IF(ISBLANK([1]!ScoutingData[[#This Row],[leaveStartingZone]]),"",[1]!ScoutingData[[#This Row],[leaveStartingZone]])</f>
        <v/>
      </c>
      <c r="G854" t="str">
        <f>IF(ISBLANK([1]!ScoutingData[[#This Row],[autoAmpScore]]),"",[1]!ScoutingData[[#This Row],[autoAmpScore]])</f>
        <v/>
      </c>
      <c r="H854" t="str">
        <f>IF(ISBLANK([1]!ScoutingData[[#This Row],[autoSpeakerScore]]),"",[1]!ScoutingData[[#This Row],[autoSpeakerScore]])</f>
        <v/>
      </c>
    </row>
    <row r="855" spans="1:8" x14ac:dyDescent="0.45">
      <c r="A855" t="str">
        <f>IF(ISBLANK([1]!ScoutingData[[#This Row],[teamNumber]]),"",[1]!ScoutingData[[#This Row],[teamNumber]])</f>
        <v/>
      </c>
      <c r="B855" t="str">
        <f>IF(ISBLANK([1]!ScoutingData[[#This Row],[matchLevel]]),"",[1]!ScoutingData[[#This Row],[matchLevel]])</f>
        <v/>
      </c>
      <c r="C855" t="str">
        <f>IF(ISBLANK([1]!ScoutingData[[#This Row],[matchNumber]]),"",[1]!ScoutingData[[#This Row],[matchNumber]])</f>
        <v/>
      </c>
      <c r="D855" t="str">
        <f>IF(ISBLANK([1]!ScoutingData[[#This Row],[event]]),"",[1]!ScoutingData[[#This Row],[event]])</f>
        <v/>
      </c>
      <c r="E855" t="str">
        <f>IF(ISBLANK([1]!ScoutingData[[#This Row],[position]]),"",[1]!ScoutingData[[#This Row],[position]])</f>
        <v/>
      </c>
      <c r="F855" t="str">
        <f>IF(ISBLANK([1]!ScoutingData[[#This Row],[leaveStartingZone]]),"",[1]!ScoutingData[[#This Row],[leaveStartingZone]])</f>
        <v/>
      </c>
      <c r="G855" t="str">
        <f>IF(ISBLANK([1]!ScoutingData[[#This Row],[autoAmpScore]]),"",[1]!ScoutingData[[#This Row],[autoAmpScore]])</f>
        <v/>
      </c>
      <c r="H855" t="str">
        <f>IF(ISBLANK([1]!ScoutingData[[#This Row],[autoSpeakerScore]]),"",[1]!ScoutingData[[#This Row],[autoSpeakerScore]])</f>
        <v/>
      </c>
    </row>
    <row r="856" spans="1:8" x14ac:dyDescent="0.45">
      <c r="A856" t="str">
        <f>IF(ISBLANK([1]!ScoutingData[[#This Row],[teamNumber]]),"",[1]!ScoutingData[[#This Row],[teamNumber]])</f>
        <v/>
      </c>
      <c r="B856" t="str">
        <f>IF(ISBLANK([1]!ScoutingData[[#This Row],[matchLevel]]),"",[1]!ScoutingData[[#This Row],[matchLevel]])</f>
        <v/>
      </c>
      <c r="C856" t="str">
        <f>IF(ISBLANK([1]!ScoutingData[[#This Row],[matchNumber]]),"",[1]!ScoutingData[[#This Row],[matchNumber]])</f>
        <v/>
      </c>
      <c r="D856" t="str">
        <f>IF(ISBLANK([1]!ScoutingData[[#This Row],[event]]),"",[1]!ScoutingData[[#This Row],[event]])</f>
        <v/>
      </c>
      <c r="E856" t="str">
        <f>IF(ISBLANK([1]!ScoutingData[[#This Row],[position]]),"",[1]!ScoutingData[[#This Row],[position]])</f>
        <v/>
      </c>
      <c r="F856" t="str">
        <f>IF(ISBLANK([1]!ScoutingData[[#This Row],[leaveStartingZone]]),"",[1]!ScoutingData[[#This Row],[leaveStartingZone]])</f>
        <v/>
      </c>
      <c r="G856" t="str">
        <f>IF(ISBLANK([1]!ScoutingData[[#This Row],[autoAmpScore]]),"",[1]!ScoutingData[[#This Row],[autoAmpScore]])</f>
        <v/>
      </c>
      <c r="H856" t="str">
        <f>IF(ISBLANK([1]!ScoutingData[[#This Row],[autoSpeakerScore]]),"",[1]!ScoutingData[[#This Row],[autoSpeakerScore]])</f>
        <v/>
      </c>
    </row>
    <row r="857" spans="1:8" x14ac:dyDescent="0.45">
      <c r="A857" t="str">
        <f>IF(ISBLANK([1]!ScoutingData[[#This Row],[teamNumber]]),"",[1]!ScoutingData[[#This Row],[teamNumber]])</f>
        <v/>
      </c>
      <c r="B857" t="str">
        <f>IF(ISBLANK([1]!ScoutingData[[#This Row],[matchLevel]]),"",[1]!ScoutingData[[#This Row],[matchLevel]])</f>
        <v/>
      </c>
      <c r="C857" t="str">
        <f>IF(ISBLANK([1]!ScoutingData[[#This Row],[matchNumber]]),"",[1]!ScoutingData[[#This Row],[matchNumber]])</f>
        <v/>
      </c>
      <c r="D857" t="str">
        <f>IF(ISBLANK([1]!ScoutingData[[#This Row],[event]]),"",[1]!ScoutingData[[#This Row],[event]])</f>
        <v/>
      </c>
      <c r="E857" t="str">
        <f>IF(ISBLANK([1]!ScoutingData[[#This Row],[position]]),"",[1]!ScoutingData[[#This Row],[position]])</f>
        <v/>
      </c>
      <c r="F857" t="str">
        <f>IF(ISBLANK([1]!ScoutingData[[#This Row],[leaveStartingZone]]),"",[1]!ScoutingData[[#This Row],[leaveStartingZone]])</f>
        <v/>
      </c>
      <c r="G857" t="str">
        <f>IF(ISBLANK([1]!ScoutingData[[#This Row],[autoAmpScore]]),"",[1]!ScoutingData[[#This Row],[autoAmpScore]])</f>
        <v/>
      </c>
      <c r="H857" t="str">
        <f>IF(ISBLANK([1]!ScoutingData[[#This Row],[autoSpeakerScore]]),"",[1]!ScoutingData[[#This Row],[autoSpeakerScore]])</f>
        <v/>
      </c>
    </row>
    <row r="858" spans="1:8" x14ac:dyDescent="0.45">
      <c r="A858" t="str">
        <f>IF(ISBLANK([1]!ScoutingData[[#This Row],[teamNumber]]),"",[1]!ScoutingData[[#This Row],[teamNumber]])</f>
        <v/>
      </c>
      <c r="B858" t="str">
        <f>IF(ISBLANK([1]!ScoutingData[[#This Row],[matchLevel]]),"",[1]!ScoutingData[[#This Row],[matchLevel]])</f>
        <v/>
      </c>
      <c r="C858" t="str">
        <f>IF(ISBLANK([1]!ScoutingData[[#This Row],[matchNumber]]),"",[1]!ScoutingData[[#This Row],[matchNumber]])</f>
        <v/>
      </c>
      <c r="D858" t="str">
        <f>IF(ISBLANK([1]!ScoutingData[[#This Row],[event]]),"",[1]!ScoutingData[[#This Row],[event]])</f>
        <v/>
      </c>
      <c r="E858" t="str">
        <f>IF(ISBLANK([1]!ScoutingData[[#This Row],[position]]),"",[1]!ScoutingData[[#This Row],[position]])</f>
        <v/>
      </c>
      <c r="F858" t="str">
        <f>IF(ISBLANK([1]!ScoutingData[[#This Row],[leaveStartingZone]]),"",[1]!ScoutingData[[#This Row],[leaveStartingZone]])</f>
        <v/>
      </c>
      <c r="G858" t="str">
        <f>IF(ISBLANK([1]!ScoutingData[[#This Row],[autoAmpScore]]),"",[1]!ScoutingData[[#This Row],[autoAmpScore]])</f>
        <v/>
      </c>
      <c r="H858" t="str">
        <f>IF(ISBLANK([1]!ScoutingData[[#This Row],[autoSpeakerScore]]),"",[1]!ScoutingData[[#This Row],[autoSpeakerScore]])</f>
        <v/>
      </c>
    </row>
    <row r="859" spans="1:8" x14ac:dyDescent="0.45">
      <c r="A859" t="str">
        <f>IF(ISBLANK([1]!ScoutingData[[#This Row],[teamNumber]]),"",[1]!ScoutingData[[#This Row],[teamNumber]])</f>
        <v/>
      </c>
      <c r="B859" t="str">
        <f>IF(ISBLANK([1]!ScoutingData[[#This Row],[matchLevel]]),"",[1]!ScoutingData[[#This Row],[matchLevel]])</f>
        <v/>
      </c>
      <c r="C859" t="str">
        <f>IF(ISBLANK([1]!ScoutingData[[#This Row],[matchNumber]]),"",[1]!ScoutingData[[#This Row],[matchNumber]])</f>
        <v/>
      </c>
      <c r="D859" t="str">
        <f>IF(ISBLANK([1]!ScoutingData[[#This Row],[event]]),"",[1]!ScoutingData[[#This Row],[event]])</f>
        <v/>
      </c>
      <c r="E859" t="str">
        <f>IF(ISBLANK([1]!ScoutingData[[#This Row],[position]]),"",[1]!ScoutingData[[#This Row],[position]])</f>
        <v/>
      </c>
      <c r="F859" t="str">
        <f>IF(ISBLANK([1]!ScoutingData[[#This Row],[leaveStartingZone]]),"",[1]!ScoutingData[[#This Row],[leaveStartingZone]])</f>
        <v/>
      </c>
      <c r="G859" t="str">
        <f>IF(ISBLANK([1]!ScoutingData[[#This Row],[autoAmpScore]]),"",[1]!ScoutingData[[#This Row],[autoAmpScore]])</f>
        <v/>
      </c>
      <c r="H859" t="str">
        <f>IF(ISBLANK([1]!ScoutingData[[#This Row],[autoSpeakerScore]]),"",[1]!ScoutingData[[#This Row],[autoSpeakerScore]])</f>
        <v/>
      </c>
    </row>
    <row r="860" spans="1:8" x14ac:dyDescent="0.45">
      <c r="A860" t="str">
        <f>IF(ISBLANK([1]!ScoutingData[[#This Row],[teamNumber]]),"",[1]!ScoutingData[[#This Row],[teamNumber]])</f>
        <v/>
      </c>
      <c r="B860" t="str">
        <f>IF(ISBLANK([1]!ScoutingData[[#This Row],[matchLevel]]),"",[1]!ScoutingData[[#This Row],[matchLevel]])</f>
        <v/>
      </c>
      <c r="C860" t="str">
        <f>IF(ISBLANK([1]!ScoutingData[[#This Row],[matchNumber]]),"",[1]!ScoutingData[[#This Row],[matchNumber]])</f>
        <v/>
      </c>
      <c r="D860" t="str">
        <f>IF(ISBLANK([1]!ScoutingData[[#This Row],[event]]),"",[1]!ScoutingData[[#This Row],[event]])</f>
        <v/>
      </c>
      <c r="E860" t="str">
        <f>IF(ISBLANK([1]!ScoutingData[[#This Row],[position]]),"",[1]!ScoutingData[[#This Row],[position]])</f>
        <v/>
      </c>
      <c r="F860" t="str">
        <f>IF(ISBLANK([1]!ScoutingData[[#This Row],[leaveStartingZone]]),"",[1]!ScoutingData[[#This Row],[leaveStartingZone]])</f>
        <v/>
      </c>
      <c r="G860" t="str">
        <f>IF(ISBLANK([1]!ScoutingData[[#This Row],[autoAmpScore]]),"",[1]!ScoutingData[[#This Row],[autoAmpScore]])</f>
        <v/>
      </c>
      <c r="H860" t="str">
        <f>IF(ISBLANK([1]!ScoutingData[[#This Row],[autoSpeakerScore]]),"",[1]!ScoutingData[[#This Row],[autoSpeakerScore]])</f>
        <v/>
      </c>
    </row>
    <row r="861" spans="1:8" x14ac:dyDescent="0.45">
      <c r="A861" t="str">
        <f>IF(ISBLANK([1]!ScoutingData[[#This Row],[teamNumber]]),"",[1]!ScoutingData[[#This Row],[teamNumber]])</f>
        <v/>
      </c>
      <c r="B861" t="str">
        <f>IF(ISBLANK([1]!ScoutingData[[#This Row],[matchLevel]]),"",[1]!ScoutingData[[#This Row],[matchLevel]])</f>
        <v/>
      </c>
      <c r="C861" t="str">
        <f>IF(ISBLANK([1]!ScoutingData[[#This Row],[matchNumber]]),"",[1]!ScoutingData[[#This Row],[matchNumber]])</f>
        <v/>
      </c>
      <c r="D861" t="str">
        <f>IF(ISBLANK([1]!ScoutingData[[#This Row],[event]]),"",[1]!ScoutingData[[#This Row],[event]])</f>
        <v/>
      </c>
      <c r="E861" t="str">
        <f>IF(ISBLANK([1]!ScoutingData[[#This Row],[position]]),"",[1]!ScoutingData[[#This Row],[position]])</f>
        <v/>
      </c>
      <c r="F861" t="str">
        <f>IF(ISBLANK([1]!ScoutingData[[#This Row],[leaveStartingZone]]),"",[1]!ScoutingData[[#This Row],[leaveStartingZone]])</f>
        <v/>
      </c>
      <c r="G861" t="str">
        <f>IF(ISBLANK([1]!ScoutingData[[#This Row],[autoAmpScore]]),"",[1]!ScoutingData[[#This Row],[autoAmpScore]])</f>
        <v/>
      </c>
      <c r="H861" t="str">
        <f>IF(ISBLANK([1]!ScoutingData[[#This Row],[autoSpeakerScore]]),"",[1]!ScoutingData[[#This Row],[autoSpeakerScore]])</f>
        <v/>
      </c>
    </row>
    <row r="862" spans="1:8" x14ac:dyDescent="0.45">
      <c r="A862" t="str">
        <f>IF(ISBLANK([1]!ScoutingData[[#This Row],[teamNumber]]),"",[1]!ScoutingData[[#This Row],[teamNumber]])</f>
        <v/>
      </c>
      <c r="B862" t="str">
        <f>IF(ISBLANK([1]!ScoutingData[[#This Row],[matchLevel]]),"",[1]!ScoutingData[[#This Row],[matchLevel]])</f>
        <v/>
      </c>
      <c r="C862" t="str">
        <f>IF(ISBLANK([1]!ScoutingData[[#This Row],[matchNumber]]),"",[1]!ScoutingData[[#This Row],[matchNumber]])</f>
        <v/>
      </c>
      <c r="D862" t="str">
        <f>IF(ISBLANK([1]!ScoutingData[[#This Row],[event]]),"",[1]!ScoutingData[[#This Row],[event]])</f>
        <v/>
      </c>
      <c r="E862" t="str">
        <f>IF(ISBLANK([1]!ScoutingData[[#This Row],[position]]),"",[1]!ScoutingData[[#This Row],[position]])</f>
        <v/>
      </c>
      <c r="F862" t="str">
        <f>IF(ISBLANK([1]!ScoutingData[[#This Row],[leaveStartingZone]]),"",[1]!ScoutingData[[#This Row],[leaveStartingZone]])</f>
        <v/>
      </c>
      <c r="G862" t="str">
        <f>IF(ISBLANK([1]!ScoutingData[[#This Row],[autoAmpScore]]),"",[1]!ScoutingData[[#This Row],[autoAmpScore]])</f>
        <v/>
      </c>
      <c r="H862" t="str">
        <f>IF(ISBLANK([1]!ScoutingData[[#This Row],[autoSpeakerScore]]),"",[1]!ScoutingData[[#This Row],[autoSpeakerScore]])</f>
        <v/>
      </c>
    </row>
    <row r="863" spans="1:8" x14ac:dyDescent="0.45">
      <c r="A863" t="str">
        <f>IF(ISBLANK([1]!ScoutingData[[#This Row],[teamNumber]]),"",[1]!ScoutingData[[#This Row],[teamNumber]])</f>
        <v/>
      </c>
      <c r="B863" t="str">
        <f>IF(ISBLANK([1]!ScoutingData[[#This Row],[matchLevel]]),"",[1]!ScoutingData[[#This Row],[matchLevel]])</f>
        <v/>
      </c>
      <c r="C863" t="str">
        <f>IF(ISBLANK([1]!ScoutingData[[#This Row],[matchNumber]]),"",[1]!ScoutingData[[#This Row],[matchNumber]])</f>
        <v/>
      </c>
      <c r="D863" t="str">
        <f>IF(ISBLANK([1]!ScoutingData[[#This Row],[event]]),"",[1]!ScoutingData[[#This Row],[event]])</f>
        <v/>
      </c>
      <c r="E863" t="str">
        <f>IF(ISBLANK([1]!ScoutingData[[#This Row],[position]]),"",[1]!ScoutingData[[#This Row],[position]])</f>
        <v/>
      </c>
      <c r="F863" t="str">
        <f>IF(ISBLANK([1]!ScoutingData[[#This Row],[leaveStartingZone]]),"",[1]!ScoutingData[[#This Row],[leaveStartingZone]])</f>
        <v/>
      </c>
      <c r="G863" t="str">
        <f>IF(ISBLANK([1]!ScoutingData[[#This Row],[autoAmpScore]]),"",[1]!ScoutingData[[#This Row],[autoAmpScore]])</f>
        <v/>
      </c>
      <c r="H863" t="str">
        <f>IF(ISBLANK([1]!ScoutingData[[#This Row],[autoSpeakerScore]]),"",[1]!ScoutingData[[#This Row],[autoSpeakerScore]])</f>
        <v/>
      </c>
    </row>
    <row r="864" spans="1:8" x14ac:dyDescent="0.45">
      <c r="A864" t="str">
        <f>IF(ISBLANK([1]!ScoutingData[[#This Row],[teamNumber]]),"",[1]!ScoutingData[[#This Row],[teamNumber]])</f>
        <v/>
      </c>
      <c r="B864" t="str">
        <f>IF(ISBLANK([1]!ScoutingData[[#This Row],[matchLevel]]),"",[1]!ScoutingData[[#This Row],[matchLevel]])</f>
        <v/>
      </c>
      <c r="C864" t="str">
        <f>IF(ISBLANK([1]!ScoutingData[[#This Row],[matchNumber]]),"",[1]!ScoutingData[[#This Row],[matchNumber]])</f>
        <v/>
      </c>
      <c r="D864" t="str">
        <f>IF(ISBLANK([1]!ScoutingData[[#This Row],[event]]),"",[1]!ScoutingData[[#This Row],[event]])</f>
        <v/>
      </c>
      <c r="E864" t="str">
        <f>IF(ISBLANK([1]!ScoutingData[[#This Row],[position]]),"",[1]!ScoutingData[[#This Row],[position]])</f>
        <v/>
      </c>
      <c r="F864" t="str">
        <f>IF(ISBLANK([1]!ScoutingData[[#This Row],[leaveStartingZone]]),"",[1]!ScoutingData[[#This Row],[leaveStartingZone]])</f>
        <v/>
      </c>
      <c r="G864" t="str">
        <f>IF(ISBLANK([1]!ScoutingData[[#This Row],[autoAmpScore]]),"",[1]!ScoutingData[[#This Row],[autoAmpScore]])</f>
        <v/>
      </c>
      <c r="H864" t="str">
        <f>IF(ISBLANK([1]!ScoutingData[[#This Row],[autoSpeakerScore]]),"",[1]!ScoutingData[[#This Row],[autoSpeakerScore]])</f>
        <v/>
      </c>
    </row>
    <row r="865" spans="1:8" x14ac:dyDescent="0.45">
      <c r="A865" t="str">
        <f>IF(ISBLANK([1]!ScoutingData[[#This Row],[teamNumber]]),"",[1]!ScoutingData[[#This Row],[teamNumber]])</f>
        <v/>
      </c>
      <c r="B865" t="str">
        <f>IF(ISBLANK([1]!ScoutingData[[#This Row],[matchLevel]]),"",[1]!ScoutingData[[#This Row],[matchLevel]])</f>
        <v/>
      </c>
      <c r="C865" t="str">
        <f>IF(ISBLANK([1]!ScoutingData[[#This Row],[matchNumber]]),"",[1]!ScoutingData[[#This Row],[matchNumber]])</f>
        <v/>
      </c>
      <c r="D865" t="str">
        <f>IF(ISBLANK([1]!ScoutingData[[#This Row],[event]]),"",[1]!ScoutingData[[#This Row],[event]])</f>
        <v/>
      </c>
      <c r="E865" t="str">
        <f>IF(ISBLANK([1]!ScoutingData[[#This Row],[position]]),"",[1]!ScoutingData[[#This Row],[position]])</f>
        <v/>
      </c>
      <c r="F865" t="str">
        <f>IF(ISBLANK([1]!ScoutingData[[#This Row],[leaveStartingZone]]),"",[1]!ScoutingData[[#This Row],[leaveStartingZone]])</f>
        <v/>
      </c>
      <c r="G865" t="str">
        <f>IF(ISBLANK([1]!ScoutingData[[#This Row],[autoAmpScore]]),"",[1]!ScoutingData[[#This Row],[autoAmpScore]])</f>
        <v/>
      </c>
      <c r="H865" t="str">
        <f>IF(ISBLANK([1]!ScoutingData[[#This Row],[autoSpeakerScore]]),"",[1]!ScoutingData[[#This Row],[autoSpeakerScore]])</f>
        <v/>
      </c>
    </row>
    <row r="866" spans="1:8" x14ac:dyDescent="0.45">
      <c r="A866" t="str">
        <f>IF(ISBLANK([1]!ScoutingData[[#This Row],[teamNumber]]),"",[1]!ScoutingData[[#This Row],[teamNumber]])</f>
        <v/>
      </c>
      <c r="B866" t="str">
        <f>IF(ISBLANK([1]!ScoutingData[[#This Row],[matchLevel]]),"",[1]!ScoutingData[[#This Row],[matchLevel]])</f>
        <v/>
      </c>
      <c r="C866" t="str">
        <f>IF(ISBLANK([1]!ScoutingData[[#This Row],[matchNumber]]),"",[1]!ScoutingData[[#This Row],[matchNumber]])</f>
        <v/>
      </c>
      <c r="D866" t="str">
        <f>IF(ISBLANK([1]!ScoutingData[[#This Row],[event]]),"",[1]!ScoutingData[[#This Row],[event]])</f>
        <v/>
      </c>
      <c r="E866" t="str">
        <f>IF(ISBLANK([1]!ScoutingData[[#This Row],[position]]),"",[1]!ScoutingData[[#This Row],[position]])</f>
        <v/>
      </c>
      <c r="F866" t="str">
        <f>IF(ISBLANK([1]!ScoutingData[[#This Row],[leaveStartingZone]]),"",[1]!ScoutingData[[#This Row],[leaveStartingZone]])</f>
        <v/>
      </c>
      <c r="G866" t="str">
        <f>IF(ISBLANK([1]!ScoutingData[[#This Row],[autoAmpScore]]),"",[1]!ScoutingData[[#This Row],[autoAmpScore]])</f>
        <v/>
      </c>
      <c r="H866" t="str">
        <f>IF(ISBLANK([1]!ScoutingData[[#This Row],[autoSpeakerScore]]),"",[1]!ScoutingData[[#This Row],[autoSpeakerScore]])</f>
        <v/>
      </c>
    </row>
    <row r="867" spans="1:8" x14ac:dyDescent="0.45">
      <c r="A867" t="str">
        <f>IF(ISBLANK([1]!ScoutingData[[#This Row],[teamNumber]]),"",[1]!ScoutingData[[#This Row],[teamNumber]])</f>
        <v/>
      </c>
      <c r="B867" t="str">
        <f>IF(ISBLANK([1]!ScoutingData[[#This Row],[matchLevel]]),"",[1]!ScoutingData[[#This Row],[matchLevel]])</f>
        <v/>
      </c>
      <c r="C867" t="str">
        <f>IF(ISBLANK([1]!ScoutingData[[#This Row],[matchNumber]]),"",[1]!ScoutingData[[#This Row],[matchNumber]])</f>
        <v/>
      </c>
      <c r="D867" t="str">
        <f>IF(ISBLANK([1]!ScoutingData[[#This Row],[event]]),"",[1]!ScoutingData[[#This Row],[event]])</f>
        <v/>
      </c>
      <c r="E867" t="str">
        <f>IF(ISBLANK([1]!ScoutingData[[#This Row],[position]]),"",[1]!ScoutingData[[#This Row],[position]])</f>
        <v/>
      </c>
      <c r="F867" t="str">
        <f>IF(ISBLANK([1]!ScoutingData[[#This Row],[leaveStartingZone]]),"",[1]!ScoutingData[[#This Row],[leaveStartingZone]])</f>
        <v/>
      </c>
      <c r="G867" t="str">
        <f>IF(ISBLANK([1]!ScoutingData[[#This Row],[autoAmpScore]]),"",[1]!ScoutingData[[#This Row],[autoAmpScore]])</f>
        <v/>
      </c>
      <c r="H867" t="str">
        <f>IF(ISBLANK([1]!ScoutingData[[#This Row],[autoSpeakerScore]]),"",[1]!ScoutingData[[#This Row],[autoSpeakerScore]])</f>
        <v/>
      </c>
    </row>
    <row r="868" spans="1:8" x14ac:dyDescent="0.45">
      <c r="A868" t="str">
        <f>IF(ISBLANK([1]!ScoutingData[[#This Row],[teamNumber]]),"",[1]!ScoutingData[[#This Row],[teamNumber]])</f>
        <v/>
      </c>
      <c r="B868" t="str">
        <f>IF(ISBLANK([1]!ScoutingData[[#This Row],[matchLevel]]),"",[1]!ScoutingData[[#This Row],[matchLevel]])</f>
        <v/>
      </c>
      <c r="C868" t="str">
        <f>IF(ISBLANK([1]!ScoutingData[[#This Row],[matchNumber]]),"",[1]!ScoutingData[[#This Row],[matchNumber]])</f>
        <v/>
      </c>
      <c r="D868" t="str">
        <f>IF(ISBLANK([1]!ScoutingData[[#This Row],[event]]),"",[1]!ScoutingData[[#This Row],[event]])</f>
        <v/>
      </c>
      <c r="E868" t="str">
        <f>IF(ISBLANK([1]!ScoutingData[[#This Row],[position]]),"",[1]!ScoutingData[[#This Row],[position]])</f>
        <v/>
      </c>
      <c r="F868" t="str">
        <f>IF(ISBLANK([1]!ScoutingData[[#This Row],[leaveStartingZone]]),"",[1]!ScoutingData[[#This Row],[leaveStartingZone]])</f>
        <v/>
      </c>
      <c r="G868" t="str">
        <f>IF(ISBLANK([1]!ScoutingData[[#This Row],[autoAmpScore]]),"",[1]!ScoutingData[[#This Row],[autoAmpScore]])</f>
        <v/>
      </c>
      <c r="H868" t="str">
        <f>IF(ISBLANK([1]!ScoutingData[[#This Row],[autoSpeakerScore]]),"",[1]!ScoutingData[[#This Row],[autoSpeakerScore]])</f>
        <v/>
      </c>
    </row>
    <row r="869" spans="1:8" x14ac:dyDescent="0.45">
      <c r="A869" t="str">
        <f>IF(ISBLANK([1]!ScoutingData[[#This Row],[teamNumber]]),"",[1]!ScoutingData[[#This Row],[teamNumber]])</f>
        <v/>
      </c>
      <c r="B869" t="str">
        <f>IF(ISBLANK([1]!ScoutingData[[#This Row],[matchLevel]]),"",[1]!ScoutingData[[#This Row],[matchLevel]])</f>
        <v/>
      </c>
      <c r="C869" t="str">
        <f>IF(ISBLANK([1]!ScoutingData[[#This Row],[matchNumber]]),"",[1]!ScoutingData[[#This Row],[matchNumber]])</f>
        <v/>
      </c>
      <c r="D869" t="str">
        <f>IF(ISBLANK([1]!ScoutingData[[#This Row],[event]]),"",[1]!ScoutingData[[#This Row],[event]])</f>
        <v/>
      </c>
      <c r="E869" t="str">
        <f>IF(ISBLANK([1]!ScoutingData[[#This Row],[position]]),"",[1]!ScoutingData[[#This Row],[position]])</f>
        <v/>
      </c>
      <c r="F869" t="str">
        <f>IF(ISBLANK([1]!ScoutingData[[#This Row],[leaveStartingZone]]),"",[1]!ScoutingData[[#This Row],[leaveStartingZone]])</f>
        <v/>
      </c>
      <c r="G869" t="str">
        <f>IF(ISBLANK([1]!ScoutingData[[#This Row],[autoAmpScore]]),"",[1]!ScoutingData[[#This Row],[autoAmpScore]])</f>
        <v/>
      </c>
      <c r="H869" t="str">
        <f>IF(ISBLANK([1]!ScoutingData[[#This Row],[autoSpeakerScore]]),"",[1]!ScoutingData[[#This Row],[autoSpeakerScore]])</f>
        <v/>
      </c>
    </row>
    <row r="870" spans="1:8" x14ac:dyDescent="0.45">
      <c r="A870" t="str">
        <f>IF(ISBLANK([1]!ScoutingData[[#This Row],[teamNumber]]),"",[1]!ScoutingData[[#This Row],[teamNumber]])</f>
        <v/>
      </c>
      <c r="B870" t="str">
        <f>IF(ISBLANK([1]!ScoutingData[[#This Row],[matchLevel]]),"",[1]!ScoutingData[[#This Row],[matchLevel]])</f>
        <v/>
      </c>
      <c r="C870" t="str">
        <f>IF(ISBLANK([1]!ScoutingData[[#This Row],[matchNumber]]),"",[1]!ScoutingData[[#This Row],[matchNumber]])</f>
        <v/>
      </c>
      <c r="D870" t="str">
        <f>IF(ISBLANK([1]!ScoutingData[[#This Row],[event]]),"",[1]!ScoutingData[[#This Row],[event]])</f>
        <v/>
      </c>
      <c r="E870" t="str">
        <f>IF(ISBLANK([1]!ScoutingData[[#This Row],[position]]),"",[1]!ScoutingData[[#This Row],[position]])</f>
        <v/>
      </c>
      <c r="F870" t="str">
        <f>IF(ISBLANK([1]!ScoutingData[[#This Row],[leaveStartingZone]]),"",[1]!ScoutingData[[#This Row],[leaveStartingZone]])</f>
        <v/>
      </c>
      <c r="G870" t="str">
        <f>IF(ISBLANK([1]!ScoutingData[[#This Row],[autoAmpScore]]),"",[1]!ScoutingData[[#This Row],[autoAmpScore]])</f>
        <v/>
      </c>
      <c r="H870" t="str">
        <f>IF(ISBLANK([1]!ScoutingData[[#This Row],[autoSpeakerScore]]),"",[1]!ScoutingData[[#This Row],[autoSpeakerScore]])</f>
        <v/>
      </c>
    </row>
    <row r="871" spans="1:8" x14ac:dyDescent="0.45">
      <c r="A871" t="str">
        <f>IF(ISBLANK([1]!ScoutingData[[#This Row],[teamNumber]]),"",[1]!ScoutingData[[#This Row],[teamNumber]])</f>
        <v/>
      </c>
      <c r="B871" t="str">
        <f>IF(ISBLANK([1]!ScoutingData[[#This Row],[matchLevel]]),"",[1]!ScoutingData[[#This Row],[matchLevel]])</f>
        <v/>
      </c>
      <c r="C871" t="str">
        <f>IF(ISBLANK([1]!ScoutingData[[#This Row],[matchNumber]]),"",[1]!ScoutingData[[#This Row],[matchNumber]])</f>
        <v/>
      </c>
      <c r="D871" t="str">
        <f>IF(ISBLANK([1]!ScoutingData[[#This Row],[event]]),"",[1]!ScoutingData[[#This Row],[event]])</f>
        <v/>
      </c>
      <c r="E871" t="str">
        <f>IF(ISBLANK([1]!ScoutingData[[#This Row],[position]]),"",[1]!ScoutingData[[#This Row],[position]])</f>
        <v/>
      </c>
      <c r="F871" t="str">
        <f>IF(ISBLANK([1]!ScoutingData[[#This Row],[leaveStartingZone]]),"",[1]!ScoutingData[[#This Row],[leaveStartingZone]])</f>
        <v/>
      </c>
      <c r="G871" t="str">
        <f>IF(ISBLANK([1]!ScoutingData[[#This Row],[autoAmpScore]]),"",[1]!ScoutingData[[#This Row],[autoAmpScore]])</f>
        <v/>
      </c>
      <c r="H871" t="str">
        <f>IF(ISBLANK([1]!ScoutingData[[#This Row],[autoSpeakerScore]]),"",[1]!ScoutingData[[#This Row],[autoSpeakerScore]])</f>
        <v/>
      </c>
    </row>
    <row r="872" spans="1:8" x14ac:dyDescent="0.45">
      <c r="A872" t="str">
        <f>IF(ISBLANK([1]!ScoutingData[[#This Row],[teamNumber]]),"",[1]!ScoutingData[[#This Row],[teamNumber]])</f>
        <v/>
      </c>
      <c r="B872" t="str">
        <f>IF(ISBLANK([1]!ScoutingData[[#This Row],[matchLevel]]),"",[1]!ScoutingData[[#This Row],[matchLevel]])</f>
        <v/>
      </c>
      <c r="C872" t="str">
        <f>IF(ISBLANK([1]!ScoutingData[[#This Row],[matchNumber]]),"",[1]!ScoutingData[[#This Row],[matchNumber]])</f>
        <v/>
      </c>
      <c r="D872" t="str">
        <f>IF(ISBLANK([1]!ScoutingData[[#This Row],[event]]),"",[1]!ScoutingData[[#This Row],[event]])</f>
        <v/>
      </c>
      <c r="E872" t="str">
        <f>IF(ISBLANK([1]!ScoutingData[[#This Row],[position]]),"",[1]!ScoutingData[[#This Row],[position]])</f>
        <v/>
      </c>
      <c r="F872" t="str">
        <f>IF(ISBLANK([1]!ScoutingData[[#This Row],[leaveStartingZone]]),"",[1]!ScoutingData[[#This Row],[leaveStartingZone]])</f>
        <v/>
      </c>
      <c r="G872" t="str">
        <f>IF(ISBLANK([1]!ScoutingData[[#This Row],[autoAmpScore]]),"",[1]!ScoutingData[[#This Row],[autoAmpScore]])</f>
        <v/>
      </c>
      <c r="H872" t="str">
        <f>IF(ISBLANK([1]!ScoutingData[[#This Row],[autoSpeakerScore]]),"",[1]!ScoutingData[[#This Row],[autoSpeakerScore]])</f>
        <v/>
      </c>
    </row>
    <row r="873" spans="1:8" x14ac:dyDescent="0.45">
      <c r="A873" t="str">
        <f>IF(ISBLANK([1]!ScoutingData[[#This Row],[teamNumber]]),"",[1]!ScoutingData[[#This Row],[teamNumber]])</f>
        <v/>
      </c>
      <c r="B873" t="str">
        <f>IF(ISBLANK([1]!ScoutingData[[#This Row],[matchLevel]]),"",[1]!ScoutingData[[#This Row],[matchLevel]])</f>
        <v/>
      </c>
      <c r="C873" t="str">
        <f>IF(ISBLANK([1]!ScoutingData[[#This Row],[matchNumber]]),"",[1]!ScoutingData[[#This Row],[matchNumber]])</f>
        <v/>
      </c>
      <c r="D873" t="str">
        <f>IF(ISBLANK([1]!ScoutingData[[#This Row],[event]]),"",[1]!ScoutingData[[#This Row],[event]])</f>
        <v/>
      </c>
      <c r="E873" t="str">
        <f>IF(ISBLANK([1]!ScoutingData[[#This Row],[position]]),"",[1]!ScoutingData[[#This Row],[position]])</f>
        <v/>
      </c>
      <c r="F873" t="str">
        <f>IF(ISBLANK([1]!ScoutingData[[#This Row],[leaveStartingZone]]),"",[1]!ScoutingData[[#This Row],[leaveStartingZone]])</f>
        <v/>
      </c>
      <c r="G873" t="str">
        <f>IF(ISBLANK([1]!ScoutingData[[#This Row],[autoAmpScore]]),"",[1]!ScoutingData[[#This Row],[autoAmpScore]])</f>
        <v/>
      </c>
      <c r="H873" t="str">
        <f>IF(ISBLANK([1]!ScoutingData[[#This Row],[autoSpeakerScore]]),"",[1]!ScoutingData[[#This Row],[autoSpeakerScore]])</f>
        <v/>
      </c>
    </row>
    <row r="874" spans="1:8" x14ac:dyDescent="0.45">
      <c r="A874" t="str">
        <f>IF(ISBLANK([1]!ScoutingData[[#This Row],[teamNumber]]),"",[1]!ScoutingData[[#This Row],[teamNumber]])</f>
        <v/>
      </c>
      <c r="B874" t="str">
        <f>IF(ISBLANK([1]!ScoutingData[[#This Row],[matchLevel]]),"",[1]!ScoutingData[[#This Row],[matchLevel]])</f>
        <v/>
      </c>
      <c r="C874" t="str">
        <f>IF(ISBLANK([1]!ScoutingData[[#This Row],[matchNumber]]),"",[1]!ScoutingData[[#This Row],[matchNumber]])</f>
        <v/>
      </c>
      <c r="D874" t="str">
        <f>IF(ISBLANK([1]!ScoutingData[[#This Row],[event]]),"",[1]!ScoutingData[[#This Row],[event]])</f>
        <v/>
      </c>
      <c r="E874" t="str">
        <f>IF(ISBLANK([1]!ScoutingData[[#This Row],[position]]),"",[1]!ScoutingData[[#This Row],[position]])</f>
        <v/>
      </c>
      <c r="F874" t="str">
        <f>IF(ISBLANK([1]!ScoutingData[[#This Row],[leaveStartingZone]]),"",[1]!ScoutingData[[#This Row],[leaveStartingZone]])</f>
        <v/>
      </c>
      <c r="G874" t="str">
        <f>IF(ISBLANK([1]!ScoutingData[[#This Row],[autoAmpScore]]),"",[1]!ScoutingData[[#This Row],[autoAmpScore]])</f>
        <v/>
      </c>
      <c r="H874" t="str">
        <f>IF(ISBLANK([1]!ScoutingData[[#This Row],[autoSpeakerScore]]),"",[1]!ScoutingData[[#This Row],[autoSpeakerScore]])</f>
        <v/>
      </c>
    </row>
    <row r="875" spans="1:8" x14ac:dyDescent="0.45">
      <c r="A875" t="str">
        <f>IF(ISBLANK([1]!ScoutingData[[#This Row],[teamNumber]]),"",[1]!ScoutingData[[#This Row],[teamNumber]])</f>
        <v/>
      </c>
      <c r="B875" t="str">
        <f>IF(ISBLANK([1]!ScoutingData[[#This Row],[matchLevel]]),"",[1]!ScoutingData[[#This Row],[matchLevel]])</f>
        <v/>
      </c>
      <c r="C875" t="str">
        <f>IF(ISBLANK([1]!ScoutingData[[#This Row],[matchNumber]]),"",[1]!ScoutingData[[#This Row],[matchNumber]])</f>
        <v/>
      </c>
      <c r="D875" t="str">
        <f>IF(ISBLANK([1]!ScoutingData[[#This Row],[event]]),"",[1]!ScoutingData[[#This Row],[event]])</f>
        <v/>
      </c>
      <c r="E875" t="str">
        <f>IF(ISBLANK([1]!ScoutingData[[#This Row],[position]]),"",[1]!ScoutingData[[#This Row],[position]])</f>
        <v/>
      </c>
      <c r="F875" t="str">
        <f>IF(ISBLANK([1]!ScoutingData[[#This Row],[leaveStartingZone]]),"",[1]!ScoutingData[[#This Row],[leaveStartingZone]])</f>
        <v/>
      </c>
      <c r="G875" t="str">
        <f>IF(ISBLANK([1]!ScoutingData[[#This Row],[autoAmpScore]]),"",[1]!ScoutingData[[#This Row],[autoAmpScore]])</f>
        <v/>
      </c>
      <c r="H875" t="str">
        <f>IF(ISBLANK([1]!ScoutingData[[#This Row],[autoSpeakerScore]]),"",[1]!ScoutingData[[#This Row],[autoSpeakerScore]])</f>
        <v/>
      </c>
    </row>
    <row r="876" spans="1:8" x14ac:dyDescent="0.45">
      <c r="A876" t="str">
        <f>IF(ISBLANK([1]!ScoutingData[[#This Row],[teamNumber]]),"",[1]!ScoutingData[[#This Row],[teamNumber]])</f>
        <v/>
      </c>
      <c r="B876" t="str">
        <f>IF(ISBLANK([1]!ScoutingData[[#This Row],[matchLevel]]),"",[1]!ScoutingData[[#This Row],[matchLevel]])</f>
        <v/>
      </c>
      <c r="C876" t="str">
        <f>IF(ISBLANK([1]!ScoutingData[[#This Row],[matchNumber]]),"",[1]!ScoutingData[[#This Row],[matchNumber]])</f>
        <v/>
      </c>
      <c r="D876" t="str">
        <f>IF(ISBLANK([1]!ScoutingData[[#This Row],[event]]),"",[1]!ScoutingData[[#This Row],[event]])</f>
        <v/>
      </c>
      <c r="E876" t="str">
        <f>IF(ISBLANK([1]!ScoutingData[[#This Row],[position]]),"",[1]!ScoutingData[[#This Row],[position]])</f>
        <v/>
      </c>
      <c r="F876" t="str">
        <f>IF(ISBLANK([1]!ScoutingData[[#This Row],[leaveStartingZone]]),"",[1]!ScoutingData[[#This Row],[leaveStartingZone]])</f>
        <v/>
      </c>
      <c r="G876" t="str">
        <f>IF(ISBLANK([1]!ScoutingData[[#This Row],[autoAmpScore]]),"",[1]!ScoutingData[[#This Row],[autoAmpScore]])</f>
        <v/>
      </c>
      <c r="H876" t="str">
        <f>IF(ISBLANK([1]!ScoutingData[[#This Row],[autoSpeakerScore]]),"",[1]!ScoutingData[[#This Row],[autoSpeakerScore]])</f>
        <v/>
      </c>
    </row>
    <row r="877" spans="1:8" x14ac:dyDescent="0.45">
      <c r="A877" t="str">
        <f>IF(ISBLANK([1]!ScoutingData[[#This Row],[teamNumber]]),"",[1]!ScoutingData[[#This Row],[teamNumber]])</f>
        <v/>
      </c>
      <c r="B877" t="str">
        <f>IF(ISBLANK([1]!ScoutingData[[#This Row],[matchLevel]]),"",[1]!ScoutingData[[#This Row],[matchLevel]])</f>
        <v/>
      </c>
      <c r="C877" t="str">
        <f>IF(ISBLANK([1]!ScoutingData[[#This Row],[matchNumber]]),"",[1]!ScoutingData[[#This Row],[matchNumber]])</f>
        <v/>
      </c>
      <c r="D877" t="str">
        <f>IF(ISBLANK([1]!ScoutingData[[#This Row],[event]]),"",[1]!ScoutingData[[#This Row],[event]])</f>
        <v/>
      </c>
      <c r="E877" t="str">
        <f>IF(ISBLANK([1]!ScoutingData[[#This Row],[position]]),"",[1]!ScoutingData[[#This Row],[position]])</f>
        <v/>
      </c>
      <c r="F877" t="str">
        <f>IF(ISBLANK([1]!ScoutingData[[#This Row],[leaveStartingZone]]),"",[1]!ScoutingData[[#This Row],[leaveStartingZone]])</f>
        <v/>
      </c>
      <c r="G877" t="str">
        <f>IF(ISBLANK([1]!ScoutingData[[#This Row],[autoAmpScore]]),"",[1]!ScoutingData[[#This Row],[autoAmpScore]])</f>
        <v/>
      </c>
      <c r="H877" t="str">
        <f>IF(ISBLANK([1]!ScoutingData[[#This Row],[autoSpeakerScore]]),"",[1]!ScoutingData[[#This Row],[autoSpeakerScore]])</f>
        <v/>
      </c>
    </row>
    <row r="878" spans="1:8" x14ac:dyDescent="0.45">
      <c r="A878" t="str">
        <f>IF(ISBLANK([1]!ScoutingData[[#This Row],[teamNumber]]),"",[1]!ScoutingData[[#This Row],[teamNumber]])</f>
        <v/>
      </c>
      <c r="B878" t="str">
        <f>IF(ISBLANK([1]!ScoutingData[[#This Row],[matchLevel]]),"",[1]!ScoutingData[[#This Row],[matchLevel]])</f>
        <v/>
      </c>
      <c r="C878" t="str">
        <f>IF(ISBLANK([1]!ScoutingData[[#This Row],[matchNumber]]),"",[1]!ScoutingData[[#This Row],[matchNumber]])</f>
        <v/>
      </c>
      <c r="D878" t="str">
        <f>IF(ISBLANK([1]!ScoutingData[[#This Row],[event]]),"",[1]!ScoutingData[[#This Row],[event]])</f>
        <v/>
      </c>
      <c r="E878" t="str">
        <f>IF(ISBLANK([1]!ScoutingData[[#This Row],[position]]),"",[1]!ScoutingData[[#This Row],[position]])</f>
        <v/>
      </c>
      <c r="F878" t="str">
        <f>IF(ISBLANK([1]!ScoutingData[[#This Row],[leaveStartingZone]]),"",[1]!ScoutingData[[#This Row],[leaveStartingZone]])</f>
        <v/>
      </c>
      <c r="G878" t="str">
        <f>IF(ISBLANK([1]!ScoutingData[[#This Row],[autoAmpScore]]),"",[1]!ScoutingData[[#This Row],[autoAmpScore]])</f>
        <v/>
      </c>
      <c r="H878" t="str">
        <f>IF(ISBLANK([1]!ScoutingData[[#This Row],[autoSpeakerScore]]),"",[1]!ScoutingData[[#This Row],[autoSpeakerScore]])</f>
        <v/>
      </c>
    </row>
    <row r="879" spans="1:8" x14ac:dyDescent="0.45">
      <c r="A879" t="str">
        <f>IF(ISBLANK([1]!ScoutingData[[#This Row],[teamNumber]]),"",[1]!ScoutingData[[#This Row],[teamNumber]])</f>
        <v/>
      </c>
      <c r="B879" t="str">
        <f>IF(ISBLANK([1]!ScoutingData[[#This Row],[matchLevel]]),"",[1]!ScoutingData[[#This Row],[matchLevel]])</f>
        <v/>
      </c>
      <c r="C879" t="str">
        <f>IF(ISBLANK([1]!ScoutingData[[#This Row],[matchNumber]]),"",[1]!ScoutingData[[#This Row],[matchNumber]])</f>
        <v/>
      </c>
      <c r="D879" t="str">
        <f>IF(ISBLANK([1]!ScoutingData[[#This Row],[event]]),"",[1]!ScoutingData[[#This Row],[event]])</f>
        <v/>
      </c>
      <c r="E879" t="str">
        <f>IF(ISBLANK([1]!ScoutingData[[#This Row],[position]]),"",[1]!ScoutingData[[#This Row],[position]])</f>
        <v/>
      </c>
      <c r="F879" t="str">
        <f>IF(ISBLANK([1]!ScoutingData[[#This Row],[leaveStartingZone]]),"",[1]!ScoutingData[[#This Row],[leaveStartingZone]])</f>
        <v/>
      </c>
      <c r="G879" t="str">
        <f>IF(ISBLANK([1]!ScoutingData[[#This Row],[autoAmpScore]]),"",[1]!ScoutingData[[#This Row],[autoAmpScore]])</f>
        <v/>
      </c>
      <c r="H879" t="str">
        <f>IF(ISBLANK([1]!ScoutingData[[#This Row],[autoSpeakerScore]]),"",[1]!ScoutingData[[#This Row],[autoSpeakerScore]])</f>
        <v/>
      </c>
    </row>
    <row r="880" spans="1:8" x14ac:dyDescent="0.45">
      <c r="A880" t="str">
        <f>IF(ISBLANK([1]!ScoutingData[[#This Row],[teamNumber]]),"",[1]!ScoutingData[[#This Row],[teamNumber]])</f>
        <v/>
      </c>
      <c r="B880" t="str">
        <f>IF(ISBLANK([1]!ScoutingData[[#This Row],[matchLevel]]),"",[1]!ScoutingData[[#This Row],[matchLevel]])</f>
        <v/>
      </c>
      <c r="C880" t="str">
        <f>IF(ISBLANK([1]!ScoutingData[[#This Row],[matchNumber]]),"",[1]!ScoutingData[[#This Row],[matchNumber]])</f>
        <v/>
      </c>
      <c r="D880" t="str">
        <f>IF(ISBLANK([1]!ScoutingData[[#This Row],[event]]),"",[1]!ScoutingData[[#This Row],[event]])</f>
        <v/>
      </c>
      <c r="E880" t="str">
        <f>IF(ISBLANK([1]!ScoutingData[[#This Row],[position]]),"",[1]!ScoutingData[[#This Row],[position]])</f>
        <v/>
      </c>
      <c r="F880" t="str">
        <f>IF(ISBLANK([1]!ScoutingData[[#This Row],[leaveStartingZone]]),"",[1]!ScoutingData[[#This Row],[leaveStartingZone]])</f>
        <v/>
      </c>
      <c r="G880" t="str">
        <f>IF(ISBLANK([1]!ScoutingData[[#This Row],[autoAmpScore]]),"",[1]!ScoutingData[[#This Row],[autoAmpScore]])</f>
        <v/>
      </c>
      <c r="H880" t="str">
        <f>IF(ISBLANK([1]!ScoutingData[[#This Row],[autoSpeakerScore]]),"",[1]!ScoutingData[[#This Row],[autoSpeakerScore]])</f>
        <v/>
      </c>
    </row>
    <row r="881" spans="1:8" x14ac:dyDescent="0.45">
      <c r="A881" t="str">
        <f>IF(ISBLANK([1]!ScoutingData[[#This Row],[teamNumber]]),"",[1]!ScoutingData[[#This Row],[teamNumber]])</f>
        <v/>
      </c>
      <c r="B881" t="str">
        <f>IF(ISBLANK([1]!ScoutingData[[#This Row],[matchLevel]]),"",[1]!ScoutingData[[#This Row],[matchLevel]])</f>
        <v/>
      </c>
      <c r="C881" t="str">
        <f>IF(ISBLANK([1]!ScoutingData[[#This Row],[matchNumber]]),"",[1]!ScoutingData[[#This Row],[matchNumber]])</f>
        <v/>
      </c>
      <c r="D881" t="str">
        <f>IF(ISBLANK([1]!ScoutingData[[#This Row],[event]]),"",[1]!ScoutingData[[#This Row],[event]])</f>
        <v/>
      </c>
      <c r="E881" t="str">
        <f>IF(ISBLANK([1]!ScoutingData[[#This Row],[position]]),"",[1]!ScoutingData[[#This Row],[position]])</f>
        <v/>
      </c>
      <c r="F881" t="str">
        <f>IF(ISBLANK([1]!ScoutingData[[#This Row],[leaveStartingZone]]),"",[1]!ScoutingData[[#This Row],[leaveStartingZone]])</f>
        <v/>
      </c>
      <c r="G881" t="str">
        <f>IF(ISBLANK([1]!ScoutingData[[#This Row],[autoAmpScore]]),"",[1]!ScoutingData[[#This Row],[autoAmpScore]])</f>
        <v/>
      </c>
      <c r="H881" t="str">
        <f>IF(ISBLANK([1]!ScoutingData[[#This Row],[autoSpeakerScore]]),"",[1]!ScoutingData[[#This Row],[autoSpeakerScore]])</f>
        <v/>
      </c>
    </row>
    <row r="882" spans="1:8" x14ac:dyDescent="0.45">
      <c r="A882" t="str">
        <f>IF(ISBLANK([1]!ScoutingData[[#This Row],[teamNumber]]),"",[1]!ScoutingData[[#This Row],[teamNumber]])</f>
        <v/>
      </c>
      <c r="B882" t="str">
        <f>IF(ISBLANK([1]!ScoutingData[[#This Row],[matchLevel]]),"",[1]!ScoutingData[[#This Row],[matchLevel]])</f>
        <v/>
      </c>
      <c r="C882" t="str">
        <f>IF(ISBLANK([1]!ScoutingData[[#This Row],[matchNumber]]),"",[1]!ScoutingData[[#This Row],[matchNumber]])</f>
        <v/>
      </c>
      <c r="D882" t="str">
        <f>IF(ISBLANK([1]!ScoutingData[[#This Row],[event]]),"",[1]!ScoutingData[[#This Row],[event]])</f>
        <v/>
      </c>
      <c r="E882" t="str">
        <f>IF(ISBLANK([1]!ScoutingData[[#This Row],[position]]),"",[1]!ScoutingData[[#This Row],[position]])</f>
        <v/>
      </c>
      <c r="F882" t="str">
        <f>IF(ISBLANK([1]!ScoutingData[[#This Row],[leaveStartingZone]]),"",[1]!ScoutingData[[#This Row],[leaveStartingZone]])</f>
        <v/>
      </c>
      <c r="G882" t="str">
        <f>IF(ISBLANK([1]!ScoutingData[[#This Row],[autoAmpScore]]),"",[1]!ScoutingData[[#This Row],[autoAmpScore]])</f>
        <v/>
      </c>
      <c r="H882" t="str">
        <f>IF(ISBLANK([1]!ScoutingData[[#This Row],[autoSpeakerScore]]),"",[1]!ScoutingData[[#This Row],[autoSpeakerScore]])</f>
        <v/>
      </c>
    </row>
    <row r="883" spans="1:8" x14ac:dyDescent="0.45">
      <c r="A883" t="str">
        <f>IF(ISBLANK([1]!ScoutingData[[#This Row],[teamNumber]]),"",[1]!ScoutingData[[#This Row],[teamNumber]])</f>
        <v/>
      </c>
      <c r="B883" t="str">
        <f>IF(ISBLANK([1]!ScoutingData[[#This Row],[matchLevel]]),"",[1]!ScoutingData[[#This Row],[matchLevel]])</f>
        <v/>
      </c>
      <c r="C883" t="str">
        <f>IF(ISBLANK([1]!ScoutingData[[#This Row],[matchNumber]]),"",[1]!ScoutingData[[#This Row],[matchNumber]])</f>
        <v/>
      </c>
      <c r="D883" t="str">
        <f>IF(ISBLANK([1]!ScoutingData[[#This Row],[event]]),"",[1]!ScoutingData[[#This Row],[event]])</f>
        <v/>
      </c>
      <c r="E883" t="str">
        <f>IF(ISBLANK([1]!ScoutingData[[#This Row],[position]]),"",[1]!ScoutingData[[#This Row],[position]])</f>
        <v/>
      </c>
      <c r="F883" t="str">
        <f>IF(ISBLANK([1]!ScoutingData[[#This Row],[leaveStartingZone]]),"",[1]!ScoutingData[[#This Row],[leaveStartingZone]])</f>
        <v/>
      </c>
      <c r="G883" t="str">
        <f>IF(ISBLANK([1]!ScoutingData[[#This Row],[autoAmpScore]]),"",[1]!ScoutingData[[#This Row],[autoAmpScore]])</f>
        <v/>
      </c>
      <c r="H883" t="str">
        <f>IF(ISBLANK([1]!ScoutingData[[#This Row],[autoSpeakerScore]]),"",[1]!ScoutingData[[#This Row],[autoSpeakerScore]])</f>
        <v/>
      </c>
    </row>
    <row r="884" spans="1:8" x14ac:dyDescent="0.45">
      <c r="A884" t="str">
        <f>IF(ISBLANK([1]!ScoutingData[[#This Row],[teamNumber]]),"",[1]!ScoutingData[[#This Row],[teamNumber]])</f>
        <v/>
      </c>
      <c r="B884" t="str">
        <f>IF(ISBLANK([1]!ScoutingData[[#This Row],[matchLevel]]),"",[1]!ScoutingData[[#This Row],[matchLevel]])</f>
        <v/>
      </c>
      <c r="C884" t="str">
        <f>IF(ISBLANK([1]!ScoutingData[[#This Row],[matchNumber]]),"",[1]!ScoutingData[[#This Row],[matchNumber]])</f>
        <v/>
      </c>
      <c r="D884" t="str">
        <f>IF(ISBLANK([1]!ScoutingData[[#This Row],[event]]),"",[1]!ScoutingData[[#This Row],[event]])</f>
        <v/>
      </c>
      <c r="E884" t="str">
        <f>IF(ISBLANK([1]!ScoutingData[[#This Row],[position]]),"",[1]!ScoutingData[[#This Row],[position]])</f>
        <v/>
      </c>
      <c r="F884" t="str">
        <f>IF(ISBLANK([1]!ScoutingData[[#This Row],[leaveStartingZone]]),"",[1]!ScoutingData[[#This Row],[leaveStartingZone]])</f>
        <v/>
      </c>
      <c r="G884" t="str">
        <f>IF(ISBLANK([1]!ScoutingData[[#This Row],[autoAmpScore]]),"",[1]!ScoutingData[[#This Row],[autoAmpScore]])</f>
        <v/>
      </c>
      <c r="H884" t="str">
        <f>IF(ISBLANK([1]!ScoutingData[[#This Row],[autoSpeakerScore]]),"",[1]!ScoutingData[[#This Row],[autoSpeakerScore]])</f>
        <v/>
      </c>
    </row>
    <row r="885" spans="1:8" x14ac:dyDescent="0.45">
      <c r="A885" t="str">
        <f>IF(ISBLANK([1]!ScoutingData[[#This Row],[teamNumber]]),"",[1]!ScoutingData[[#This Row],[teamNumber]])</f>
        <v/>
      </c>
      <c r="B885" t="str">
        <f>IF(ISBLANK([1]!ScoutingData[[#This Row],[matchLevel]]),"",[1]!ScoutingData[[#This Row],[matchLevel]])</f>
        <v/>
      </c>
      <c r="C885" t="str">
        <f>IF(ISBLANK([1]!ScoutingData[[#This Row],[matchNumber]]),"",[1]!ScoutingData[[#This Row],[matchNumber]])</f>
        <v/>
      </c>
      <c r="D885" t="str">
        <f>IF(ISBLANK([1]!ScoutingData[[#This Row],[event]]),"",[1]!ScoutingData[[#This Row],[event]])</f>
        <v/>
      </c>
      <c r="E885" t="str">
        <f>IF(ISBLANK([1]!ScoutingData[[#This Row],[position]]),"",[1]!ScoutingData[[#This Row],[position]])</f>
        <v/>
      </c>
      <c r="F885" t="str">
        <f>IF(ISBLANK([1]!ScoutingData[[#This Row],[leaveStartingZone]]),"",[1]!ScoutingData[[#This Row],[leaveStartingZone]])</f>
        <v/>
      </c>
      <c r="G885" t="str">
        <f>IF(ISBLANK([1]!ScoutingData[[#This Row],[autoAmpScore]]),"",[1]!ScoutingData[[#This Row],[autoAmpScore]])</f>
        <v/>
      </c>
      <c r="H885" t="str">
        <f>IF(ISBLANK([1]!ScoutingData[[#This Row],[autoSpeakerScore]]),"",[1]!ScoutingData[[#This Row],[autoSpeakerScore]])</f>
        <v/>
      </c>
    </row>
    <row r="886" spans="1:8" x14ac:dyDescent="0.45">
      <c r="A886" t="str">
        <f>IF(ISBLANK([1]!ScoutingData[[#This Row],[teamNumber]]),"",[1]!ScoutingData[[#This Row],[teamNumber]])</f>
        <v/>
      </c>
      <c r="B886" t="str">
        <f>IF(ISBLANK([1]!ScoutingData[[#This Row],[matchLevel]]),"",[1]!ScoutingData[[#This Row],[matchLevel]])</f>
        <v/>
      </c>
      <c r="C886" t="str">
        <f>IF(ISBLANK([1]!ScoutingData[[#This Row],[matchNumber]]),"",[1]!ScoutingData[[#This Row],[matchNumber]])</f>
        <v/>
      </c>
      <c r="D886" t="str">
        <f>IF(ISBLANK([1]!ScoutingData[[#This Row],[event]]),"",[1]!ScoutingData[[#This Row],[event]])</f>
        <v/>
      </c>
      <c r="E886" t="str">
        <f>IF(ISBLANK([1]!ScoutingData[[#This Row],[position]]),"",[1]!ScoutingData[[#This Row],[position]])</f>
        <v/>
      </c>
      <c r="F886" t="str">
        <f>IF(ISBLANK([1]!ScoutingData[[#This Row],[leaveStartingZone]]),"",[1]!ScoutingData[[#This Row],[leaveStartingZone]])</f>
        <v/>
      </c>
      <c r="G886" t="str">
        <f>IF(ISBLANK([1]!ScoutingData[[#This Row],[autoAmpScore]]),"",[1]!ScoutingData[[#This Row],[autoAmpScore]])</f>
        <v/>
      </c>
      <c r="H886" t="str">
        <f>IF(ISBLANK([1]!ScoutingData[[#This Row],[autoSpeakerScore]]),"",[1]!ScoutingData[[#This Row],[autoSpeakerScore]])</f>
        <v/>
      </c>
    </row>
    <row r="887" spans="1:8" x14ac:dyDescent="0.45">
      <c r="A887" t="str">
        <f>IF(ISBLANK([1]!ScoutingData[[#This Row],[teamNumber]]),"",[1]!ScoutingData[[#This Row],[teamNumber]])</f>
        <v/>
      </c>
      <c r="B887" t="str">
        <f>IF(ISBLANK([1]!ScoutingData[[#This Row],[matchLevel]]),"",[1]!ScoutingData[[#This Row],[matchLevel]])</f>
        <v/>
      </c>
      <c r="C887" t="str">
        <f>IF(ISBLANK([1]!ScoutingData[[#This Row],[matchNumber]]),"",[1]!ScoutingData[[#This Row],[matchNumber]])</f>
        <v/>
      </c>
      <c r="D887" t="str">
        <f>IF(ISBLANK([1]!ScoutingData[[#This Row],[event]]),"",[1]!ScoutingData[[#This Row],[event]])</f>
        <v/>
      </c>
      <c r="E887" t="str">
        <f>IF(ISBLANK([1]!ScoutingData[[#This Row],[position]]),"",[1]!ScoutingData[[#This Row],[position]])</f>
        <v/>
      </c>
      <c r="F887" t="str">
        <f>IF(ISBLANK([1]!ScoutingData[[#This Row],[leaveStartingZone]]),"",[1]!ScoutingData[[#This Row],[leaveStartingZone]])</f>
        <v/>
      </c>
      <c r="G887" t="str">
        <f>IF(ISBLANK([1]!ScoutingData[[#This Row],[autoAmpScore]]),"",[1]!ScoutingData[[#This Row],[autoAmpScore]])</f>
        <v/>
      </c>
      <c r="H887" t="str">
        <f>IF(ISBLANK([1]!ScoutingData[[#This Row],[autoSpeakerScore]]),"",[1]!ScoutingData[[#This Row],[autoSpeakerScore]])</f>
        <v/>
      </c>
    </row>
    <row r="888" spans="1:8" x14ac:dyDescent="0.45">
      <c r="A888" t="str">
        <f>IF(ISBLANK([1]!ScoutingData[[#This Row],[teamNumber]]),"",[1]!ScoutingData[[#This Row],[teamNumber]])</f>
        <v/>
      </c>
      <c r="B888" t="str">
        <f>IF(ISBLANK([1]!ScoutingData[[#This Row],[matchLevel]]),"",[1]!ScoutingData[[#This Row],[matchLevel]])</f>
        <v/>
      </c>
      <c r="C888" t="str">
        <f>IF(ISBLANK([1]!ScoutingData[[#This Row],[matchNumber]]),"",[1]!ScoutingData[[#This Row],[matchNumber]])</f>
        <v/>
      </c>
      <c r="D888" t="str">
        <f>IF(ISBLANK([1]!ScoutingData[[#This Row],[event]]),"",[1]!ScoutingData[[#This Row],[event]])</f>
        <v/>
      </c>
      <c r="E888" t="str">
        <f>IF(ISBLANK([1]!ScoutingData[[#This Row],[position]]),"",[1]!ScoutingData[[#This Row],[position]])</f>
        <v/>
      </c>
      <c r="F888" t="str">
        <f>IF(ISBLANK([1]!ScoutingData[[#This Row],[leaveStartingZone]]),"",[1]!ScoutingData[[#This Row],[leaveStartingZone]])</f>
        <v/>
      </c>
      <c r="G888" t="str">
        <f>IF(ISBLANK([1]!ScoutingData[[#This Row],[autoAmpScore]]),"",[1]!ScoutingData[[#This Row],[autoAmpScore]])</f>
        <v/>
      </c>
      <c r="H888" t="str">
        <f>IF(ISBLANK([1]!ScoutingData[[#This Row],[autoSpeakerScore]]),"",[1]!ScoutingData[[#This Row],[autoSpeakerScore]])</f>
        <v/>
      </c>
    </row>
    <row r="889" spans="1:8" x14ac:dyDescent="0.45">
      <c r="A889" t="str">
        <f>IF(ISBLANK([1]!ScoutingData[[#This Row],[teamNumber]]),"",[1]!ScoutingData[[#This Row],[teamNumber]])</f>
        <v/>
      </c>
      <c r="B889" t="str">
        <f>IF(ISBLANK([1]!ScoutingData[[#This Row],[matchLevel]]),"",[1]!ScoutingData[[#This Row],[matchLevel]])</f>
        <v/>
      </c>
      <c r="C889" t="str">
        <f>IF(ISBLANK([1]!ScoutingData[[#This Row],[matchNumber]]),"",[1]!ScoutingData[[#This Row],[matchNumber]])</f>
        <v/>
      </c>
      <c r="D889" t="str">
        <f>IF(ISBLANK([1]!ScoutingData[[#This Row],[event]]),"",[1]!ScoutingData[[#This Row],[event]])</f>
        <v/>
      </c>
      <c r="E889" t="str">
        <f>IF(ISBLANK([1]!ScoutingData[[#This Row],[position]]),"",[1]!ScoutingData[[#This Row],[position]])</f>
        <v/>
      </c>
      <c r="F889" t="str">
        <f>IF(ISBLANK([1]!ScoutingData[[#This Row],[leaveStartingZone]]),"",[1]!ScoutingData[[#This Row],[leaveStartingZone]])</f>
        <v/>
      </c>
      <c r="G889" t="str">
        <f>IF(ISBLANK([1]!ScoutingData[[#This Row],[autoAmpScore]]),"",[1]!ScoutingData[[#This Row],[autoAmpScore]])</f>
        <v/>
      </c>
      <c r="H889" t="str">
        <f>IF(ISBLANK([1]!ScoutingData[[#This Row],[autoSpeakerScore]]),"",[1]!ScoutingData[[#This Row],[autoSpeakerScore]])</f>
        <v/>
      </c>
    </row>
    <row r="890" spans="1:8" x14ac:dyDescent="0.45">
      <c r="A890" t="str">
        <f>IF(ISBLANK([1]!ScoutingData[[#This Row],[teamNumber]]),"",[1]!ScoutingData[[#This Row],[teamNumber]])</f>
        <v/>
      </c>
      <c r="B890" t="str">
        <f>IF(ISBLANK([1]!ScoutingData[[#This Row],[matchLevel]]),"",[1]!ScoutingData[[#This Row],[matchLevel]])</f>
        <v/>
      </c>
      <c r="C890" t="str">
        <f>IF(ISBLANK([1]!ScoutingData[[#This Row],[matchNumber]]),"",[1]!ScoutingData[[#This Row],[matchNumber]])</f>
        <v/>
      </c>
      <c r="D890" t="str">
        <f>IF(ISBLANK([1]!ScoutingData[[#This Row],[event]]),"",[1]!ScoutingData[[#This Row],[event]])</f>
        <v/>
      </c>
      <c r="E890" t="str">
        <f>IF(ISBLANK([1]!ScoutingData[[#This Row],[position]]),"",[1]!ScoutingData[[#This Row],[position]])</f>
        <v/>
      </c>
      <c r="F890" t="str">
        <f>IF(ISBLANK([1]!ScoutingData[[#This Row],[leaveStartingZone]]),"",[1]!ScoutingData[[#This Row],[leaveStartingZone]])</f>
        <v/>
      </c>
      <c r="G890" t="str">
        <f>IF(ISBLANK([1]!ScoutingData[[#This Row],[autoAmpScore]]),"",[1]!ScoutingData[[#This Row],[autoAmpScore]])</f>
        <v/>
      </c>
      <c r="H890" t="str">
        <f>IF(ISBLANK([1]!ScoutingData[[#This Row],[autoSpeakerScore]]),"",[1]!ScoutingData[[#This Row],[autoSpeakerScore]])</f>
        <v/>
      </c>
    </row>
    <row r="891" spans="1:8" x14ac:dyDescent="0.45">
      <c r="A891" t="str">
        <f>IF(ISBLANK([1]!ScoutingData[[#This Row],[teamNumber]]),"",[1]!ScoutingData[[#This Row],[teamNumber]])</f>
        <v/>
      </c>
      <c r="B891" t="str">
        <f>IF(ISBLANK([1]!ScoutingData[[#This Row],[matchLevel]]),"",[1]!ScoutingData[[#This Row],[matchLevel]])</f>
        <v/>
      </c>
      <c r="C891" t="str">
        <f>IF(ISBLANK([1]!ScoutingData[[#This Row],[matchNumber]]),"",[1]!ScoutingData[[#This Row],[matchNumber]])</f>
        <v/>
      </c>
      <c r="D891" t="str">
        <f>IF(ISBLANK([1]!ScoutingData[[#This Row],[event]]),"",[1]!ScoutingData[[#This Row],[event]])</f>
        <v/>
      </c>
      <c r="E891" t="str">
        <f>IF(ISBLANK([1]!ScoutingData[[#This Row],[position]]),"",[1]!ScoutingData[[#This Row],[position]])</f>
        <v/>
      </c>
      <c r="F891" t="str">
        <f>IF(ISBLANK([1]!ScoutingData[[#This Row],[leaveStartingZone]]),"",[1]!ScoutingData[[#This Row],[leaveStartingZone]])</f>
        <v/>
      </c>
      <c r="G891" t="str">
        <f>IF(ISBLANK([1]!ScoutingData[[#This Row],[autoAmpScore]]),"",[1]!ScoutingData[[#This Row],[autoAmpScore]])</f>
        <v/>
      </c>
      <c r="H891" t="str">
        <f>IF(ISBLANK([1]!ScoutingData[[#This Row],[autoSpeakerScore]]),"",[1]!ScoutingData[[#This Row],[autoSpeakerScore]])</f>
        <v/>
      </c>
    </row>
    <row r="892" spans="1:8" x14ac:dyDescent="0.45">
      <c r="A892" t="str">
        <f>IF(ISBLANK([1]!ScoutingData[[#This Row],[teamNumber]]),"",[1]!ScoutingData[[#This Row],[teamNumber]])</f>
        <v/>
      </c>
      <c r="B892" t="str">
        <f>IF(ISBLANK([1]!ScoutingData[[#This Row],[matchLevel]]),"",[1]!ScoutingData[[#This Row],[matchLevel]])</f>
        <v/>
      </c>
      <c r="C892" t="str">
        <f>IF(ISBLANK([1]!ScoutingData[[#This Row],[matchNumber]]),"",[1]!ScoutingData[[#This Row],[matchNumber]])</f>
        <v/>
      </c>
      <c r="D892" t="str">
        <f>IF(ISBLANK([1]!ScoutingData[[#This Row],[event]]),"",[1]!ScoutingData[[#This Row],[event]])</f>
        <v/>
      </c>
      <c r="E892" t="str">
        <f>IF(ISBLANK([1]!ScoutingData[[#This Row],[position]]),"",[1]!ScoutingData[[#This Row],[position]])</f>
        <v/>
      </c>
      <c r="F892" t="str">
        <f>IF(ISBLANK([1]!ScoutingData[[#This Row],[leaveStartingZone]]),"",[1]!ScoutingData[[#This Row],[leaveStartingZone]])</f>
        <v/>
      </c>
      <c r="G892" t="str">
        <f>IF(ISBLANK([1]!ScoutingData[[#This Row],[autoAmpScore]]),"",[1]!ScoutingData[[#This Row],[autoAmpScore]])</f>
        <v/>
      </c>
      <c r="H892" t="str">
        <f>IF(ISBLANK([1]!ScoutingData[[#This Row],[autoSpeakerScore]]),"",[1]!ScoutingData[[#This Row],[autoSpeakerScore]])</f>
        <v/>
      </c>
    </row>
    <row r="893" spans="1:8" x14ac:dyDescent="0.45">
      <c r="A893" t="str">
        <f>IF(ISBLANK([1]!ScoutingData[[#This Row],[teamNumber]]),"",[1]!ScoutingData[[#This Row],[teamNumber]])</f>
        <v/>
      </c>
      <c r="B893" t="str">
        <f>IF(ISBLANK([1]!ScoutingData[[#This Row],[matchLevel]]),"",[1]!ScoutingData[[#This Row],[matchLevel]])</f>
        <v/>
      </c>
      <c r="C893" t="str">
        <f>IF(ISBLANK([1]!ScoutingData[[#This Row],[matchNumber]]),"",[1]!ScoutingData[[#This Row],[matchNumber]])</f>
        <v/>
      </c>
      <c r="D893" t="str">
        <f>IF(ISBLANK([1]!ScoutingData[[#This Row],[event]]),"",[1]!ScoutingData[[#This Row],[event]])</f>
        <v/>
      </c>
      <c r="E893" t="str">
        <f>IF(ISBLANK([1]!ScoutingData[[#This Row],[position]]),"",[1]!ScoutingData[[#This Row],[position]])</f>
        <v/>
      </c>
      <c r="F893" t="str">
        <f>IF(ISBLANK([1]!ScoutingData[[#This Row],[leaveStartingZone]]),"",[1]!ScoutingData[[#This Row],[leaveStartingZone]])</f>
        <v/>
      </c>
      <c r="G893" t="str">
        <f>IF(ISBLANK([1]!ScoutingData[[#This Row],[autoAmpScore]]),"",[1]!ScoutingData[[#This Row],[autoAmpScore]])</f>
        <v/>
      </c>
      <c r="H893" t="str">
        <f>IF(ISBLANK([1]!ScoutingData[[#This Row],[autoSpeakerScore]]),"",[1]!ScoutingData[[#This Row],[autoSpeakerScore]])</f>
        <v/>
      </c>
    </row>
    <row r="894" spans="1:8" x14ac:dyDescent="0.45">
      <c r="A894" t="str">
        <f>IF(ISBLANK([1]!ScoutingData[[#This Row],[teamNumber]]),"",[1]!ScoutingData[[#This Row],[teamNumber]])</f>
        <v/>
      </c>
      <c r="B894" t="str">
        <f>IF(ISBLANK([1]!ScoutingData[[#This Row],[matchLevel]]),"",[1]!ScoutingData[[#This Row],[matchLevel]])</f>
        <v/>
      </c>
      <c r="C894" t="str">
        <f>IF(ISBLANK([1]!ScoutingData[[#This Row],[matchNumber]]),"",[1]!ScoutingData[[#This Row],[matchNumber]])</f>
        <v/>
      </c>
      <c r="D894" t="str">
        <f>IF(ISBLANK([1]!ScoutingData[[#This Row],[event]]),"",[1]!ScoutingData[[#This Row],[event]])</f>
        <v/>
      </c>
      <c r="E894" t="str">
        <f>IF(ISBLANK([1]!ScoutingData[[#This Row],[position]]),"",[1]!ScoutingData[[#This Row],[position]])</f>
        <v/>
      </c>
      <c r="F894" t="str">
        <f>IF(ISBLANK([1]!ScoutingData[[#This Row],[leaveStartingZone]]),"",[1]!ScoutingData[[#This Row],[leaveStartingZone]])</f>
        <v/>
      </c>
      <c r="G894" t="str">
        <f>IF(ISBLANK([1]!ScoutingData[[#This Row],[autoAmpScore]]),"",[1]!ScoutingData[[#This Row],[autoAmpScore]])</f>
        <v/>
      </c>
      <c r="H894" t="str">
        <f>IF(ISBLANK([1]!ScoutingData[[#This Row],[autoSpeakerScore]]),"",[1]!ScoutingData[[#This Row],[autoSpeakerScore]])</f>
        <v/>
      </c>
    </row>
    <row r="895" spans="1:8" x14ac:dyDescent="0.45">
      <c r="A895" t="str">
        <f>IF(ISBLANK([1]!ScoutingData[[#This Row],[teamNumber]]),"",[1]!ScoutingData[[#This Row],[teamNumber]])</f>
        <v/>
      </c>
      <c r="B895" t="str">
        <f>IF(ISBLANK([1]!ScoutingData[[#This Row],[matchLevel]]),"",[1]!ScoutingData[[#This Row],[matchLevel]])</f>
        <v/>
      </c>
      <c r="C895" t="str">
        <f>IF(ISBLANK([1]!ScoutingData[[#This Row],[matchNumber]]),"",[1]!ScoutingData[[#This Row],[matchNumber]])</f>
        <v/>
      </c>
      <c r="D895" t="str">
        <f>IF(ISBLANK([1]!ScoutingData[[#This Row],[event]]),"",[1]!ScoutingData[[#This Row],[event]])</f>
        <v/>
      </c>
      <c r="E895" t="str">
        <f>IF(ISBLANK([1]!ScoutingData[[#This Row],[position]]),"",[1]!ScoutingData[[#This Row],[position]])</f>
        <v/>
      </c>
      <c r="F895" t="str">
        <f>IF(ISBLANK([1]!ScoutingData[[#This Row],[leaveStartingZone]]),"",[1]!ScoutingData[[#This Row],[leaveStartingZone]])</f>
        <v/>
      </c>
      <c r="G895" t="str">
        <f>IF(ISBLANK([1]!ScoutingData[[#This Row],[autoAmpScore]]),"",[1]!ScoutingData[[#This Row],[autoAmpScore]])</f>
        <v/>
      </c>
      <c r="H895" t="str">
        <f>IF(ISBLANK([1]!ScoutingData[[#This Row],[autoSpeakerScore]]),"",[1]!ScoutingData[[#This Row],[autoSpeakerScore]])</f>
        <v/>
      </c>
    </row>
    <row r="896" spans="1:8" x14ac:dyDescent="0.45">
      <c r="A896" t="str">
        <f>IF(ISBLANK([1]!ScoutingData[[#This Row],[teamNumber]]),"",[1]!ScoutingData[[#This Row],[teamNumber]])</f>
        <v/>
      </c>
      <c r="B896" t="str">
        <f>IF(ISBLANK([1]!ScoutingData[[#This Row],[matchLevel]]),"",[1]!ScoutingData[[#This Row],[matchLevel]])</f>
        <v/>
      </c>
      <c r="C896" t="str">
        <f>IF(ISBLANK([1]!ScoutingData[[#This Row],[matchNumber]]),"",[1]!ScoutingData[[#This Row],[matchNumber]])</f>
        <v/>
      </c>
      <c r="D896" t="str">
        <f>IF(ISBLANK([1]!ScoutingData[[#This Row],[event]]),"",[1]!ScoutingData[[#This Row],[event]])</f>
        <v/>
      </c>
      <c r="E896" t="str">
        <f>IF(ISBLANK([1]!ScoutingData[[#This Row],[position]]),"",[1]!ScoutingData[[#This Row],[position]])</f>
        <v/>
      </c>
      <c r="F896" t="str">
        <f>IF(ISBLANK([1]!ScoutingData[[#This Row],[leaveStartingZone]]),"",[1]!ScoutingData[[#This Row],[leaveStartingZone]])</f>
        <v/>
      </c>
      <c r="G896" t="str">
        <f>IF(ISBLANK([1]!ScoutingData[[#This Row],[autoAmpScore]]),"",[1]!ScoutingData[[#This Row],[autoAmpScore]])</f>
        <v/>
      </c>
      <c r="H896" t="str">
        <f>IF(ISBLANK([1]!ScoutingData[[#This Row],[autoSpeakerScore]]),"",[1]!ScoutingData[[#This Row],[autoSpeakerScore]])</f>
        <v/>
      </c>
    </row>
    <row r="897" spans="1:8" x14ac:dyDescent="0.45">
      <c r="A897" t="str">
        <f>IF(ISBLANK([1]!ScoutingData[[#This Row],[teamNumber]]),"",[1]!ScoutingData[[#This Row],[teamNumber]])</f>
        <v/>
      </c>
      <c r="B897" t="str">
        <f>IF(ISBLANK([1]!ScoutingData[[#This Row],[matchLevel]]),"",[1]!ScoutingData[[#This Row],[matchLevel]])</f>
        <v/>
      </c>
      <c r="C897" t="str">
        <f>IF(ISBLANK([1]!ScoutingData[[#This Row],[matchNumber]]),"",[1]!ScoutingData[[#This Row],[matchNumber]])</f>
        <v/>
      </c>
      <c r="D897" t="str">
        <f>IF(ISBLANK([1]!ScoutingData[[#This Row],[event]]),"",[1]!ScoutingData[[#This Row],[event]])</f>
        <v/>
      </c>
      <c r="E897" t="str">
        <f>IF(ISBLANK([1]!ScoutingData[[#This Row],[position]]),"",[1]!ScoutingData[[#This Row],[position]])</f>
        <v/>
      </c>
      <c r="F897" t="str">
        <f>IF(ISBLANK([1]!ScoutingData[[#This Row],[leaveStartingZone]]),"",[1]!ScoutingData[[#This Row],[leaveStartingZone]])</f>
        <v/>
      </c>
      <c r="G897" t="str">
        <f>IF(ISBLANK([1]!ScoutingData[[#This Row],[autoAmpScore]]),"",[1]!ScoutingData[[#This Row],[autoAmpScore]])</f>
        <v/>
      </c>
      <c r="H897" t="str">
        <f>IF(ISBLANK([1]!ScoutingData[[#This Row],[autoSpeakerScore]]),"",[1]!ScoutingData[[#This Row],[autoSpeakerScore]])</f>
        <v/>
      </c>
    </row>
    <row r="898" spans="1:8" x14ac:dyDescent="0.45">
      <c r="A898" t="str">
        <f>IF(ISBLANK([1]!ScoutingData[[#This Row],[teamNumber]]),"",[1]!ScoutingData[[#This Row],[teamNumber]])</f>
        <v/>
      </c>
      <c r="B898" t="str">
        <f>IF(ISBLANK([1]!ScoutingData[[#This Row],[matchLevel]]),"",[1]!ScoutingData[[#This Row],[matchLevel]])</f>
        <v/>
      </c>
      <c r="C898" t="str">
        <f>IF(ISBLANK([1]!ScoutingData[[#This Row],[matchNumber]]),"",[1]!ScoutingData[[#This Row],[matchNumber]])</f>
        <v/>
      </c>
      <c r="D898" t="str">
        <f>IF(ISBLANK([1]!ScoutingData[[#This Row],[event]]),"",[1]!ScoutingData[[#This Row],[event]])</f>
        <v/>
      </c>
      <c r="E898" t="str">
        <f>IF(ISBLANK([1]!ScoutingData[[#This Row],[position]]),"",[1]!ScoutingData[[#This Row],[position]])</f>
        <v/>
      </c>
      <c r="F898" t="str">
        <f>IF(ISBLANK([1]!ScoutingData[[#This Row],[leaveStartingZone]]),"",[1]!ScoutingData[[#This Row],[leaveStartingZone]])</f>
        <v/>
      </c>
      <c r="G898" t="str">
        <f>IF(ISBLANK([1]!ScoutingData[[#This Row],[autoAmpScore]]),"",[1]!ScoutingData[[#This Row],[autoAmpScore]])</f>
        <v/>
      </c>
      <c r="H898" t="str">
        <f>IF(ISBLANK([1]!ScoutingData[[#This Row],[autoSpeakerScore]]),"",[1]!ScoutingData[[#This Row],[autoSpeakerScore]])</f>
        <v/>
      </c>
    </row>
    <row r="899" spans="1:8" x14ac:dyDescent="0.45">
      <c r="A899" t="str">
        <f>IF(ISBLANK([1]!ScoutingData[[#This Row],[teamNumber]]),"",[1]!ScoutingData[[#This Row],[teamNumber]])</f>
        <v/>
      </c>
      <c r="B899" t="str">
        <f>IF(ISBLANK([1]!ScoutingData[[#This Row],[matchLevel]]),"",[1]!ScoutingData[[#This Row],[matchLevel]])</f>
        <v/>
      </c>
      <c r="C899" t="str">
        <f>IF(ISBLANK([1]!ScoutingData[[#This Row],[matchNumber]]),"",[1]!ScoutingData[[#This Row],[matchNumber]])</f>
        <v/>
      </c>
      <c r="D899" t="str">
        <f>IF(ISBLANK([1]!ScoutingData[[#This Row],[event]]),"",[1]!ScoutingData[[#This Row],[event]])</f>
        <v/>
      </c>
      <c r="E899" t="str">
        <f>IF(ISBLANK([1]!ScoutingData[[#This Row],[position]]),"",[1]!ScoutingData[[#This Row],[position]])</f>
        <v/>
      </c>
      <c r="F899" t="str">
        <f>IF(ISBLANK([1]!ScoutingData[[#This Row],[leaveStartingZone]]),"",[1]!ScoutingData[[#This Row],[leaveStartingZone]])</f>
        <v/>
      </c>
      <c r="G899" t="str">
        <f>IF(ISBLANK([1]!ScoutingData[[#This Row],[autoAmpScore]]),"",[1]!ScoutingData[[#This Row],[autoAmpScore]])</f>
        <v/>
      </c>
      <c r="H899" t="str">
        <f>IF(ISBLANK([1]!ScoutingData[[#This Row],[autoSpeakerScore]]),"",[1]!ScoutingData[[#This Row],[autoSpeakerScore]])</f>
        <v/>
      </c>
    </row>
    <row r="900" spans="1:8" x14ac:dyDescent="0.45">
      <c r="A900" t="str">
        <f>IF(ISBLANK([1]!ScoutingData[[#This Row],[teamNumber]]),"",[1]!ScoutingData[[#This Row],[teamNumber]])</f>
        <v/>
      </c>
      <c r="B900" t="str">
        <f>IF(ISBLANK([1]!ScoutingData[[#This Row],[matchLevel]]),"",[1]!ScoutingData[[#This Row],[matchLevel]])</f>
        <v/>
      </c>
      <c r="C900" t="str">
        <f>IF(ISBLANK([1]!ScoutingData[[#This Row],[matchNumber]]),"",[1]!ScoutingData[[#This Row],[matchNumber]])</f>
        <v/>
      </c>
      <c r="D900" t="str">
        <f>IF(ISBLANK([1]!ScoutingData[[#This Row],[event]]),"",[1]!ScoutingData[[#This Row],[event]])</f>
        <v/>
      </c>
      <c r="E900" t="str">
        <f>IF(ISBLANK([1]!ScoutingData[[#This Row],[position]]),"",[1]!ScoutingData[[#This Row],[position]])</f>
        <v/>
      </c>
      <c r="F900" t="str">
        <f>IF(ISBLANK([1]!ScoutingData[[#This Row],[leaveStartingZone]]),"",[1]!ScoutingData[[#This Row],[leaveStartingZone]])</f>
        <v/>
      </c>
      <c r="G900" t="str">
        <f>IF(ISBLANK([1]!ScoutingData[[#This Row],[autoAmpScore]]),"",[1]!ScoutingData[[#This Row],[autoAmpScore]])</f>
        <v/>
      </c>
      <c r="H900" t="str">
        <f>IF(ISBLANK([1]!ScoutingData[[#This Row],[autoSpeakerScore]]),"",[1]!ScoutingData[[#This Row],[autoSpeakerScore]])</f>
        <v/>
      </c>
    </row>
    <row r="901" spans="1:8" x14ac:dyDescent="0.45">
      <c r="A901" t="str">
        <f>IF(ISBLANK([1]!ScoutingData[[#This Row],[teamNumber]]),"",[1]!ScoutingData[[#This Row],[teamNumber]])</f>
        <v/>
      </c>
      <c r="B901" t="str">
        <f>IF(ISBLANK([1]!ScoutingData[[#This Row],[matchLevel]]),"",[1]!ScoutingData[[#This Row],[matchLevel]])</f>
        <v/>
      </c>
      <c r="C901" t="str">
        <f>IF(ISBLANK([1]!ScoutingData[[#This Row],[matchNumber]]),"",[1]!ScoutingData[[#This Row],[matchNumber]])</f>
        <v/>
      </c>
      <c r="D901" t="str">
        <f>IF(ISBLANK([1]!ScoutingData[[#This Row],[event]]),"",[1]!ScoutingData[[#This Row],[event]])</f>
        <v/>
      </c>
      <c r="E901" t="str">
        <f>IF(ISBLANK([1]!ScoutingData[[#This Row],[position]]),"",[1]!ScoutingData[[#This Row],[position]])</f>
        <v/>
      </c>
      <c r="F901" t="str">
        <f>IF(ISBLANK([1]!ScoutingData[[#This Row],[leaveStartingZone]]),"",[1]!ScoutingData[[#This Row],[leaveStartingZone]])</f>
        <v/>
      </c>
      <c r="G901" t="str">
        <f>IF(ISBLANK([1]!ScoutingData[[#This Row],[autoAmpScore]]),"",[1]!ScoutingData[[#This Row],[autoAmpScore]])</f>
        <v/>
      </c>
      <c r="H901" t="str">
        <f>IF(ISBLANK([1]!ScoutingData[[#This Row],[autoSpeakerScore]]),"",[1]!ScoutingData[[#This Row],[autoSpeakerScore]])</f>
        <v/>
      </c>
    </row>
    <row r="902" spans="1:8" x14ac:dyDescent="0.45">
      <c r="A902" t="str">
        <f>IF(ISBLANK([1]!ScoutingData[[#This Row],[teamNumber]]),"",[1]!ScoutingData[[#This Row],[teamNumber]])</f>
        <v/>
      </c>
      <c r="B902" t="str">
        <f>IF(ISBLANK([1]!ScoutingData[[#This Row],[matchLevel]]),"",[1]!ScoutingData[[#This Row],[matchLevel]])</f>
        <v/>
      </c>
      <c r="C902" t="str">
        <f>IF(ISBLANK([1]!ScoutingData[[#This Row],[matchNumber]]),"",[1]!ScoutingData[[#This Row],[matchNumber]])</f>
        <v/>
      </c>
      <c r="D902" t="str">
        <f>IF(ISBLANK([1]!ScoutingData[[#This Row],[event]]),"",[1]!ScoutingData[[#This Row],[event]])</f>
        <v/>
      </c>
      <c r="E902" t="str">
        <f>IF(ISBLANK([1]!ScoutingData[[#This Row],[position]]),"",[1]!ScoutingData[[#This Row],[position]])</f>
        <v/>
      </c>
      <c r="F902" t="str">
        <f>IF(ISBLANK([1]!ScoutingData[[#This Row],[leaveStartingZone]]),"",[1]!ScoutingData[[#This Row],[leaveStartingZone]])</f>
        <v/>
      </c>
      <c r="G902" t="str">
        <f>IF(ISBLANK([1]!ScoutingData[[#This Row],[autoAmpScore]]),"",[1]!ScoutingData[[#This Row],[autoAmpScore]])</f>
        <v/>
      </c>
      <c r="H902" t="str">
        <f>IF(ISBLANK([1]!ScoutingData[[#This Row],[autoSpeakerScore]]),"",[1]!ScoutingData[[#This Row],[autoSpeakerScore]])</f>
        <v/>
      </c>
    </row>
    <row r="903" spans="1:8" x14ac:dyDescent="0.45">
      <c r="A903" t="str">
        <f>IF(ISBLANK([1]!ScoutingData[[#This Row],[teamNumber]]),"",[1]!ScoutingData[[#This Row],[teamNumber]])</f>
        <v/>
      </c>
      <c r="B903" t="str">
        <f>IF(ISBLANK([1]!ScoutingData[[#This Row],[matchLevel]]),"",[1]!ScoutingData[[#This Row],[matchLevel]])</f>
        <v/>
      </c>
      <c r="C903" t="str">
        <f>IF(ISBLANK([1]!ScoutingData[[#This Row],[matchNumber]]),"",[1]!ScoutingData[[#This Row],[matchNumber]])</f>
        <v/>
      </c>
      <c r="D903" t="str">
        <f>IF(ISBLANK([1]!ScoutingData[[#This Row],[event]]),"",[1]!ScoutingData[[#This Row],[event]])</f>
        <v/>
      </c>
      <c r="E903" t="str">
        <f>IF(ISBLANK([1]!ScoutingData[[#This Row],[position]]),"",[1]!ScoutingData[[#This Row],[position]])</f>
        <v/>
      </c>
      <c r="F903" t="str">
        <f>IF(ISBLANK([1]!ScoutingData[[#This Row],[leaveStartingZone]]),"",[1]!ScoutingData[[#This Row],[leaveStartingZone]])</f>
        <v/>
      </c>
      <c r="G903" t="str">
        <f>IF(ISBLANK([1]!ScoutingData[[#This Row],[autoAmpScore]]),"",[1]!ScoutingData[[#This Row],[autoAmpScore]])</f>
        <v/>
      </c>
      <c r="H903" t="str">
        <f>IF(ISBLANK([1]!ScoutingData[[#This Row],[autoSpeakerScore]]),"",[1]!ScoutingData[[#This Row],[autoSpeakerScore]])</f>
        <v/>
      </c>
    </row>
    <row r="904" spans="1:8" x14ac:dyDescent="0.45">
      <c r="A904" t="str">
        <f>IF(ISBLANK([1]!ScoutingData[[#This Row],[teamNumber]]),"",[1]!ScoutingData[[#This Row],[teamNumber]])</f>
        <v/>
      </c>
      <c r="B904" t="str">
        <f>IF(ISBLANK([1]!ScoutingData[[#This Row],[matchLevel]]),"",[1]!ScoutingData[[#This Row],[matchLevel]])</f>
        <v/>
      </c>
      <c r="C904" t="str">
        <f>IF(ISBLANK([1]!ScoutingData[[#This Row],[matchNumber]]),"",[1]!ScoutingData[[#This Row],[matchNumber]])</f>
        <v/>
      </c>
      <c r="D904" t="str">
        <f>IF(ISBLANK([1]!ScoutingData[[#This Row],[event]]),"",[1]!ScoutingData[[#This Row],[event]])</f>
        <v/>
      </c>
      <c r="E904" t="str">
        <f>IF(ISBLANK([1]!ScoutingData[[#This Row],[position]]),"",[1]!ScoutingData[[#This Row],[position]])</f>
        <v/>
      </c>
      <c r="F904" t="str">
        <f>IF(ISBLANK([1]!ScoutingData[[#This Row],[leaveStartingZone]]),"",[1]!ScoutingData[[#This Row],[leaveStartingZone]])</f>
        <v/>
      </c>
      <c r="G904" t="str">
        <f>IF(ISBLANK([1]!ScoutingData[[#This Row],[autoAmpScore]]),"",[1]!ScoutingData[[#This Row],[autoAmpScore]])</f>
        <v/>
      </c>
      <c r="H904" t="str">
        <f>IF(ISBLANK([1]!ScoutingData[[#This Row],[autoSpeakerScore]]),"",[1]!ScoutingData[[#This Row],[autoSpeakerScore]])</f>
        <v/>
      </c>
    </row>
    <row r="905" spans="1:8" x14ac:dyDescent="0.45">
      <c r="A905" t="str">
        <f>IF(ISBLANK([1]!ScoutingData[[#This Row],[teamNumber]]),"",[1]!ScoutingData[[#This Row],[teamNumber]])</f>
        <v/>
      </c>
      <c r="B905" t="str">
        <f>IF(ISBLANK([1]!ScoutingData[[#This Row],[matchLevel]]),"",[1]!ScoutingData[[#This Row],[matchLevel]])</f>
        <v/>
      </c>
      <c r="C905" t="str">
        <f>IF(ISBLANK([1]!ScoutingData[[#This Row],[matchNumber]]),"",[1]!ScoutingData[[#This Row],[matchNumber]])</f>
        <v/>
      </c>
      <c r="D905" t="str">
        <f>IF(ISBLANK([1]!ScoutingData[[#This Row],[event]]),"",[1]!ScoutingData[[#This Row],[event]])</f>
        <v/>
      </c>
      <c r="E905" t="str">
        <f>IF(ISBLANK([1]!ScoutingData[[#This Row],[position]]),"",[1]!ScoutingData[[#This Row],[position]])</f>
        <v/>
      </c>
      <c r="F905" t="str">
        <f>IF(ISBLANK([1]!ScoutingData[[#This Row],[leaveStartingZone]]),"",[1]!ScoutingData[[#This Row],[leaveStartingZone]])</f>
        <v/>
      </c>
      <c r="G905" t="str">
        <f>IF(ISBLANK([1]!ScoutingData[[#This Row],[autoAmpScore]]),"",[1]!ScoutingData[[#This Row],[autoAmpScore]])</f>
        <v/>
      </c>
      <c r="H905" t="str">
        <f>IF(ISBLANK([1]!ScoutingData[[#This Row],[autoSpeakerScore]]),"",[1]!ScoutingData[[#This Row],[autoSpeakerScore]])</f>
        <v/>
      </c>
    </row>
    <row r="906" spans="1:8" x14ac:dyDescent="0.45">
      <c r="A906" t="str">
        <f>IF(ISBLANK([1]!ScoutingData[[#This Row],[teamNumber]]),"",[1]!ScoutingData[[#This Row],[teamNumber]])</f>
        <v/>
      </c>
      <c r="B906" t="str">
        <f>IF(ISBLANK([1]!ScoutingData[[#This Row],[matchLevel]]),"",[1]!ScoutingData[[#This Row],[matchLevel]])</f>
        <v/>
      </c>
      <c r="C906" t="str">
        <f>IF(ISBLANK([1]!ScoutingData[[#This Row],[matchNumber]]),"",[1]!ScoutingData[[#This Row],[matchNumber]])</f>
        <v/>
      </c>
      <c r="D906" t="str">
        <f>IF(ISBLANK([1]!ScoutingData[[#This Row],[event]]),"",[1]!ScoutingData[[#This Row],[event]])</f>
        <v/>
      </c>
      <c r="E906" t="str">
        <f>IF(ISBLANK([1]!ScoutingData[[#This Row],[position]]),"",[1]!ScoutingData[[#This Row],[position]])</f>
        <v/>
      </c>
      <c r="F906" t="str">
        <f>IF(ISBLANK([1]!ScoutingData[[#This Row],[leaveStartingZone]]),"",[1]!ScoutingData[[#This Row],[leaveStartingZone]])</f>
        <v/>
      </c>
      <c r="G906" t="str">
        <f>IF(ISBLANK([1]!ScoutingData[[#This Row],[autoAmpScore]]),"",[1]!ScoutingData[[#This Row],[autoAmpScore]])</f>
        <v/>
      </c>
      <c r="H906" t="str">
        <f>IF(ISBLANK([1]!ScoutingData[[#This Row],[autoSpeakerScore]]),"",[1]!ScoutingData[[#This Row],[autoSpeakerScore]])</f>
        <v/>
      </c>
    </row>
    <row r="907" spans="1:8" x14ac:dyDescent="0.45">
      <c r="A907" t="str">
        <f>IF(ISBLANK([1]!ScoutingData[[#This Row],[teamNumber]]),"",[1]!ScoutingData[[#This Row],[teamNumber]])</f>
        <v/>
      </c>
      <c r="B907" t="str">
        <f>IF(ISBLANK([1]!ScoutingData[[#This Row],[matchLevel]]),"",[1]!ScoutingData[[#This Row],[matchLevel]])</f>
        <v/>
      </c>
      <c r="C907" t="str">
        <f>IF(ISBLANK([1]!ScoutingData[[#This Row],[matchNumber]]),"",[1]!ScoutingData[[#This Row],[matchNumber]])</f>
        <v/>
      </c>
      <c r="D907" t="str">
        <f>IF(ISBLANK([1]!ScoutingData[[#This Row],[event]]),"",[1]!ScoutingData[[#This Row],[event]])</f>
        <v/>
      </c>
      <c r="E907" t="str">
        <f>IF(ISBLANK([1]!ScoutingData[[#This Row],[position]]),"",[1]!ScoutingData[[#This Row],[position]])</f>
        <v/>
      </c>
      <c r="F907" t="str">
        <f>IF(ISBLANK([1]!ScoutingData[[#This Row],[leaveStartingZone]]),"",[1]!ScoutingData[[#This Row],[leaveStartingZone]])</f>
        <v/>
      </c>
      <c r="G907" t="str">
        <f>IF(ISBLANK([1]!ScoutingData[[#This Row],[autoAmpScore]]),"",[1]!ScoutingData[[#This Row],[autoAmpScore]])</f>
        <v/>
      </c>
      <c r="H907" t="str">
        <f>IF(ISBLANK([1]!ScoutingData[[#This Row],[autoSpeakerScore]]),"",[1]!ScoutingData[[#This Row],[autoSpeakerScore]])</f>
        <v/>
      </c>
    </row>
    <row r="908" spans="1:8" x14ac:dyDescent="0.45">
      <c r="A908" t="str">
        <f>IF(ISBLANK([1]!ScoutingData[[#This Row],[teamNumber]]),"",[1]!ScoutingData[[#This Row],[teamNumber]])</f>
        <v/>
      </c>
      <c r="B908" t="str">
        <f>IF(ISBLANK([1]!ScoutingData[[#This Row],[matchLevel]]),"",[1]!ScoutingData[[#This Row],[matchLevel]])</f>
        <v/>
      </c>
      <c r="C908" t="str">
        <f>IF(ISBLANK([1]!ScoutingData[[#This Row],[matchNumber]]),"",[1]!ScoutingData[[#This Row],[matchNumber]])</f>
        <v/>
      </c>
      <c r="D908" t="str">
        <f>IF(ISBLANK([1]!ScoutingData[[#This Row],[event]]),"",[1]!ScoutingData[[#This Row],[event]])</f>
        <v/>
      </c>
      <c r="E908" t="str">
        <f>IF(ISBLANK([1]!ScoutingData[[#This Row],[position]]),"",[1]!ScoutingData[[#This Row],[position]])</f>
        <v/>
      </c>
      <c r="F908" t="str">
        <f>IF(ISBLANK([1]!ScoutingData[[#This Row],[leaveStartingZone]]),"",[1]!ScoutingData[[#This Row],[leaveStartingZone]])</f>
        <v/>
      </c>
      <c r="G908" t="str">
        <f>IF(ISBLANK([1]!ScoutingData[[#This Row],[autoAmpScore]]),"",[1]!ScoutingData[[#This Row],[autoAmpScore]])</f>
        <v/>
      </c>
      <c r="H908" t="str">
        <f>IF(ISBLANK([1]!ScoutingData[[#This Row],[autoSpeakerScore]]),"",[1]!ScoutingData[[#This Row],[autoSpeakerScore]])</f>
        <v/>
      </c>
    </row>
    <row r="909" spans="1:8" x14ac:dyDescent="0.45">
      <c r="A909" t="str">
        <f>IF(ISBLANK([1]!ScoutingData[[#This Row],[teamNumber]]),"",[1]!ScoutingData[[#This Row],[teamNumber]])</f>
        <v/>
      </c>
      <c r="B909" t="str">
        <f>IF(ISBLANK([1]!ScoutingData[[#This Row],[matchLevel]]),"",[1]!ScoutingData[[#This Row],[matchLevel]])</f>
        <v/>
      </c>
      <c r="C909" t="str">
        <f>IF(ISBLANK([1]!ScoutingData[[#This Row],[matchNumber]]),"",[1]!ScoutingData[[#This Row],[matchNumber]])</f>
        <v/>
      </c>
      <c r="D909" t="str">
        <f>IF(ISBLANK([1]!ScoutingData[[#This Row],[event]]),"",[1]!ScoutingData[[#This Row],[event]])</f>
        <v/>
      </c>
      <c r="E909" t="str">
        <f>IF(ISBLANK([1]!ScoutingData[[#This Row],[position]]),"",[1]!ScoutingData[[#This Row],[position]])</f>
        <v/>
      </c>
      <c r="F909" t="str">
        <f>IF(ISBLANK([1]!ScoutingData[[#This Row],[leaveStartingZone]]),"",[1]!ScoutingData[[#This Row],[leaveStartingZone]])</f>
        <v/>
      </c>
      <c r="G909" t="str">
        <f>IF(ISBLANK([1]!ScoutingData[[#This Row],[autoAmpScore]]),"",[1]!ScoutingData[[#This Row],[autoAmpScore]])</f>
        <v/>
      </c>
      <c r="H909" t="str">
        <f>IF(ISBLANK([1]!ScoutingData[[#This Row],[autoSpeakerScore]]),"",[1]!ScoutingData[[#This Row],[autoSpeakerScore]])</f>
        <v/>
      </c>
    </row>
    <row r="910" spans="1:8" x14ac:dyDescent="0.45">
      <c r="A910" t="str">
        <f>IF(ISBLANK([1]!ScoutingData[[#This Row],[teamNumber]]),"",[1]!ScoutingData[[#This Row],[teamNumber]])</f>
        <v/>
      </c>
      <c r="B910" t="str">
        <f>IF(ISBLANK([1]!ScoutingData[[#This Row],[matchLevel]]),"",[1]!ScoutingData[[#This Row],[matchLevel]])</f>
        <v/>
      </c>
      <c r="C910" t="str">
        <f>IF(ISBLANK([1]!ScoutingData[[#This Row],[matchNumber]]),"",[1]!ScoutingData[[#This Row],[matchNumber]])</f>
        <v/>
      </c>
      <c r="D910" t="str">
        <f>IF(ISBLANK([1]!ScoutingData[[#This Row],[event]]),"",[1]!ScoutingData[[#This Row],[event]])</f>
        <v/>
      </c>
      <c r="E910" t="str">
        <f>IF(ISBLANK([1]!ScoutingData[[#This Row],[position]]),"",[1]!ScoutingData[[#This Row],[position]])</f>
        <v/>
      </c>
      <c r="F910" t="str">
        <f>IF(ISBLANK([1]!ScoutingData[[#This Row],[leaveStartingZone]]),"",[1]!ScoutingData[[#This Row],[leaveStartingZone]])</f>
        <v/>
      </c>
      <c r="G910" t="str">
        <f>IF(ISBLANK([1]!ScoutingData[[#This Row],[autoAmpScore]]),"",[1]!ScoutingData[[#This Row],[autoAmpScore]])</f>
        <v/>
      </c>
      <c r="H910" t="str">
        <f>IF(ISBLANK([1]!ScoutingData[[#This Row],[autoSpeakerScore]]),"",[1]!ScoutingData[[#This Row],[autoSpeakerScore]])</f>
        <v/>
      </c>
    </row>
    <row r="911" spans="1:8" x14ac:dyDescent="0.45">
      <c r="A911" t="str">
        <f>IF(ISBLANK([1]!ScoutingData[[#This Row],[teamNumber]]),"",[1]!ScoutingData[[#This Row],[teamNumber]])</f>
        <v/>
      </c>
      <c r="B911" t="str">
        <f>IF(ISBLANK([1]!ScoutingData[[#This Row],[matchLevel]]),"",[1]!ScoutingData[[#This Row],[matchLevel]])</f>
        <v/>
      </c>
      <c r="C911" t="str">
        <f>IF(ISBLANK([1]!ScoutingData[[#This Row],[matchNumber]]),"",[1]!ScoutingData[[#This Row],[matchNumber]])</f>
        <v/>
      </c>
      <c r="D911" t="str">
        <f>IF(ISBLANK([1]!ScoutingData[[#This Row],[event]]),"",[1]!ScoutingData[[#This Row],[event]])</f>
        <v/>
      </c>
      <c r="E911" t="str">
        <f>IF(ISBLANK([1]!ScoutingData[[#This Row],[position]]),"",[1]!ScoutingData[[#This Row],[position]])</f>
        <v/>
      </c>
      <c r="F911" t="str">
        <f>IF(ISBLANK([1]!ScoutingData[[#This Row],[leaveStartingZone]]),"",[1]!ScoutingData[[#This Row],[leaveStartingZone]])</f>
        <v/>
      </c>
      <c r="G911" t="str">
        <f>IF(ISBLANK([1]!ScoutingData[[#This Row],[autoAmpScore]]),"",[1]!ScoutingData[[#This Row],[autoAmpScore]])</f>
        <v/>
      </c>
      <c r="H911" t="str">
        <f>IF(ISBLANK([1]!ScoutingData[[#This Row],[autoSpeakerScore]]),"",[1]!ScoutingData[[#This Row],[autoSpeakerScore]])</f>
        <v/>
      </c>
    </row>
    <row r="912" spans="1:8" x14ac:dyDescent="0.45">
      <c r="A912" t="str">
        <f>IF(ISBLANK([1]!ScoutingData[[#This Row],[teamNumber]]),"",[1]!ScoutingData[[#This Row],[teamNumber]])</f>
        <v/>
      </c>
      <c r="B912" t="str">
        <f>IF(ISBLANK([1]!ScoutingData[[#This Row],[matchLevel]]),"",[1]!ScoutingData[[#This Row],[matchLevel]])</f>
        <v/>
      </c>
      <c r="C912" t="str">
        <f>IF(ISBLANK([1]!ScoutingData[[#This Row],[matchNumber]]),"",[1]!ScoutingData[[#This Row],[matchNumber]])</f>
        <v/>
      </c>
      <c r="D912" t="str">
        <f>IF(ISBLANK([1]!ScoutingData[[#This Row],[event]]),"",[1]!ScoutingData[[#This Row],[event]])</f>
        <v/>
      </c>
      <c r="E912" t="str">
        <f>IF(ISBLANK([1]!ScoutingData[[#This Row],[position]]),"",[1]!ScoutingData[[#This Row],[position]])</f>
        <v/>
      </c>
      <c r="F912" t="str">
        <f>IF(ISBLANK([1]!ScoutingData[[#This Row],[leaveStartingZone]]),"",[1]!ScoutingData[[#This Row],[leaveStartingZone]])</f>
        <v/>
      </c>
      <c r="G912" t="str">
        <f>IF(ISBLANK([1]!ScoutingData[[#This Row],[autoAmpScore]]),"",[1]!ScoutingData[[#This Row],[autoAmpScore]])</f>
        <v/>
      </c>
      <c r="H912" t="str">
        <f>IF(ISBLANK([1]!ScoutingData[[#This Row],[autoSpeakerScore]]),"",[1]!ScoutingData[[#This Row],[autoSpeakerScore]])</f>
        <v/>
      </c>
    </row>
    <row r="913" spans="1:8" x14ac:dyDescent="0.45">
      <c r="A913" t="str">
        <f>IF(ISBLANK([1]!ScoutingData[[#This Row],[teamNumber]]),"",[1]!ScoutingData[[#This Row],[teamNumber]])</f>
        <v/>
      </c>
      <c r="B913" t="str">
        <f>IF(ISBLANK([1]!ScoutingData[[#This Row],[matchLevel]]),"",[1]!ScoutingData[[#This Row],[matchLevel]])</f>
        <v/>
      </c>
      <c r="C913" t="str">
        <f>IF(ISBLANK([1]!ScoutingData[[#This Row],[matchNumber]]),"",[1]!ScoutingData[[#This Row],[matchNumber]])</f>
        <v/>
      </c>
      <c r="D913" t="str">
        <f>IF(ISBLANK([1]!ScoutingData[[#This Row],[event]]),"",[1]!ScoutingData[[#This Row],[event]])</f>
        <v/>
      </c>
      <c r="E913" t="str">
        <f>IF(ISBLANK([1]!ScoutingData[[#This Row],[position]]),"",[1]!ScoutingData[[#This Row],[position]])</f>
        <v/>
      </c>
      <c r="F913" t="str">
        <f>IF(ISBLANK([1]!ScoutingData[[#This Row],[leaveStartingZone]]),"",[1]!ScoutingData[[#This Row],[leaveStartingZone]])</f>
        <v/>
      </c>
      <c r="G913" t="str">
        <f>IF(ISBLANK([1]!ScoutingData[[#This Row],[autoAmpScore]]),"",[1]!ScoutingData[[#This Row],[autoAmpScore]])</f>
        <v/>
      </c>
      <c r="H913" t="str">
        <f>IF(ISBLANK([1]!ScoutingData[[#This Row],[autoSpeakerScore]]),"",[1]!ScoutingData[[#This Row],[autoSpeakerScore]])</f>
        <v/>
      </c>
    </row>
    <row r="914" spans="1:8" x14ac:dyDescent="0.45">
      <c r="A914" t="str">
        <f>IF(ISBLANK([1]!ScoutingData[[#This Row],[teamNumber]]),"",[1]!ScoutingData[[#This Row],[teamNumber]])</f>
        <v/>
      </c>
      <c r="B914" t="str">
        <f>IF(ISBLANK([1]!ScoutingData[[#This Row],[matchLevel]]),"",[1]!ScoutingData[[#This Row],[matchLevel]])</f>
        <v/>
      </c>
      <c r="C914" t="str">
        <f>IF(ISBLANK([1]!ScoutingData[[#This Row],[matchNumber]]),"",[1]!ScoutingData[[#This Row],[matchNumber]])</f>
        <v/>
      </c>
      <c r="D914" t="str">
        <f>IF(ISBLANK([1]!ScoutingData[[#This Row],[event]]),"",[1]!ScoutingData[[#This Row],[event]])</f>
        <v/>
      </c>
      <c r="E914" t="str">
        <f>IF(ISBLANK([1]!ScoutingData[[#This Row],[position]]),"",[1]!ScoutingData[[#This Row],[position]])</f>
        <v/>
      </c>
      <c r="F914" t="str">
        <f>IF(ISBLANK([1]!ScoutingData[[#This Row],[leaveStartingZone]]),"",[1]!ScoutingData[[#This Row],[leaveStartingZone]])</f>
        <v/>
      </c>
      <c r="G914" t="str">
        <f>IF(ISBLANK([1]!ScoutingData[[#This Row],[autoAmpScore]]),"",[1]!ScoutingData[[#This Row],[autoAmpScore]])</f>
        <v/>
      </c>
      <c r="H914" t="str">
        <f>IF(ISBLANK([1]!ScoutingData[[#This Row],[autoSpeakerScore]]),"",[1]!ScoutingData[[#This Row],[autoSpeakerScore]])</f>
        <v/>
      </c>
    </row>
    <row r="915" spans="1:8" x14ac:dyDescent="0.45">
      <c r="A915" t="str">
        <f>IF(ISBLANK([1]!ScoutingData[[#This Row],[teamNumber]]),"",[1]!ScoutingData[[#This Row],[teamNumber]])</f>
        <v/>
      </c>
      <c r="B915" t="str">
        <f>IF(ISBLANK([1]!ScoutingData[[#This Row],[matchLevel]]),"",[1]!ScoutingData[[#This Row],[matchLevel]])</f>
        <v/>
      </c>
      <c r="C915" t="str">
        <f>IF(ISBLANK([1]!ScoutingData[[#This Row],[matchNumber]]),"",[1]!ScoutingData[[#This Row],[matchNumber]])</f>
        <v/>
      </c>
      <c r="D915" t="str">
        <f>IF(ISBLANK([1]!ScoutingData[[#This Row],[event]]),"",[1]!ScoutingData[[#This Row],[event]])</f>
        <v/>
      </c>
      <c r="E915" t="str">
        <f>IF(ISBLANK([1]!ScoutingData[[#This Row],[position]]),"",[1]!ScoutingData[[#This Row],[position]])</f>
        <v/>
      </c>
      <c r="F915" t="str">
        <f>IF(ISBLANK([1]!ScoutingData[[#This Row],[leaveStartingZone]]),"",[1]!ScoutingData[[#This Row],[leaveStartingZone]])</f>
        <v/>
      </c>
      <c r="G915" t="str">
        <f>IF(ISBLANK([1]!ScoutingData[[#This Row],[autoAmpScore]]),"",[1]!ScoutingData[[#This Row],[autoAmpScore]])</f>
        <v/>
      </c>
      <c r="H915" t="str">
        <f>IF(ISBLANK([1]!ScoutingData[[#This Row],[autoSpeakerScore]]),"",[1]!ScoutingData[[#This Row],[autoSpeakerScore]])</f>
        <v/>
      </c>
    </row>
    <row r="916" spans="1:8" x14ac:dyDescent="0.45">
      <c r="A916" t="str">
        <f>IF(ISBLANK([1]!ScoutingData[[#This Row],[teamNumber]]),"",[1]!ScoutingData[[#This Row],[teamNumber]])</f>
        <v/>
      </c>
      <c r="B916" t="str">
        <f>IF(ISBLANK([1]!ScoutingData[[#This Row],[matchLevel]]),"",[1]!ScoutingData[[#This Row],[matchLevel]])</f>
        <v/>
      </c>
      <c r="C916" t="str">
        <f>IF(ISBLANK([1]!ScoutingData[[#This Row],[matchNumber]]),"",[1]!ScoutingData[[#This Row],[matchNumber]])</f>
        <v/>
      </c>
      <c r="D916" t="str">
        <f>IF(ISBLANK([1]!ScoutingData[[#This Row],[event]]),"",[1]!ScoutingData[[#This Row],[event]])</f>
        <v/>
      </c>
      <c r="E916" t="str">
        <f>IF(ISBLANK([1]!ScoutingData[[#This Row],[position]]),"",[1]!ScoutingData[[#This Row],[position]])</f>
        <v/>
      </c>
      <c r="F916" t="str">
        <f>IF(ISBLANK([1]!ScoutingData[[#This Row],[leaveStartingZone]]),"",[1]!ScoutingData[[#This Row],[leaveStartingZone]])</f>
        <v/>
      </c>
      <c r="G916" t="str">
        <f>IF(ISBLANK([1]!ScoutingData[[#This Row],[autoAmpScore]]),"",[1]!ScoutingData[[#This Row],[autoAmpScore]])</f>
        <v/>
      </c>
      <c r="H916" t="str">
        <f>IF(ISBLANK([1]!ScoutingData[[#This Row],[autoSpeakerScore]]),"",[1]!ScoutingData[[#This Row],[autoSpeakerScore]])</f>
        <v/>
      </c>
    </row>
    <row r="917" spans="1:8" x14ac:dyDescent="0.45">
      <c r="A917" t="str">
        <f>IF(ISBLANK([1]!ScoutingData[[#This Row],[teamNumber]]),"",[1]!ScoutingData[[#This Row],[teamNumber]])</f>
        <v/>
      </c>
      <c r="B917" t="str">
        <f>IF(ISBLANK([1]!ScoutingData[[#This Row],[matchLevel]]),"",[1]!ScoutingData[[#This Row],[matchLevel]])</f>
        <v/>
      </c>
      <c r="C917" t="str">
        <f>IF(ISBLANK([1]!ScoutingData[[#This Row],[matchNumber]]),"",[1]!ScoutingData[[#This Row],[matchNumber]])</f>
        <v/>
      </c>
      <c r="D917" t="str">
        <f>IF(ISBLANK([1]!ScoutingData[[#This Row],[event]]),"",[1]!ScoutingData[[#This Row],[event]])</f>
        <v/>
      </c>
      <c r="E917" t="str">
        <f>IF(ISBLANK([1]!ScoutingData[[#This Row],[position]]),"",[1]!ScoutingData[[#This Row],[position]])</f>
        <v/>
      </c>
      <c r="F917" t="str">
        <f>IF(ISBLANK([1]!ScoutingData[[#This Row],[leaveStartingZone]]),"",[1]!ScoutingData[[#This Row],[leaveStartingZone]])</f>
        <v/>
      </c>
      <c r="G917" t="str">
        <f>IF(ISBLANK([1]!ScoutingData[[#This Row],[autoAmpScore]]),"",[1]!ScoutingData[[#This Row],[autoAmpScore]])</f>
        <v/>
      </c>
      <c r="H917" t="str">
        <f>IF(ISBLANK([1]!ScoutingData[[#This Row],[autoSpeakerScore]]),"",[1]!ScoutingData[[#This Row],[autoSpeakerScore]])</f>
        <v/>
      </c>
    </row>
    <row r="918" spans="1:8" x14ac:dyDescent="0.45">
      <c r="A918" t="str">
        <f>IF(ISBLANK([1]!ScoutingData[[#This Row],[teamNumber]]),"",[1]!ScoutingData[[#This Row],[teamNumber]])</f>
        <v/>
      </c>
      <c r="B918" t="str">
        <f>IF(ISBLANK([1]!ScoutingData[[#This Row],[matchLevel]]),"",[1]!ScoutingData[[#This Row],[matchLevel]])</f>
        <v/>
      </c>
      <c r="C918" t="str">
        <f>IF(ISBLANK([1]!ScoutingData[[#This Row],[matchNumber]]),"",[1]!ScoutingData[[#This Row],[matchNumber]])</f>
        <v/>
      </c>
      <c r="D918" t="str">
        <f>IF(ISBLANK([1]!ScoutingData[[#This Row],[event]]),"",[1]!ScoutingData[[#This Row],[event]])</f>
        <v/>
      </c>
      <c r="E918" t="str">
        <f>IF(ISBLANK([1]!ScoutingData[[#This Row],[position]]),"",[1]!ScoutingData[[#This Row],[position]])</f>
        <v/>
      </c>
      <c r="F918" t="str">
        <f>IF(ISBLANK([1]!ScoutingData[[#This Row],[leaveStartingZone]]),"",[1]!ScoutingData[[#This Row],[leaveStartingZone]])</f>
        <v/>
      </c>
      <c r="G918" t="str">
        <f>IF(ISBLANK([1]!ScoutingData[[#This Row],[autoAmpScore]]),"",[1]!ScoutingData[[#This Row],[autoAmpScore]])</f>
        <v/>
      </c>
      <c r="H918" t="str">
        <f>IF(ISBLANK([1]!ScoutingData[[#This Row],[autoSpeakerScore]]),"",[1]!ScoutingData[[#This Row],[autoSpeakerScore]])</f>
        <v/>
      </c>
    </row>
    <row r="919" spans="1:8" x14ac:dyDescent="0.45">
      <c r="A919" t="str">
        <f>IF(ISBLANK([1]!ScoutingData[[#This Row],[teamNumber]]),"",[1]!ScoutingData[[#This Row],[teamNumber]])</f>
        <v/>
      </c>
      <c r="B919" t="str">
        <f>IF(ISBLANK([1]!ScoutingData[[#This Row],[matchLevel]]),"",[1]!ScoutingData[[#This Row],[matchLevel]])</f>
        <v/>
      </c>
      <c r="C919" t="str">
        <f>IF(ISBLANK([1]!ScoutingData[[#This Row],[matchNumber]]),"",[1]!ScoutingData[[#This Row],[matchNumber]])</f>
        <v/>
      </c>
      <c r="D919" t="str">
        <f>IF(ISBLANK([1]!ScoutingData[[#This Row],[event]]),"",[1]!ScoutingData[[#This Row],[event]])</f>
        <v/>
      </c>
      <c r="E919" t="str">
        <f>IF(ISBLANK([1]!ScoutingData[[#This Row],[position]]),"",[1]!ScoutingData[[#This Row],[position]])</f>
        <v/>
      </c>
      <c r="F919" t="str">
        <f>IF(ISBLANK([1]!ScoutingData[[#This Row],[leaveStartingZone]]),"",[1]!ScoutingData[[#This Row],[leaveStartingZone]])</f>
        <v/>
      </c>
      <c r="G919" t="str">
        <f>IF(ISBLANK([1]!ScoutingData[[#This Row],[autoAmpScore]]),"",[1]!ScoutingData[[#This Row],[autoAmpScore]])</f>
        <v/>
      </c>
      <c r="H919" t="str">
        <f>IF(ISBLANK([1]!ScoutingData[[#This Row],[autoSpeakerScore]]),"",[1]!ScoutingData[[#This Row],[autoSpeakerScore]])</f>
        <v/>
      </c>
    </row>
    <row r="920" spans="1:8" x14ac:dyDescent="0.45">
      <c r="A920" t="str">
        <f>IF(ISBLANK([1]!ScoutingData[[#This Row],[teamNumber]]),"",[1]!ScoutingData[[#This Row],[teamNumber]])</f>
        <v/>
      </c>
      <c r="B920" t="str">
        <f>IF(ISBLANK([1]!ScoutingData[[#This Row],[matchLevel]]),"",[1]!ScoutingData[[#This Row],[matchLevel]])</f>
        <v/>
      </c>
      <c r="C920" t="str">
        <f>IF(ISBLANK([1]!ScoutingData[[#This Row],[matchNumber]]),"",[1]!ScoutingData[[#This Row],[matchNumber]])</f>
        <v/>
      </c>
      <c r="D920" t="str">
        <f>IF(ISBLANK([1]!ScoutingData[[#This Row],[event]]),"",[1]!ScoutingData[[#This Row],[event]])</f>
        <v/>
      </c>
      <c r="E920" t="str">
        <f>IF(ISBLANK([1]!ScoutingData[[#This Row],[position]]),"",[1]!ScoutingData[[#This Row],[position]])</f>
        <v/>
      </c>
      <c r="F920" t="str">
        <f>IF(ISBLANK([1]!ScoutingData[[#This Row],[leaveStartingZone]]),"",[1]!ScoutingData[[#This Row],[leaveStartingZone]])</f>
        <v/>
      </c>
      <c r="G920" t="str">
        <f>IF(ISBLANK([1]!ScoutingData[[#This Row],[autoAmpScore]]),"",[1]!ScoutingData[[#This Row],[autoAmpScore]])</f>
        <v/>
      </c>
      <c r="H920" t="str">
        <f>IF(ISBLANK([1]!ScoutingData[[#This Row],[autoSpeakerScore]]),"",[1]!ScoutingData[[#This Row],[autoSpeakerScore]])</f>
        <v/>
      </c>
    </row>
    <row r="921" spans="1:8" x14ac:dyDescent="0.45">
      <c r="A921" t="str">
        <f>IF(ISBLANK([1]!ScoutingData[[#This Row],[teamNumber]]),"",[1]!ScoutingData[[#This Row],[teamNumber]])</f>
        <v/>
      </c>
      <c r="B921" t="str">
        <f>IF(ISBLANK([1]!ScoutingData[[#This Row],[matchLevel]]),"",[1]!ScoutingData[[#This Row],[matchLevel]])</f>
        <v/>
      </c>
      <c r="C921" t="str">
        <f>IF(ISBLANK([1]!ScoutingData[[#This Row],[matchNumber]]),"",[1]!ScoutingData[[#This Row],[matchNumber]])</f>
        <v/>
      </c>
      <c r="D921" t="str">
        <f>IF(ISBLANK([1]!ScoutingData[[#This Row],[event]]),"",[1]!ScoutingData[[#This Row],[event]])</f>
        <v/>
      </c>
      <c r="E921" t="str">
        <f>IF(ISBLANK([1]!ScoutingData[[#This Row],[position]]),"",[1]!ScoutingData[[#This Row],[position]])</f>
        <v/>
      </c>
      <c r="F921" t="str">
        <f>IF(ISBLANK([1]!ScoutingData[[#This Row],[leaveStartingZone]]),"",[1]!ScoutingData[[#This Row],[leaveStartingZone]])</f>
        <v/>
      </c>
      <c r="G921" t="str">
        <f>IF(ISBLANK([1]!ScoutingData[[#This Row],[autoAmpScore]]),"",[1]!ScoutingData[[#This Row],[autoAmpScore]])</f>
        <v/>
      </c>
      <c r="H921" t="str">
        <f>IF(ISBLANK([1]!ScoutingData[[#This Row],[autoSpeakerScore]]),"",[1]!ScoutingData[[#This Row],[autoSpeakerScore]])</f>
        <v/>
      </c>
    </row>
    <row r="922" spans="1:8" x14ac:dyDescent="0.45">
      <c r="A922" t="str">
        <f>IF(ISBLANK([1]!ScoutingData[[#This Row],[teamNumber]]),"",[1]!ScoutingData[[#This Row],[teamNumber]])</f>
        <v/>
      </c>
      <c r="B922" t="str">
        <f>IF(ISBLANK([1]!ScoutingData[[#This Row],[matchLevel]]),"",[1]!ScoutingData[[#This Row],[matchLevel]])</f>
        <v/>
      </c>
      <c r="C922" t="str">
        <f>IF(ISBLANK([1]!ScoutingData[[#This Row],[matchNumber]]),"",[1]!ScoutingData[[#This Row],[matchNumber]])</f>
        <v/>
      </c>
      <c r="D922" t="str">
        <f>IF(ISBLANK([1]!ScoutingData[[#This Row],[event]]),"",[1]!ScoutingData[[#This Row],[event]])</f>
        <v/>
      </c>
      <c r="E922" t="str">
        <f>IF(ISBLANK([1]!ScoutingData[[#This Row],[position]]),"",[1]!ScoutingData[[#This Row],[position]])</f>
        <v/>
      </c>
      <c r="F922" t="str">
        <f>IF(ISBLANK([1]!ScoutingData[[#This Row],[leaveStartingZone]]),"",[1]!ScoutingData[[#This Row],[leaveStartingZone]])</f>
        <v/>
      </c>
      <c r="G922" t="str">
        <f>IF(ISBLANK([1]!ScoutingData[[#This Row],[autoAmpScore]]),"",[1]!ScoutingData[[#This Row],[autoAmpScore]])</f>
        <v/>
      </c>
      <c r="H922" t="str">
        <f>IF(ISBLANK([1]!ScoutingData[[#This Row],[autoSpeakerScore]]),"",[1]!ScoutingData[[#This Row],[autoSpeakerScore]])</f>
        <v/>
      </c>
    </row>
    <row r="923" spans="1:8" x14ac:dyDescent="0.45">
      <c r="A923" t="str">
        <f>IF(ISBLANK([1]!ScoutingData[[#This Row],[teamNumber]]),"",[1]!ScoutingData[[#This Row],[teamNumber]])</f>
        <v/>
      </c>
      <c r="B923" t="str">
        <f>IF(ISBLANK([1]!ScoutingData[[#This Row],[matchLevel]]),"",[1]!ScoutingData[[#This Row],[matchLevel]])</f>
        <v/>
      </c>
      <c r="C923" t="str">
        <f>IF(ISBLANK([1]!ScoutingData[[#This Row],[matchNumber]]),"",[1]!ScoutingData[[#This Row],[matchNumber]])</f>
        <v/>
      </c>
      <c r="D923" t="str">
        <f>IF(ISBLANK([1]!ScoutingData[[#This Row],[event]]),"",[1]!ScoutingData[[#This Row],[event]])</f>
        <v/>
      </c>
      <c r="E923" t="str">
        <f>IF(ISBLANK([1]!ScoutingData[[#This Row],[position]]),"",[1]!ScoutingData[[#This Row],[position]])</f>
        <v/>
      </c>
      <c r="F923" t="str">
        <f>IF(ISBLANK([1]!ScoutingData[[#This Row],[leaveStartingZone]]),"",[1]!ScoutingData[[#This Row],[leaveStartingZone]])</f>
        <v/>
      </c>
      <c r="G923" t="str">
        <f>IF(ISBLANK([1]!ScoutingData[[#This Row],[autoAmpScore]]),"",[1]!ScoutingData[[#This Row],[autoAmpScore]])</f>
        <v/>
      </c>
      <c r="H923" t="str">
        <f>IF(ISBLANK([1]!ScoutingData[[#This Row],[autoSpeakerScore]]),"",[1]!ScoutingData[[#This Row],[autoSpeakerScore]])</f>
        <v/>
      </c>
    </row>
    <row r="924" spans="1:8" x14ac:dyDescent="0.45">
      <c r="A924" t="str">
        <f>IF(ISBLANK([1]!ScoutingData[[#This Row],[teamNumber]]),"",[1]!ScoutingData[[#This Row],[teamNumber]])</f>
        <v/>
      </c>
      <c r="B924" t="str">
        <f>IF(ISBLANK([1]!ScoutingData[[#This Row],[matchLevel]]),"",[1]!ScoutingData[[#This Row],[matchLevel]])</f>
        <v/>
      </c>
      <c r="C924" t="str">
        <f>IF(ISBLANK([1]!ScoutingData[[#This Row],[matchNumber]]),"",[1]!ScoutingData[[#This Row],[matchNumber]])</f>
        <v/>
      </c>
      <c r="D924" t="str">
        <f>IF(ISBLANK([1]!ScoutingData[[#This Row],[event]]),"",[1]!ScoutingData[[#This Row],[event]])</f>
        <v/>
      </c>
      <c r="E924" t="str">
        <f>IF(ISBLANK([1]!ScoutingData[[#This Row],[position]]),"",[1]!ScoutingData[[#This Row],[position]])</f>
        <v/>
      </c>
      <c r="F924" t="str">
        <f>IF(ISBLANK([1]!ScoutingData[[#This Row],[leaveStartingZone]]),"",[1]!ScoutingData[[#This Row],[leaveStartingZone]])</f>
        <v/>
      </c>
      <c r="G924" t="str">
        <f>IF(ISBLANK([1]!ScoutingData[[#This Row],[autoAmpScore]]),"",[1]!ScoutingData[[#This Row],[autoAmpScore]])</f>
        <v/>
      </c>
      <c r="H924" t="str">
        <f>IF(ISBLANK([1]!ScoutingData[[#This Row],[autoSpeakerScore]]),"",[1]!ScoutingData[[#This Row],[autoSpeakerScore]])</f>
        <v/>
      </c>
    </row>
    <row r="925" spans="1:8" x14ac:dyDescent="0.45">
      <c r="A925" t="str">
        <f>IF(ISBLANK([1]!ScoutingData[[#This Row],[teamNumber]]),"",[1]!ScoutingData[[#This Row],[teamNumber]])</f>
        <v/>
      </c>
      <c r="B925" t="str">
        <f>IF(ISBLANK([1]!ScoutingData[[#This Row],[matchLevel]]),"",[1]!ScoutingData[[#This Row],[matchLevel]])</f>
        <v/>
      </c>
      <c r="C925" t="str">
        <f>IF(ISBLANK([1]!ScoutingData[[#This Row],[matchNumber]]),"",[1]!ScoutingData[[#This Row],[matchNumber]])</f>
        <v/>
      </c>
      <c r="D925" t="str">
        <f>IF(ISBLANK([1]!ScoutingData[[#This Row],[event]]),"",[1]!ScoutingData[[#This Row],[event]])</f>
        <v/>
      </c>
      <c r="E925" t="str">
        <f>IF(ISBLANK([1]!ScoutingData[[#This Row],[position]]),"",[1]!ScoutingData[[#This Row],[position]])</f>
        <v/>
      </c>
      <c r="F925" t="str">
        <f>IF(ISBLANK([1]!ScoutingData[[#This Row],[leaveStartingZone]]),"",[1]!ScoutingData[[#This Row],[leaveStartingZone]])</f>
        <v/>
      </c>
      <c r="G925" t="str">
        <f>IF(ISBLANK([1]!ScoutingData[[#This Row],[autoAmpScore]]),"",[1]!ScoutingData[[#This Row],[autoAmpScore]])</f>
        <v/>
      </c>
      <c r="H925" t="str">
        <f>IF(ISBLANK([1]!ScoutingData[[#This Row],[autoSpeakerScore]]),"",[1]!ScoutingData[[#This Row],[autoSpeakerScore]])</f>
        <v/>
      </c>
    </row>
    <row r="926" spans="1:8" x14ac:dyDescent="0.45">
      <c r="A926" t="str">
        <f>IF(ISBLANK([1]!ScoutingData[[#This Row],[teamNumber]]),"",[1]!ScoutingData[[#This Row],[teamNumber]])</f>
        <v/>
      </c>
      <c r="B926" t="str">
        <f>IF(ISBLANK([1]!ScoutingData[[#This Row],[matchLevel]]),"",[1]!ScoutingData[[#This Row],[matchLevel]])</f>
        <v/>
      </c>
      <c r="C926" t="str">
        <f>IF(ISBLANK([1]!ScoutingData[[#This Row],[matchNumber]]),"",[1]!ScoutingData[[#This Row],[matchNumber]])</f>
        <v/>
      </c>
      <c r="D926" t="str">
        <f>IF(ISBLANK([1]!ScoutingData[[#This Row],[event]]),"",[1]!ScoutingData[[#This Row],[event]])</f>
        <v/>
      </c>
      <c r="E926" t="str">
        <f>IF(ISBLANK([1]!ScoutingData[[#This Row],[position]]),"",[1]!ScoutingData[[#This Row],[position]])</f>
        <v/>
      </c>
      <c r="F926" t="str">
        <f>IF(ISBLANK([1]!ScoutingData[[#This Row],[leaveStartingZone]]),"",[1]!ScoutingData[[#This Row],[leaveStartingZone]])</f>
        <v/>
      </c>
      <c r="G926" t="str">
        <f>IF(ISBLANK([1]!ScoutingData[[#This Row],[autoAmpScore]]),"",[1]!ScoutingData[[#This Row],[autoAmpScore]])</f>
        <v/>
      </c>
      <c r="H926" t="str">
        <f>IF(ISBLANK([1]!ScoutingData[[#This Row],[autoSpeakerScore]]),"",[1]!ScoutingData[[#This Row],[autoSpeakerScore]])</f>
        <v/>
      </c>
    </row>
    <row r="927" spans="1:8" x14ac:dyDescent="0.45">
      <c r="A927" t="str">
        <f>IF(ISBLANK([1]!ScoutingData[[#This Row],[teamNumber]]),"",[1]!ScoutingData[[#This Row],[teamNumber]])</f>
        <v/>
      </c>
      <c r="B927" t="str">
        <f>IF(ISBLANK([1]!ScoutingData[[#This Row],[matchLevel]]),"",[1]!ScoutingData[[#This Row],[matchLevel]])</f>
        <v/>
      </c>
      <c r="C927" t="str">
        <f>IF(ISBLANK([1]!ScoutingData[[#This Row],[matchNumber]]),"",[1]!ScoutingData[[#This Row],[matchNumber]])</f>
        <v/>
      </c>
      <c r="D927" t="str">
        <f>IF(ISBLANK([1]!ScoutingData[[#This Row],[event]]),"",[1]!ScoutingData[[#This Row],[event]])</f>
        <v/>
      </c>
      <c r="E927" t="str">
        <f>IF(ISBLANK([1]!ScoutingData[[#This Row],[position]]),"",[1]!ScoutingData[[#This Row],[position]])</f>
        <v/>
      </c>
      <c r="F927" t="str">
        <f>IF(ISBLANK([1]!ScoutingData[[#This Row],[leaveStartingZone]]),"",[1]!ScoutingData[[#This Row],[leaveStartingZone]])</f>
        <v/>
      </c>
      <c r="G927" t="str">
        <f>IF(ISBLANK([1]!ScoutingData[[#This Row],[autoAmpScore]]),"",[1]!ScoutingData[[#This Row],[autoAmpScore]])</f>
        <v/>
      </c>
      <c r="H927" t="str">
        <f>IF(ISBLANK([1]!ScoutingData[[#This Row],[autoSpeakerScore]]),"",[1]!ScoutingData[[#This Row],[autoSpeakerScore]])</f>
        <v/>
      </c>
    </row>
    <row r="928" spans="1:8" x14ac:dyDescent="0.45">
      <c r="A928" t="str">
        <f>IF(ISBLANK([1]!ScoutingData[[#This Row],[teamNumber]]),"",[1]!ScoutingData[[#This Row],[teamNumber]])</f>
        <v/>
      </c>
      <c r="B928" t="str">
        <f>IF(ISBLANK([1]!ScoutingData[[#This Row],[matchLevel]]),"",[1]!ScoutingData[[#This Row],[matchLevel]])</f>
        <v/>
      </c>
      <c r="C928" t="str">
        <f>IF(ISBLANK([1]!ScoutingData[[#This Row],[matchNumber]]),"",[1]!ScoutingData[[#This Row],[matchNumber]])</f>
        <v/>
      </c>
      <c r="D928" t="str">
        <f>IF(ISBLANK([1]!ScoutingData[[#This Row],[event]]),"",[1]!ScoutingData[[#This Row],[event]])</f>
        <v/>
      </c>
      <c r="E928" t="str">
        <f>IF(ISBLANK([1]!ScoutingData[[#This Row],[position]]),"",[1]!ScoutingData[[#This Row],[position]])</f>
        <v/>
      </c>
      <c r="F928" t="str">
        <f>IF(ISBLANK([1]!ScoutingData[[#This Row],[leaveStartingZone]]),"",[1]!ScoutingData[[#This Row],[leaveStartingZone]])</f>
        <v/>
      </c>
      <c r="G928" t="str">
        <f>IF(ISBLANK([1]!ScoutingData[[#This Row],[autoAmpScore]]),"",[1]!ScoutingData[[#This Row],[autoAmpScore]])</f>
        <v/>
      </c>
      <c r="H928" t="str">
        <f>IF(ISBLANK([1]!ScoutingData[[#This Row],[autoSpeakerScore]]),"",[1]!ScoutingData[[#This Row],[autoSpeakerScore]])</f>
        <v/>
      </c>
    </row>
    <row r="929" spans="1:8" x14ac:dyDescent="0.45">
      <c r="A929" t="str">
        <f>IF(ISBLANK([1]!ScoutingData[[#This Row],[teamNumber]]),"",[1]!ScoutingData[[#This Row],[teamNumber]])</f>
        <v/>
      </c>
      <c r="B929" t="str">
        <f>IF(ISBLANK([1]!ScoutingData[[#This Row],[matchLevel]]),"",[1]!ScoutingData[[#This Row],[matchLevel]])</f>
        <v/>
      </c>
      <c r="C929" t="str">
        <f>IF(ISBLANK([1]!ScoutingData[[#This Row],[matchNumber]]),"",[1]!ScoutingData[[#This Row],[matchNumber]])</f>
        <v/>
      </c>
      <c r="D929" t="str">
        <f>IF(ISBLANK([1]!ScoutingData[[#This Row],[event]]),"",[1]!ScoutingData[[#This Row],[event]])</f>
        <v/>
      </c>
      <c r="E929" t="str">
        <f>IF(ISBLANK([1]!ScoutingData[[#This Row],[position]]),"",[1]!ScoutingData[[#This Row],[position]])</f>
        <v/>
      </c>
      <c r="F929" t="str">
        <f>IF(ISBLANK([1]!ScoutingData[[#This Row],[leaveStartingZone]]),"",[1]!ScoutingData[[#This Row],[leaveStartingZone]])</f>
        <v/>
      </c>
      <c r="G929" t="str">
        <f>IF(ISBLANK([1]!ScoutingData[[#This Row],[autoAmpScore]]),"",[1]!ScoutingData[[#This Row],[autoAmpScore]])</f>
        <v/>
      </c>
      <c r="H929" t="str">
        <f>IF(ISBLANK([1]!ScoutingData[[#This Row],[autoSpeakerScore]]),"",[1]!ScoutingData[[#This Row],[autoSpeakerScore]])</f>
        <v/>
      </c>
    </row>
    <row r="930" spans="1:8" x14ac:dyDescent="0.45">
      <c r="A930" t="str">
        <f>IF(ISBLANK([1]!ScoutingData[[#This Row],[teamNumber]]),"",[1]!ScoutingData[[#This Row],[teamNumber]])</f>
        <v/>
      </c>
      <c r="B930" t="str">
        <f>IF(ISBLANK([1]!ScoutingData[[#This Row],[matchLevel]]),"",[1]!ScoutingData[[#This Row],[matchLevel]])</f>
        <v/>
      </c>
      <c r="C930" t="str">
        <f>IF(ISBLANK([1]!ScoutingData[[#This Row],[matchNumber]]),"",[1]!ScoutingData[[#This Row],[matchNumber]])</f>
        <v/>
      </c>
      <c r="D930" t="str">
        <f>IF(ISBLANK([1]!ScoutingData[[#This Row],[event]]),"",[1]!ScoutingData[[#This Row],[event]])</f>
        <v/>
      </c>
      <c r="E930" t="str">
        <f>IF(ISBLANK([1]!ScoutingData[[#This Row],[position]]),"",[1]!ScoutingData[[#This Row],[position]])</f>
        <v/>
      </c>
      <c r="F930" t="str">
        <f>IF(ISBLANK([1]!ScoutingData[[#This Row],[leaveStartingZone]]),"",[1]!ScoutingData[[#This Row],[leaveStartingZone]])</f>
        <v/>
      </c>
      <c r="G930" t="str">
        <f>IF(ISBLANK([1]!ScoutingData[[#This Row],[autoAmpScore]]),"",[1]!ScoutingData[[#This Row],[autoAmpScore]])</f>
        <v/>
      </c>
      <c r="H930" t="str">
        <f>IF(ISBLANK([1]!ScoutingData[[#This Row],[autoSpeakerScore]]),"",[1]!ScoutingData[[#This Row],[autoSpeakerScore]])</f>
        <v/>
      </c>
    </row>
    <row r="931" spans="1:8" x14ac:dyDescent="0.45">
      <c r="A931" t="str">
        <f>IF(ISBLANK([1]!ScoutingData[[#This Row],[teamNumber]]),"",[1]!ScoutingData[[#This Row],[teamNumber]])</f>
        <v/>
      </c>
      <c r="B931" t="str">
        <f>IF(ISBLANK([1]!ScoutingData[[#This Row],[matchLevel]]),"",[1]!ScoutingData[[#This Row],[matchLevel]])</f>
        <v/>
      </c>
      <c r="C931" t="str">
        <f>IF(ISBLANK([1]!ScoutingData[[#This Row],[matchNumber]]),"",[1]!ScoutingData[[#This Row],[matchNumber]])</f>
        <v/>
      </c>
      <c r="D931" t="str">
        <f>IF(ISBLANK([1]!ScoutingData[[#This Row],[event]]),"",[1]!ScoutingData[[#This Row],[event]])</f>
        <v/>
      </c>
      <c r="E931" t="str">
        <f>IF(ISBLANK([1]!ScoutingData[[#This Row],[position]]),"",[1]!ScoutingData[[#This Row],[position]])</f>
        <v/>
      </c>
      <c r="F931" t="str">
        <f>IF(ISBLANK([1]!ScoutingData[[#This Row],[leaveStartingZone]]),"",[1]!ScoutingData[[#This Row],[leaveStartingZone]])</f>
        <v/>
      </c>
      <c r="G931" t="str">
        <f>IF(ISBLANK([1]!ScoutingData[[#This Row],[autoAmpScore]]),"",[1]!ScoutingData[[#This Row],[autoAmpScore]])</f>
        <v/>
      </c>
      <c r="H931" t="str">
        <f>IF(ISBLANK([1]!ScoutingData[[#This Row],[autoSpeakerScore]]),"",[1]!ScoutingData[[#This Row],[autoSpeakerScore]])</f>
        <v/>
      </c>
    </row>
    <row r="932" spans="1:8" x14ac:dyDescent="0.45">
      <c r="A932" t="str">
        <f>IF(ISBLANK([1]!ScoutingData[[#This Row],[teamNumber]]),"",[1]!ScoutingData[[#This Row],[teamNumber]])</f>
        <v/>
      </c>
      <c r="B932" t="str">
        <f>IF(ISBLANK([1]!ScoutingData[[#This Row],[matchLevel]]),"",[1]!ScoutingData[[#This Row],[matchLevel]])</f>
        <v/>
      </c>
      <c r="C932" t="str">
        <f>IF(ISBLANK([1]!ScoutingData[[#This Row],[matchNumber]]),"",[1]!ScoutingData[[#This Row],[matchNumber]])</f>
        <v/>
      </c>
      <c r="D932" t="str">
        <f>IF(ISBLANK([1]!ScoutingData[[#This Row],[event]]),"",[1]!ScoutingData[[#This Row],[event]])</f>
        <v/>
      </c>
      <c r="E932" t="str">
        <f>IF(ISBLANK([1]!ScoutingData[[#This Row],[position]]),"",[1]!ScoutingData[[#This Row],[position]])</f>
        <v/>
      </c>
      <c r="F932" t="str">
        <f>IF(ISBLANK([1]!ScoutingData[[#This Row],[leaveStartingZone]]),"",[1]!ScoutingData[[#This Row],[leaveStartingZone]])</f>
        <v/>
      </c>
      <c r="G932" t="str">
        <f>IF(ISBLANK([1]!ScoutingData[[#This Row],[autoAmpScore]]),"",[1]!ScoutingData[[#This Row],[autoAmpScore]])</f>
        <v/>
      </c>
      <c r="H932" t="str">
        <f>IF(ISBLANK([1]!ScoutingData[[#This Row],[autoSpeakerScore]]),"",[1]!ScoutingData[[#This Row],[autoSpeakerScore]])</f>
        <v/>
      </c>
    </row>
    <row r="933" spans="1:8" x14ac:dyDescent="0.45">
      <c r="A933" t="str">
        <f>IF(ISBLANK([1]!ScoutingData[[#This Row],[teamNumber]]),"",[1]!ScoutingData[[#This Row],[teamNumber]])</f>
        <v/>
      </c>
      <c r="B933" t="str">
        <f>IF(ISBLANK([1]!ScoutingData[[#This Row],[matchLevel]]),"",[1]!ScoutingData[[#This Row],[matchLevel]])</f>
        <v/>
      </c>
      <c r="C933" t="str">
        <f>IF(ISBLANK([1]!ScoutingData[[#This Row],[matchNumber]]),"",[1]!ScoutingData[[#This Row],[matchNumber]])</f>
        <v/>
      </c>
      <c r="D933" t="str">
        <f>IF(ISBLANK([1]!ScoutingData[[#This Row],[event]]),"",[1]!ScoutingData[[#This Row],[event]])</f>
        <v/>
      </c>
      <c r="E933" t="str">
        <f>IF(ISBLANK([1]!ScoutingData[[#This Row],[position]]),"",[1]!ScoutingData[[#This Row],[position]])</f>
        <v/>
      </c>
      <c r="F933" t="str">
        <f>IF(ISBLANK([1]!ScoutingData[[#This Row],[leaveStartingZone]]),"",[1]!ScoutingData[[#This Row],[leaveStartingZone]])</f>
        <v/>
      </c>
      <c r="G933" t="str">
        <f>IF(ISBLANK([1]!ScoutingData[[#This Row],[autoAmpScore]]),"",[1]!ScoutingData[[#This Row],[autoAmpScore]])</f>
        <v/>
      </c>
      <c r="H933" t="str">
        <f>IF(ISBLANK([1]!ScoutingData[[#This Row],[autoSpeakerScore]]),"",[1]!ScoutingData[[#This Row],[autoSpeakerScore]])</f>
        <v/>
      </c>
    </row>
    <row r="934" spans="1:8" x14ac:dyDescent="0.45">
      <c r="A934" t="str">
        <f>IF(ISBLANK([1]!ScoutingData[[#This Row],[teamNumber]]),"",[1]!ScoutingData[[#This Row],[teamNumber]])</f>
        <v/>
      </c>
      <c r="B934" t="str">
        <f>IF(ISBLANK([1]!ScoutingData[[#This Row],[matchLevel]]),"",[1]!ScoutingData[[#This Row],[matchLevel]])</f>
        <v/>
      </c>
      <c r="C934" t="str">
        <f>IF(ISBLANK([1]!ScoutingData[[#This Row],[matchNumber]]),"",[1]!ScoutingData[[#This Row],[matchNumber]])</f>
        <v/>
      </c>
      <c r="D934" t="str">
        <f>IF(ISBLANK([1]!ScoutingData[[#This Row],[event]]),"",[1]!ScoutingData[[#This Row],[event]])</f>
        <v/>
      </c>
      <c r="E934" t="str">
        <f>IF(ISBLANK([1]!ScoutingData[[#This Row],[position]]),"",[1]!ScoutingData[[#This Row],[position]])</f>
        <v/>
      </c>
      <c r="F934" t="str">
        <f>IF(ISBLANK([1]!ScoutingData[[#This Row],[leaveStartingZone]]),"",[1]!ScoutingData[[#This Row],[leaveStartingZone]])</f>
        <v/>
      </c>
      <c r="G934" t="str">
        <f>IF(ISBLANK([1]!ScoutingData[[#This Row],[autoAmpScore]]),"",[1]!ScoutingData[[#This Row],[autoAmpScore]])</f>
        <v/>
      </c>
      <c r="H934" t="str">
        <f>IF(ISBLANK([1]!ScoutingData[[#This Row],[autoSpeakerScore]]),"",[1]!ScoutingData[[#This Row],[autoSpeakerScore]])</f>
        <v/>
      </c>
    </row>
    <row r="935" spans="1:8" x14ac:dyDescent="0.45">
      <c r="A935" t="str">
        <f>IF(ISBLANK([1]!ScoutingData[[#This Row],[teamNumber]]),"",[1]!ScoutingData[[#This Row],[teamNumber]])</f>
        <v/>
      </c>
      <c r="B935" t="str">
        <f>IF(ISBLANK([1]!ScoutingData[[#This Row],[matchLevel]]),"",[1]!ScoutingData[[#This Row],[matchLevel]])</f>
        <v/>
      </c>
      <c r="C935" t="str">
        <f>IF(ISBLANK([1]!ScoutingData[[#This Row],[matchNumber]]),"",[1]!ScoutingData[[#This Row],[matchNumber]])</f>
        <v/>
      </c>
      <c r="D935" t="str">
        <f>IF(ISBLANK([1]!ScoutingData[[#This Row],[event]]),"",[1]!ScoutingData[[#This Row],[event]])</f>
        <v/>
      </c>
      <c r="E935" t="str">
        <f>IF(ISBLANK([1]!ScoutingData[[#This Row],[position]]),"",[1]!ScoutingData[[#This Row],[position]])</f>
        <v/>
      </c>
      <c r="F935" t="str">
        <f>IF(ISBLANK([1]!ScoutingData[[#This Row],[leaveStartingZone]]),"",[1]!ScoutingData[[#This Row],[leaveStartingZone]])</f>
        <v/>
      </c>
      <c r="G935" t="str">
        <f>IF(ISBLANK([1]!ScoutingData[[#This Row],[autoAmpScore]]),"",[1]!ScoutingData[[#This Row],[autoAmpScore]])</f>
        <v/>
      </c>
      <c r="H935" t="str">
        <f>IF(ISBLANK([1]!ScoutingData[[#This Row],[autoSpeakerScore]]),"",[1]!ScoutingData[[#This Row],[autoSpeakerScore]])</f>
        <v/>
      </c>
    </row>
    <row r="936" spans="1:8" x14ac:dyDescent="0.45">
      <c r="A936" t="str">
        <f>IF(ISBLANK([1]!ScoutingData[[#This Row],[teamNumber]]),"",[1]!ScoutingData[[#This Row],[teamNumber]])</f>
        <v/>
      </c>
      <c r="B936" t="str">
        <f>IF(ISBLANK([1]!ScoutingData[[#This Row],[matchLevel]]),"",[1]!ScoutingData[[#This Row],[matchLevel]])</f>
        <v/>
      </c>
      <c r="C936" t="str">
        <f>IF(ISBLANK([1]!ScoutingData[[#This Row],[matchNumber]]),"",[1]!ScoutingData[[#This Row],[matchNumber]])</f>
        <v/>
      </c>
      <c r="D936" t="str">
        <f>IF(ISBLANK([1]!ScoutingData[[#This Row],[event]]),"",[1]!ScoutingData[[#This Row],[event]])</f>
        <v/>
      </c>
      <c r="E936" t="str">
        <f>IF(ISBLANK([1]!ScoutingData[[#This Row],[position]]),"",[1]!ScoutingData[[#This Row],[position]])</f>
        <v/>
      </c>
      <c r="F936" t="str">
        <f>IF(ISBLANK([1]!ScoutingData[[#This Row],[leaveStartingZone]]),"",[1]!ScoutingData[[#This Row],[leaveStartingZone]])</f>
        <v/>
      </c>
      <c r="G936" t="str">
        <f>IF(ISBLANK([1]!ScoutingData[[#This Row],[autoAmpScore]]),"",[1]!ScoutingData[[#This Row],[autoAmpScore]])</f>
        <v/>
      </c>
      <c r="H936" t="str">
        <f>IF(ISBLANK([1]!ScoutingData[[#This Row],[autoSpeakerScore]]),"",[1]!ScoutingData[[#This Row],[autoSpeakerScore]])</f>
        <v/>
      </c>
    </row>
    <row r="937" spans="1:8" x14ac:dyDescent="0.45">
      <c r="A937" t="str">
        <f>IF(ISBLANK([1]!ScoutingData[[#This Row],[teamNumber]]),"",[1]!ScoutingData[[#This Row],[teamNumber]])</f>
        <v/>
      </c>
      <c r="B937" t="str">
        <f>IF(ISBLANK([1]!ScoutingData[[#This Row],[matchLevel]]),"",[1]!ScoutingData[[#This Row],[matchLevel]])</f>
        <v/>
      </c>
      <c r="C937" t="str">
        <f>IF(ISBLANK([1]!ScoutingData[[#This Row],[matchNumber]]),"",[1]!ScoutingData[[#This Row],[matchNumber]])</f>
        <v/>
      </c>
      <c r="D937" t="str">
        <f>IF(ISBLANK([1]!ScoutingData[[#This Row],[event]]),"",[1]!ScoutingData[[#This Row],[event]])</f>
        <v/>
      </c>
      <c r="E937" t="str">
        <f>IF(ISBLANK([1]!ScoutingData[[#This Row],[position]]),"",[1]!ScoutingData[[#This Row],[position]])</f>
        <v/>
      </c>
      <c r="F937" t="str">
        <f>IF(ISBLANK([1]!ScoutingData[[#This Row],[leaveStartingZone]]),"",[1]!ScoutingData[[#This Row],[leaveStartingZone]])</f>
        <v/>
      </c>
      <c r="G937" t="str">
        <f>IF(ISBLANK([1]!ScoutingData[[#This Row],[autoAmpScore]]),"",[1]!ScoutingData[[#This Row],[autoAmpScore]])</f>
        <v/>
      </c>
      <c r="H937" t="str">
        <f>IF(ISBLANK([1]!ScoutingData[[#This Row],[autoSpeakerScore]]),"",[1]!ScoutingData[[#This Row],[autoSpeakerScore]])</f>
        <v/>
      </c>
    </row>
    <row r="938" spans="1:8" x14ac:dyDescent="0.45">
      <c r="A938" t="str">
        <f>IF(ISBLANK([1]!ScoutingData[[#This Row],[teamNumber]]),"",[1]!ScoutingData[[#This Row],[teamNumber]])</f>
        <v/>
      </c>
      <c r="B938" t="str">
        <f>IF(ISBLANK([1]!ScoutingData[[#This Row],[matchLevel]]),"",[1]!ScoutingData[[#This Row],[matchLevel]])</f>
        <v/>
      </c>
      <c r="C938" t="str">
        <f>IF(ISBLANK([1]!ScoutingData[[#This Row],[matchNumber]]),"",[1]!ScoutingData[[#This Row],[matchNumber]])</f>
        <v/>
      </c>
      <c r="D938" t="str">
        <f>IF(ISBLANK([1]!ScoutingData[[#This Row],[event]]),"",[1]!ScoutingData[[#This Row],[event]])</f>
        <v/>
      </c>
      <c r="E938" t="str">
        <f>IF(ISBLANK([1]!ScoutingData[[#This Row],[position]]),"",[1]!ScoutingData[[#This Row],[position]])</f>
        <v/>
      </c>
      <c r="F938" t="str">
        <f>IF(ISBLANK([1]!ScoutingData[[#This Row],[leaveStartingZone]]),"",[1]!ScoutingData[[#This Row],[leaveStartingZone]])</f>
        <v/>
      </c>
      <c r="G938" t="str">
        <f>IF(ISBLANK([1]!ScoutingData[[#This Row],[autoAmpScore]]),"",[1]!ScoutingData[[#This Row],[autoAmpScore]])</f>
        <v/>
      </c>
      <c r="H938" t="str">
        <f>IF(ISBLANK([1]!ScoutingData[[#This Row],[autoSpeakerScore]]),"",[1]!ScoutingData[[#This Row],[autoSpeakerScore]])</f>
        <v/>
      </c>
    </row>
    <row r="939" spans="1:8" x14ac:dyDescent="0.45">
      <c r="A939" t="str">
        <f>IF(ISBLANK([1]!ScoutingData[[#This Row],[teamNumber]]),"",[1]!ScoutingData[[#This Row],[teamNumber]])</f>
        <v/>
      </c>
      <c r="B939" t="str">
        <f>IF(ISBLANK([1]!ScoutingData[[#This Row],[matchLevel]]),"",[1]!ScoutingData[[#This Row],[matchLevel]])</f>
        <v/>
      </c>
      <c r="C939" t="str">
        <f>IF(ISBLANK([1]!ScoutingData[[#This Row],[matchNumber]]),"",[1]!ScoutingData[[#This Row],[matchNumber]])</f>
        <v/>
      </c>
      <c r="D939" t="str">
        <f>IF(ISBLANK([1]!ScoutingData[[#This Row],[event]]),"",[1]!ScoutingData[[#This Row],[event]])</f>
        <v/>
      </c>
      <c r="E939" t="str">
        <f>IF(ISBLANK([1]!ScoutingData[[#This Row],[position]]),"",[1]!ScoutingData[[#This Row],[position]])</f>
        <v/>
      </c>
      <c r="F939" t="str">
        <f>IF(ISBLANK([1]!ScoutingData[[#This Row],[leaveStartingZone]]),"",[1]!ScoutingData[[#This Row],[leaveStartingZone]])</f>
        <v/>
      </c>
      <c r="G939" t="str">
        <f>IF(ISBLANK([1]!ScoutingData[[#This Row],[autoAmpScore]]),"",[1]!ScoutingData[[#This Row],[autoAmpScore]])</f>
        <v/>
      </c>
      <c r="H939" t="str">
        <f>IF(ISBLANK([1]!ScoutingData[[#This Row],[autoSpeakerScore]]),"",[1]!ScoutingData[[#This Row],[autoSpeakerScore]])</f>
        <v/>
      </c>
    </row>
    <row r="940" spans="1:8" x14ac:dyDescent="0.45">
      <c r="A940" t="str">
        <f>IF(ISBLANK([1]!ScoutingData[[#This Row],[teamNumber]]),"",[1]!ScoutingData[[#This Row],[teamNumber]])</f>
        <v/>
      </c>
      <c r="B940" t="str">
        <f>IF(ISBLANK([1]!ScoutingData[[#This Row],[matchLevel]]),"",[1]!ScoutingData[[#This Row],[matchLevel]])</f>
        <v/>
      </c>
      <c r="C940" t="str">
        <f>IF(ISBLANK([1]!ScoutingData[[#This Row],[matchNumber]]),"",[1]!ScoutingData[[#This Row],[matchNumber]])</f>
        <v/>
      </c>
      <c r="D940" t="str">
        <f>IF(ISBLANK([1]!ScoutingData[[#This Row],[event]]),"",[1]!ScoutingData[[#This Row],[event]])</f>
        <v/>
      </c>
      <c r="E940" t="str">
        <f>IF(ISBLANK([1]!ScoutingData[[#This Row],[position]]),"",[1]!ScoutingData[[#This Row],[position]])</f>
        <v/>
      </c>
      <c r="F940" t="str">
        <f>IF(ISBLANK([1]!ScoutingData[[#This Row],[leaveStartingZone]]),"",[1]!ScoutingData[[#This Row],[leaveStartingZone]])</f>
        <v/>
      </c>
      <c r="G940" t="str">
        <f>IF(ISBLANK([1]!ScoutingData[[#This Row],[autoAmpScore]]),"",[1]!ScoutingData[[#This Row],[autoAmpScore]])</f>
        <v/>
      </c>
      <c r="H940" t="str">
        <f>IF(ISBLANK([1]!ScoutingData[[#This Row],[autoSpeakerScore]]),"",[1]!ScoutingData[[#This Row],[autoSpeakerScore]])</f>
        <v/>
      </c>
    </row>
    <row r="941" spans="1:8" x14ac:dyDescent="0.45">
      <c r="A941" t="str">
        <f>IF(ISBLANK([1]!ScoutingData[[#This Row],[teamNumber]]),"",[1]!ScoutingData[[#This Row],[teamNumber]])</f>
        <v/>
      </c>
      <c r="B941" t="str">
        <f>IF(ISBLANK([1]!ScoutingData[[#This Row],[matchLevel]]),"",[1]!ScoutingData[[#This Row],[matchLevel]])</f>
        <v/>
      </c>
      <c r="C941" t="str">
        <f>IF(ISBLANK([1]!ScoutingData[[#This Row],[matchNumber]]),"",[1]!ScoutingData[[#This Row],[matchNumber]])</f>
        <v/>
      </c>
      <c r="D941" t="str">
        <f>IF(ISBLANK([1]!ScoutingData[[#This Row],[event]]),"",[1]!ScoutingData[[#This Row],[event]])</f>
        <v/>
      </c>
      <c r="E941" t="str">
        <f>IF(ISBLANK([1]!ScoutingData[[#This Row],[position]]),"",[1]!ScoutingData[[#This Row],[position]])</f>
        <v/>
      </c>
      <c r="F941" t="str">
        <f>IF(ISBLANK([1]!ScoutingData[[#This Row],[leaveStartingZone]]),"",[1]!ScoutingData[[#This Row],[leaveStartingZone]])</f>
        <v/>
      </c>
      <c r="G941" t="str">
        <f>IF(ISBLANK([1]!ScoutingData[[#This Row],[autoAmpScore]]),"",[1]!ScoutingData[[#This Row],[autoAmpScore]])</f>
        <v/>
      </c>
      <c r="H941" t="str">
        <f>IF(ISBLANK([1]!ScoutingData[[#This Row],[autoSpeakerScore]]),"",[1]!ScoutingData[[#This Row],[autoSpeakerScore]])</f>
        <v/>
      </c>
    </row>
    <row r="942" spans="1:8" x14ac:dyDescent="0.45">
      <c r="A942" t="str">
        <f>IF(ISBLANK([1]!ScoutingData[[#This Row],[teamNumber]]),"",[1]!ScoutingData[[#This Row],[teamNumber]])</f>
        <v/>
      </c>
      <c r="B942" t="str">
        <f>IF(ISBLANK([1]!ScoutingData[[#This Row],[matchLevel]]),"",[1]!ScoutingData[[#This Row],[matchLevel]])</f>
        <v/>
      </c>
      <c r="C942" t="str">
        <f>IF(ISBLANK([1]!ScoutingData[[#This Row],[matchNumber]]),"",[1]!ScoutingData[[#This Row],[matchNumber]])</f>
        <v/>
      </c>
      <c r="D942" t="str">
        <f>IF(ISBLANK([1]!ScoutingData[[#This Row],[event]]),"",[1]!ScoutingData[[#This Row],[event]])</f>
        <v/>
      </c>
      <c r="E942" t="str">
        <f>IF(ISBLANK([1]!ScoutingData[[#This Row],[position]]),"",[1]!ScoutingData[[#This Row],[position]])</f>
        <v/>
      </c>
      <c r="F942" t="str">
        <f>IF(ISBLANK([1]!ScoutingData[[#This Row],[leaveStartingZone]]),"",[1]!ScoutingData[[#This Row],[leaveStartingZone]])</f>
        <v/>
      </c>
      <c r="G942" t="str">
        <f>IF(ISBLANK([1]!ScoutingData[[#This Row],[autoAmpScore]]),"",[1]!ScoutingData[[#This Row],[autoAmpScore]])</f>
        <v/>
      </c>
      <c r="H942" t="str">
        <f>IF(ISBLANK([1]!ScoutingData[[#This Row],[autoSpeakerScore]]),"",[1]!ScoutingData[[#This Row],[autoSpeakerScore]])</f>
        <v/>
      </c>
    </row>
    <row r="943" spans="1:8" x14ac:dyDescent="0.45">
      <c r="A943" t="str">
        <f>IF(ISBLANK([1]!ScoutingData[[#This Row],[teamNumber]]),"",[1]!ScoutingData[[#This Row],[teamNumber]])</f>
        <v/>
      </c>
      <c r="B943" t="str">
        <f>IF(ISBLANK([1]!ScoutingData[[#This Row],[matchLevel]]),"",[1]!ScoutingData[[#This Row],[matchLevel]])</f>
        <v/>
      </c>
      <c r="C943" t="str">
        <f>IF(ISBLANK([1]!ScoutingData[[#This Row],[matchNumber]]),"",[1]!ScoutingData[[#This Row],[matchNumber]])</f>
        <v/>
      </c>
      <c r="D943" t="str">
        <f>IF(ISBLANK([1]!ScoutingData[[#This Row],[event]]),"",[1]!ScoutingData[[#This Row],[event]])</f>
        <v/>
      </c>
      <c r="E943" t="str">
        <f>IF(ISBLANK([1]!ScoutingData[[#This Row],[position]]),"",[1]!ScoutingData[[#This Row],[position]])</f>
        <v/>
      </c>
      <c r="F943" t="str">
        <f>IF(ISBLANK([1]!ScoutingData[[#This Row],[leaveStartingZone]]),"",[1]!ScoutingData[[#This Row],[leaveStartingZone]])</f>
        <v/>
      </c>
      <c r="G943" t="str">
        <f>IF(ISBLANK([1]!ScoutingData[[#This Row],[autoAmpScore]]),"",[1]!ScoutingData[[#This Row],[autoAmpScore]])</f>
        <v/>
      </c>
      <c r="H943" t="str">
        <f>IF(ISBLANK([1]!ScoutingData[[#This Row],[autoSpeakerScore]]),"",[1]!ScoutingData[[#This Row],[autoSpeakerScore]])</f>
        <v/>
      </c>
    </row>
    <row r="944" spans="1:8" x14ac:dyDescent="0.45">
      <c r="A944" t="str">
        <f>IF(ISBLANK([1]!ScoutingData[[#This Row],[teamNumber]]),"",[1]!ScoutingData[[#This Row],[teamNumber]])</f>
        <v/>
      </c>
      <c r="B944" t="str">
        <f>IF(ISBLANK([1]!ScoutingData[[#This Row],[matchLevel]]),"",[1]!ScoutingData[[#This Row],[matchLevel]])</f>
        <v/>
      </c>
      <c r="C944" t="str">
        <f>IF(ISBLANK([1]!ScoutingData[[#This Row],[matchNumber]]),"",[1]!ScoutingData[[#This Row],[matchNumber]])</f>
        <v/>
      </c>
      <c r="D944" t="str">
        <f>IF(ISBLANK([1]!ScoutingData[[#This Row],[event]]),"",[1]!ScoutingData[[#This Row],[event]])</f>
        <v/>
      </c>
      <c r="E944" t="str">
        <f>IF(ISBLANK([1]!ScoutingData[[#This Row],[position]]),"",[1]!ScoutingData[[#This Row],[position]])</f>
        <v/>
      </c>
      <c r="F944" t="str">
        <f>IF(ISBLANK([1]!ScoutingData[[#This Row],[leaveStartingZone]]),"",[1]!ScoutingData[[#This Row],[leaveStartingZone]])</f>
        <v/>
      </c>
      <c r="G944" t="str">
        <f>IF(ISBLANK([1]!ScoutingData[[#This Row],[autoAmpScore]]),"",[1]!ScoutingData[[#This Row],[autoAmpScore]])</f>
        <v/>
      </c>
      <c r="H944" t="str">
        <f>IF(ISBLANK([1]!ScoutingData[[#This Row],[autoSpeakerScore]]),"",[1]!ScoutingData[[#This Row],[autoSpeakerScore]])</f>
        <v/>
      </c>
    </row>
    <row r="945" spans="1:8" x14ac:dyDescent="0.45">
      <c r="A945" t="str">
        <f>IF(ISBLANK([1]!ScoutingData[[#This Row],[teamNumber]]),"",[1]!ScoutingData[[#This Row],[teamNumber]])</f>
        <v/>
      </c>
      <c r="B945" t="str">
        <f>IF(ISBLANK([1]!ScoutingData[[#This Row],[matchLevel]]),"",[1]!ScoutingData[[#This Row],[matchLevel]])</f>
        <v/>
      </c>
      <c r="C945" t="str">
        <f>IF(ISBLANK([1]!ScoutingData[[#This Row],[matchNumber]]),"",[1]!ScoutingData[[#This Row],[matchNumber]])</f>
        <v/>
      </c>
      <c r="D945" t="str">
        <f>IF(ISBLANK([1]!ScoutingData[[#This Row],[event]]),"",[1]!ScoutingData[[#This Row],[event]])</f>
        <v/>
      </c>
      <c r="E945" t="str">
        <f>IF(ISBLANK([1]!ScoutingData[[#This Row],[position]]),"",[1]!ScoutingData[[#This Row],[position]])</f>
        <v/>
      </c>
      <c r="F945" t="str">
        <f>IF(ISBLANK([1]!ScoutingData[[#This Row],[leaveStartingZone]]),"",[1]!ScoutingData[[#This Row],[leaveStartingZone]])</f>
        <v/>
      </c>
      <c r="G945" t="str">
        <f>IF(ISBLANK([1]!ScoutingData[[#This Row],[autoAmpScore]]),"",[1]!ScoutingData[[#This Row],[autoAmpScore]])</f>
        <v/>
      </c>
      <c r="H945" t="str">
        <f>IF(ISBLANK([1]!ScoutingData[[#This Row],[autoSpeakerScore]]),"",[1]!ScoutingData[[#This Row],[autoSpeakerScore]])</f>
        <v/>
      </c>
    </row>
    <row r="946" spans="1:8" x14ac:dyDescent="0.45">
      <c r="A946" t="str">
        <f>IF(ISBLANK([1]!ScoutingData[[#This Row],[teamNumber]]),"",[1]!ScoutingData[[#This Row],[teamNumber]])</f>
        <v/>
      </c>
      <c r="B946" t="str">
        <f>IF(ISBLANK([1]!ScoutingData[[#This Row],[matchLevel]]),"",[1]!ScoutingData[[#This Row],[matchLevel]])</f>
        <v/>
      </c>
      <c r="C946" t="str">
        <f>IF(ISBLANK([1]!ScoutingData[[#This Row],[matchNumber]]),"",[1]!ScoutingData[[#This Row],[matchNumber]])</f>
        <v/>
      </c>
      <c r="D946" t="str">
        <f>IF(ISBLANK([1]!ScoutingData[[#This Row],[event]]),"",[1]!ScoutingData[[#This Row],[event]])</f>
        <v/>
      </c>
      <c r="E946" t="str">
        <f>IF(ISBLANK([1]!ScoutingData[[#This Row],[position]]),"",[1]!ScoutingData[[#This Row],[position]])</f>
        <v/>
      </c>
      <c r="F946" t="str">
        <f>IF(ISBLANK([1]!ScoutingData[[#This Row],[leaveStartingZone]]),"",[1]!ScoutingData[[#This Row],[leaveStartingZone]])</f>
        <v/>
      </c>
      <c r="G946" t="str">
        <f>IF(ISBLANK([1]!ScoutingData[[#This Row],[autoAmpScore]]),"",[1]!ScoutingData[[#This Row],[autoAmpScore]])</f>
        <v/>
      </c>
      <c r="H946" t="str">
        <f>IF(ISBLANK([1]!ScoutingData[[#This Row],[autoSpeakerScore]]),"",[1]!ScoutingData[[#This Row],[autoSpeakerScore]])</f>
        <v/>
      </c>
    </row>
    <row r="947" spans="1:8" x14ac:dyDescent="0.45">
      <c r="A947" t="str">
        <f>IF(ISBLANK([1]!ScoutingData[[#This Row],[teamNumber]]),"",[1]!ScoutingData[[#This Row],[teamNumber]])</f>
        <v/>
      </c>
      <c r="B947" t="str">
        <f>IF(ISBLANK([1]!ScoutingData[[#This Row],[matchLevel]]),"",[1]!ScoutingData[[#This Row],[matchLevel]])</f>
        <v/>
      </c>
      <c r="C947" t="str">
        <f>IF(ISBLANK([1]!ScoutingData[[#This Row],[matchNumber]]),"",[1]!ScoutingData[[#This Row],[matchNumber]])</f>
        <v/>
      </c>
      <c r="D947" t="str">
        <f>IF(ISBLANK([1]!ScoutingData[[#This Row],[event]]),"",[1]!ScoutingData[[#This Row],[event]])</f>
        <v/>
      </c>
      <c r="E947" t="str">
        <f>IF(ISBLANK([1]!ScoutingData[[#This Row],[position]]),"",[1]!ScoutingData[[#This Row],[position]])</f>
        <v/>
      </c>
      <c r="F947" t="str">
        <f>IF(ISBLANK([1]!ScoutingData[[#This Row],[leaveStartingZone]]),"",[1]!ScoutingData[[#This Row],[leaveStartingZone]])</f>
        <v/>
      </c>
      <c r="G947" t="str">
        <f>IF(ISBLANK([1]!ScoutingData[[#This Row],[autoAmpScore]]),"",[1]!ScoutingData[[#This Row],[autoAmpScore]])</f>
        <v/>
      </c>
      <c r="H947" t="str">
        <f>IF(ISBLANK([1]!ScoutingData[[#This Row],[autoSpeakerScore]]),"",[1]!ScoutingData[[#This Row],[autoSpeakerScore]])</f>
        <v/>
      </c>
    </row>
    <row r="948" spans="1:8" x14ac:dyDescent="0.45">
      <c r="A948" t="str">
        <f>IF(ISBLANK([1]!ScoutingData[[#This Row],[teamNumber]]),"",[1]!ScoutingData[[#This Row],[teamNumber]])</f>
        <v/>
      </c>
      <c r="B948" t="str">
        <f>IF(ISBLANK([1]!ScoutingData[[#This Row],[matchLevel]]),"",[1]!ScoutingData[[#This Row],[matchLevel]])</f>
        <v/>
      </c>
      <c r="C948" t="str">
        <f>IF(ISBLANK([1]!ScoutingData[[#This Row],[matchNumber]]),"",[1]!ScoutingData[[#This Row],[matchNumber]])</f>
        <v/>
      </c>
      <c r="D948" t="str">
        <f>IF(ISBLANK([1]!ScoutingData[[#This Row],[event]]),"",[1]!ScoutingData[[#This Row],[event]])</f>
        <v/>
      </c>
      <c r="E948" t="str">
        <f>IF(ISBLANK([1]!ScoutingData[[#This Row],[position]]),"",[1]!ScoutingData[[#This Row],[position]])</f>
        <v/>
      </c>
      <c r="F948" t="str">
        <f>IF(ISBLANK([1]!ScoutingData[[#This Row],[leaveStartingZone]]),"",[1]!ScoutingData[[#This Row],[leaveStartingZone]])</f>
        <v/>
      </c>
      <c r="G948" t="str">
        <f>IF(ISBLANK([1]!ScoutingData[[#This Row],[autoAmpScore]]),"",[1]!ScoutingData[[#This Row],[autoAmpScore]])</f>
        <v/>
      </c>
      <c r="H948" t="str">
        <f>IF(ISBLANK([1]!ScoutingData[[#This Row],[autoSpeakerScore]]),"",[1]!ScoutingData[[#This Row],[autoSpeakerScore]])</f>
        <v/>
      </c>
    </row>
    <row r="949" spans="1:8" x14ac:dyDescent="0.45">
      <c r="A949" t="str">
        <f>IF(ISBLANK([1]!ScoutingData[[#This Row],[teamNumber]]),"",[1]!ScoutingData[[#This Row],[teamNumber]])</f>
        <v/>
      </c>
      <c r="B949" t="str">
        <f>IF(ISBLANK([1]!ScoutingData[[#This Row],[matchLevel]]),"",[1]!ScoutingData[[#This Row],[matchLevel]])</f>
        <v/>
      </c>
      <c r="C949" t="str">
        <f>IF(ISBLANK([1]!ScoutingData[[#This Row],[matchNumber]]),"",[1]!ScoutingData[[#This Row],[matchNumber]])</f>
        <v/>
      </c>
      <c r="D949" t="str">
        <f>IF(ISBLANK([1]!ScoutingData[[#This Row],[event]]),"",[1]!ScoutingData[[#This Row],[event]])</f>
        <v/>
      </c>
      <c r="E949" t="str">
        <f>IF(ISBLANK([1]!ScoutingData[[#This Row],[position]]),"",[1]!ScoutingData[[#This Row],[position]])</f>
        <v/>
      </c>
      <c r="F949" t="str">
        <f>IF(ISBLANK([1]!ScoutingData[[#This Row],[leaveStartingZone]]),"",[1]!ScoutingData[[#This Row],[leaveStartingZone]])</f>
        <v/>
      </c>
      <c r="G949" t="str">
        <f>IF(ISBLANK([1]!ScoutingData[[#This Row],[autoAmpScore]]),"",[1]!ScoutingData[[#This Row],[autoAmpScore]])</f>
        <v/>
      </c>
      <c r="H949" t="str">
        <f>IF(ISBLANK([1]!ScoutingData[[#This Row],[autoSpeakerScore]]),"",[1]!ScoutingData[[#This Row],[autoSpeakerScore]])</f>
        <v/>
      </c>
    </row>
    <row r="950" spans="1:8" x14ac:dyDescent="0.45">
      <c r="A950" t="str">
        <f>IF(ISBLANK([1]!ScoutingData[[#This Row],[teamNumber]]),"",[1]!ScoutingData[[#This Row],[teamNumber]])</f>
        <v/>
      </c>
      <c r="B950" t="str">
        <f>IF(ISBLANK([1]!ScoutingData[[#This Row],[matchLevel]]),"",[1]!ScoutingData[[#This Row],[matchLevel]])</f>
        <v/>
      </c>
      <c r="C950" t="str">
        <f>IF(ISBLANK([1]!ScoutingData[[#This Row],[matchNumber]]),"",[1]!ScoutingData[[#This Row],[matchNumber]])</f>
        <v/>
      </c>
      <c r="D950" t="str">
        <f>IF(ISBLANK([1]!ScoutingData[[#This Row],[event]]),"",[1]!ScoutingData[[#This Row],[event]])</f>
        <v/>
      </c>
      <c r="E950" t="str">
        <f>IF(ISBLANK([1]!ScoutingData[[#This Row],[position]]),"",[1]!ScoutingData[[#This Row],[position]])</f>
        <v/>
      </c>
      <c r="F950" t="str">
        <f>IF(ISBLANK([1]!ScoutingData[[#This Row],[leaveStartingZone]]),"",[1]!ScoutingData[[#This Row],[leaveStartingZone]])</f>
        <v/>
      </c>
      <c r="G950" t="str">
        <f>IF(ISBLANK([1]!ScoutingData[[#This Row],[autoAmpScore]]),"",[1]!ScoutingData[[#This Row],[autoAmpScore]])</f>
        <v/>
      </c>
      <c r="H950" t="str">
        <f>IF(ISBLANK([1]!ScoutingData[[#This Row],[autoSpeakerScore]]),"",[1]!ScoutingData[[#This Row],[autoSpeakerScore]])</f>
        <v/>
      </c>
    </row>
    <row r="951" spans="1:8" x14ac:dyDescent="0.45">
      <c r="A951" t="str">
        <f>IF(ISBLANK([1]!ScoutingData[[#This Row],[teamNumber]]),"",[1]!ScoutingData[[#This Row],[teamNumber]])</f>
        <v/>
      </c>
      <c r="B951" t="str">
        <f>IF(ISBLANK([1]!ScoutingData[[#This Row],[matchLevel]]),"",[1]!ScoutingData[[#This Row],[matchLevel]])</f>
        <v/>
      </c>
      <c r="C951" t="str">
        <f>IF(ISBLANK([1]!ScoutingData[[#This Row],[matchNumber]]),"",[1]!ScoutingData[[#This Row],[matchNumber]])</f>
        <v/>
      </c>
      <c r="D951" t="str">
        <f>IF(ISBLANK([1]!ScoutingData[[#This Row],[event]]),"",[1]!ScoutingData[[#This Row],[event]])</f>
        <v/>
      </c>
      <c r="E951" t="str">
        <f>IF(ISBLANK([1]!ScoutingData[[#This Row],[position]]),"",[1]!ScoutingData[[#This Row],[position]])</f>
        <v/>
      </c>
      <c r="F951" t="str">
        <f>IF(ISBLANK([1]!ScoutingData[[#This Row],[leaveStartingZone]]),"",[1]!ScoutingData[[#This Row],[leaveStartingZone]])</f>
        <v/>
      </c>
      <c r="G951" t="str">
        <f>IF(ISBLANK([1]!ScoutingData[[#This Row],[autoAmpScore]]),"",[1]!ScoutingData[[#This Row],[autoAmpScore]])</f>
        <v/>
      </c>
      <c r="H951" t="str">
        <f>IF(ISBLANK([1]!ScoutingData[[#This Row],[autoSpeakerScore]]),"",[1]!ScoutingData[[#This Row],[autoSpeakerScore]])</f>
        <v/>
      </c>
    </row>
    <row r="952" spans="1:8" x14ac:dyDescent="0.45">
      <c r="A952" t="str">
        <f>IF(ISBLANK([1]!ScoutingData[[#This Row],[teamNumber]]),"",[1]!ScoutingData[[#This Row],[teamNumber]])</f>
        <v/>
      </c>
      <c r="B952" t="str">
        <f>IF(ISBLANK([1]!ScoutingData[[#This Row],[matchLevel]]),"",[1]!ScoutingData[[#This Row],[matchLevel]])</f>
        <v/>
      </c>
      <c r="C952" t="str">
        <f>IF(ISBLANK([1]!ScoutingData[[#This Row],[matchNumber]]),"",[1]!ScoutingData[[#This Row],[matchNumber]])</f>
        <v/>
      </c>
      <c r="D952" t="str">
        <f>IF(ISBLANK([1]!ScoutingData[[#This Row],[event]]),"",[1]!ScoutingData[[#This Row],[event]])</f>
        <v/>
      </c>
      <c r="E952" t="str">
        <f>IF(ISBLANK([1]!ScoutingData[[#This Row],[position]]),"",[1]!ScoutingData[[#This Row],[position]])</f>
        <v/>
      </c>
      <c r="F952" t="str">
        <f>IF(ISBLANK([1]!ScoutingData[[#This Row],[leaveStartingZone]]),"",[1]!ScoutingData[[#This Row],[leaveStartingZone]])</f>
        <v/>
      </c>
      <c r="G952" t="str">
        <f>IF(ISBLANK([1]!ScoutingData[[#This Row],[autoAmpScore]]),"",[1]!ScoutingData[[#This Row],[autoAmpScore]])</f>
        <v/>
      </c>
      <c r="H952" t="str">
        <f>IF(ISBLANK([1]!ScoutingData[[#This Row],[autoSpeakerScore]]),"",[1]!ScoutingData[[#This Row],[autoSpeakerScore]])</f>
        <v/>
      </c>
    </row>
    <row r="953" spans="1:8" x14ac:dyDescent="0.45">
      <c r="A953" t="str">
        <f>IF(ISBLANK([1]!ScoutingData[[#This Row],[teamNumber]]),"",[1]!ScoutingData[[#This Row],[teamNumber]])</f>
        <v/>
      </c>
      <c r="B953" t="str">
        <f>IF(ISBLANK([1]!ScoutingData[[#This Row],[matchLevel]]),"",[1]!ScoutingData[[#This Row],[matchLevel]])</f>
        <v/>
      </c>
      <c r="C953" t="str">
        <f>IF(ISBLANK([1]!ScoutingData[[#This Row],[matchNumber]]),"",[1]!ScoutingData[[#This Row],[matchNumber]])</f>
        <v/>
      </c>
      <c r="D953" t="str">
        <f>IF(ISBLANK([1]!ScoutingData[[#This Row],[event]]),"",[1]!ScoutingData[[#This Row],[event]])</f>
        <v/>
      </c>
      <c r="E953" t="str">
        <f>IF(ISBLANK([1]!ScoutingData[[#This Row],[position]]),"",[1]!ScoutingData[[#This Row],[position]])</f>
        <v/>
      </c>
      <c r="F953" t="str">
        <f>IF(ISBLANK([1]!ScoutingData[[#This Row],[leaveStartingZone]]),"",[1]!ScoutingData[[#This Row],[leaveStartingZone]])</f>
        <v/>
      </c>
      <c r="G953" t="str">
        <f>IF(ISBLANK([1]!ScoutingData[[#This Row],[autoAmpScore]]),"",[1]!ScoutingData[[#This Row],[autoAmpScore]])</f>
        <v/>
      </c>
      <c r="H953" t="str">
        <f>IF(ISBLANK([1]!ScoutingData[[#This Row],[autoSpeakerScore]]),"",[1]!ScoutingData[[#This Row],[autoSpeakerScore]])</f>
        <v/>
      </c>
    </row>
    <row r="954" spans="1:8" x14ac:dyDescent="0.45">
      <c r="A954" t="str">
        <f>IF(ISBLANK([1]!ScoutingData[[#This Row],[teamNumber]]),"",[1]!ScoutingData[[#This Row],[teamNumber]])</f>
        <v/>
      </c>
      <c r="B954" t="str">
        <f>IF(ISBLANK([1]!ScoutingData[[#This Row],[matchLevel]]),"",[1]!ScoutingData[[#This Row],[matchLevel]])</f>
        <v/>
      </c>
      <c r="C954" t="str">
        <f>IF(ISBLANK([1]!ScoutingData[[#This Row],[matchNumber]]),"",[1]!ScoutingData[[#This Row],[matchNumber]])</f>
        <v/>
      </c>
      <c r="D954" t="str">
        <f>IF(ISBLANK([1]!ScoutingData[[#This Row],[event]]),"",[1]!ScoutingData[[#This Row],[event]])</f>
        <v/>
      </c>
      <c r="E954" t="str">
        <f>IF(ISBLANK([1]!ScoutingData[[#This Row],[position]]),"",[1]!ScoutingData[[#This Row],[position]])</f>
        <v/>
      </c>
      <c r="F954" t="str">
        <f>IF(ISBLANK([1]!ScoutingData[[#This Row],[leaveStartingZone]]),"",[1]!ScoutingData[[#This Row],[leaveStartingZone]])</f>
        <v/>
      </c>
      <c r="G954" t="str">
        <f>IF(ISBLANK([1]!ScoutingData[[#This Row],[autoAmpScore]]),"",[1]!ScoutingData[[#This Row],[autoAmpScore]])</f>
        <v/>
      </c>
      <c r="H954" t="str">
        <f>IF(ISBLANK([1]!ScoutingData[[#This Row],[autoSpeakerScore]]),"",[1]!ScoutingData[[#This Row],[autoSpeakerScore]])</f>
        <v/>
      </c>
    </row>
    <row r="955" spans="1:8" x14ac:dyDescent="0.45">
      <c r="A955" t="str">
        <f>IF(ISBLANK([1]!ScoutingData[[#This Row],[teamNumber]]),"",[1]!ScoutingData[[#This Row],[teamNumber]])</f>
        <v/>
      </c>
      <c r="B955" t="str">
        <f>IF(ISBLANK([1]!ScoutingData[[#This Row],[matchLevel]]),"",[1]!ScoutingData[[#This Row],[matchLevel]])</f>
        <v/>
      </c>
      <c r="C955" t="str">
        <f>IF(ISBLANK([1]!ScoutingData[[#This Row],[matchNumber]]),"",[1]!ScoutingData[[#This Row],[matchNumber]])</f>
        <v/>
      </c>
      <c r="D955" t="str">
        <f>IF(ISBLANK([1]!ScoutingData[[#This Row],[event]]),"",[1]!ScoutingData[[#This Row],[event]])</f>
        <v/>
      </c>
      <c r="E955" t="str">
        <f>IF(ISBLANK([1]!ScoutingData[[#This Row],[position]]),"",[1]!ScoutingData[[#This Row],[position]])</f>
        <v/>
      </c>
      <c r="F955" t="str">
        <f>IF(ISBLANK([1]!ScoutingData[[#This Row],[leaveStartingZone]]),"",[1]!ScoutingData[[#This Row],[leaveStartingZone]])</f>
        <v/>
      </c>
      <c r="G955" t="str">
        <f>IF(ISBLANK([1]!ScoutingData[[#This Row],[autoAmpScore]]),"",[1]!ScoutingData[[#This Row],[autoAmpScore]])</f>
        <v/>
      </c>
      <c r="H955" t="str">
        <f>IF(ISBLANK([1]!ScoutingData[[#This Row],[autoSpeakerScore]]),"",[1]!ScoutingData[[#This Row],[autoSpeakerScore]])</f>
        <v/>
      </c>
    </row>
    <row r="956" spans="1:8" x14ac:dyDescent="0.45">
      <c r="A956" t="str">
        <f>IF(ISBLANK([1]!ScoutingData[[#This Row],[teamNumber]]),"",[1]!ScoutingData[[#This Row],[teamNumber]])</f>
        <v/>
      </c>
      <c r="B956" t="str">
        <f>IF(ISBLANK([1]!ScoutingData[[#This Row],[matchLevel]]),"",[1]!ScoutingData[[#This Row],[matchLevel]])</f>
        <v/>
      </c>
      <c r="C956" t="str">
        <f>IF(ISBLANK([1]!ScoutingData[[#This Row],[matchNumber]]),"",[1]!ScoutingData[[#This Row],[matchNumber]])</f>
        <v/>
      </c>
      <c r="D956" t="str">
        <f>IF(ISBLANK([1]!ScoutingData[[#This Row],[event]]),"",[1]!ScoutingData[[#This Row],[event]])</f>
        <v/>
      </c>
      <c r="E956" t="str">
        <f>IF(ISBLANK([1]!ScoutingData[[#This Row],[position]]),"",[1]!ScoutingData[[#This Row],[position]])</f>
        <v/>
      </c>
      <c r="F956" t="str">
        <f>IF(ISBLANK([1]!ScoutingData[[#This Row],[leaveStartingZone]]),"",[1]!ScoutingData[[#This Row],[leaveStartingZone]])</f>
        <v/>
      </c>
      <c r="G956" t="str">
        <f>IF(ISBLANK([1]!ScoutingData[[#This Row],[autoAmpScore]]),"",[1]!ScoutingData[[#This Row],[autoAmpScore]])</f>
        <v/>
      </c>
      <c r="H956" t="str">
        <f>IF(ISBLANK([1]!ScoutingData[[#This Row],[autoSpeakerScore]]),"",[1]!ScoutingData[[#This Row],[autoSpeakerScore]])</f>
        <v/>
      </c>
    </row>
    <row r="957" spans="1:8" x14ac:dyDescent="0.45">
      <c r="A957" t="str">
        <f>IF(ISBLANK([1]!ScoutingData[[#This Row],[teamNumber]]),"",[1]!ScoutingData[[#This Row],[teamNumber]])</f>
        <v/>
      </c>
      <c r="B957" t="str">
        <f>IF(ISBLANK([1]!ScoutingData[[#This Row],[matchLevel]]),"",[1]!ScoutingData[[#This Row],[matchLevel]])</f>
        <v/>
      </c>
      <c r="C957" t="str">
        <f>IF(ISBLANK([1]!ScoutingData[[#This Row],[matchNumber]]),"",[1]!ScoutingData[[#This Row],[matchNumber]])</f>
        <v/>
      </c>
      <c r="D957" t="str">
        <f>IF(ISBLANK([1]!ScoutingData[[#This Row],[event]]),"",[1]!ScoutingData[[#This Row],[event]])</f>
        <v/>
      </c>
      <c r="E957" t="str">
        <f>IF(ISBLANK([1]!ScoutingData[[#This Row],[position]]),"",[1]!ScoutingData[[#This Row],[position]])</f>
        <v/>
      </c>
      <c r="F957" t="str">
        <f>IF(ISBLANK([1]!ScoutingData[[#This Row],[leaveStartingZone]]),"",[1]!ScoutingData[[#This Row],[leaveStartingZone]])</f>
        <v/>
      </c>
      <c r="G957" t="str">
        <f>IF(ISBLANK([1]!ScoutingData[[#This Row],[autoAmpScore]]),"",[1]!ScoutingData[[#This Row],[autoAmpScore]])</f>
        <v/>
      </c>
      <c r="H957" t="str">
        <f>IF(ISBLANK([1]!ScoutingData[[#This Row],[autoSpeakerScore]]),"",[1]!ScoutingData[[#This Row],[autoSpeakerScore]])</f>
        <v/>
      </c>
    </row>
    <row r="958" spans="1:8" x14ac:dyDescent="0.45">
      <c r="A958" t="str">
        <f>IF(ISBLANK([1]!ScoutingData[[#This Row],[teamNumber]]),"",[1]!ScoutingData[[#This Row],[teamNumber]])</f>
        <v/>
      </c>
      <c r="B958" t="str">
        <f>IF(ISBLANK([1]!ScoutingData[[#This Row],[matchLevel]]),"",[1]!ScoutingData[[#This Row],[matchLevel]])</f>
        <v/>
      </c>
      <c r="C958" t="str">
        <f>IF(ISBLANK([1]!ScoutingData[[#This Row],[matchNumber]]),"",[1]!ScoutingData[[#This Row],[matchNumber]])</f>
        <v/>
      </c>
      <c r="D958" t="str">
        <f>IF(ISBLANK([1]!ScoutingData[[#This Row],[event]]),"",[1]!ScoutingData[[#This Row],[event]])</f>
        <v/>
      </c>
      <c r="E958" t="str">
        <f>IF(ISBLANK([1]!ScoutingData[[#This Row],[position]]),"",[1]!ScoutingData[[#This Row],[position]])</f>
        <v/>
      </c>
      <c r="F958" t="str">
        <f>IF(ISBLANK([1]!ScoutingData[[#This Row],[leaveStartingZone]]),"",[1]!ScoutingData[[#This Row],[leaveStartingZone]])</f>
        <v/>
      </c>
      <c r="G958" t="str">
        <f>IF(ISBLANK([1]!ScoutingData[[#This Row],[autoAmpScore]]),"",[1]!ScoutingData[[#This Row],[autoAmpScore]])</f>
        <v/>
      </c>
      <c r="H958" t="str">
        <f>IF(ISBLANK([1]!ScoutingData[[#This Row],[autoSpeakerScore]]),"",[1]!ScoutingData[[#This Row],[autoSpeakerScore]])</f>
        <v/>
      </c>
    </row>
    <row r="959" spans="1:8" x14ac:dyDescent="0.45">
      <c r="A959" t="str">
        <f>IF(ISBLANK([1]!ScoutingData[[#This Row],[teamNumber]]),"",[1]!ScoutingData[[#This Row],[teamNumber]])</f>
        <v/>
      </c>
      <c r="B959" t="str">
        <f>IF(ISBLANK([1]!ScoutingData[[#This Row],[matchLevel]]),"",[1]!ScoutingData[[#This Row],[matchLevel]])</f>
        <v/>
      </c>
      <c r="C959" t="str">
        <f>IF(ISBLANK([1]!ScoutingData[[#This Row],[matchNumber]]),"",[1]!ScoutingData[[#This Row],[matchNumber]])</f>
        <v/>
      </c>
      <c r="D959" t="str">
        <f>IF(ISBLANK([1]!ScoutingData[[#This Row],[event]]),"",[1]!ScoutingData[[#This Row],[event]])</f>
        <v/>
      </c>
      <c r="E959" t="str">
        <f>IF(ISBLANK([1]!ScoutingData[[#This Row],[position]]),"",[1]!ScoutingData[[#This Row],[position]])</f>
        <v/>
      </c>
      <c r="F959" t="str">
        <f>IF(ISBLANK([1]!ScoutingData[[#This Row],[leaveStartingZone]]),"",[1]!ScoutingData[[#This Row],[leaveStartingZone]])</f>
        <v/>
      </c>
      <c r="G959" t="str">
        <f>IF(ISBLANK([1]!ScoutingData[[#This Row],[autoAmpScore]]),"",[1]!ScoutingData[[#This Row],[autoAmpScore]])</f>
        <v/>
      </c>
      <c r="H959" t="str">
        <f>IF(ISBLANK([1]!ScoutingData[[#This Row],[autoSpeakerScore]]),"",[1]!ScoutingData[[#This Row],[autoSpeakerScore]])</f>
        <v/>
      </c>
    </row>
    <row r="960" spans="1:8" x14ac:dyDescent="0.45">
      <c r="A960" t="str">
        <f>IF(ISBLANK([1]!ScoutingData[[#This Row],[teamNumber]]),"",[1]!ScoutingData[[#This Row],[teamNumber]])</f>
        <v/>
      </c>
      <c r="B960" t="str">
        <f>IF(ISBLANK([1]!ScoutingData[[#This Row],[matchLevel]]),"",[1]!ScoutingData[[#This Row],[matchLevel]])</f>
        <v/>
      </c>
      <c r="C960" t="str">
        <f>IF(ISBLANK([1]!ScoutingData[[#This Row],[matchNumber]]),"",[1]!ScoutingData[[#This Row],[matchNumber]])</f>
        <v/>
      </c>
      <c r="D960" t="str">
        <f>IF(ISBLANK([1]!ScoutingData[[#This Row],[event]]),"",[1]!ScoutingData[[#This Row],[event]])</f>
        <v/>
      </c>
      <c r="E960" t="str">
        <f>IF(ISBLANK([1]!ScoutingData[[#This Row],[position]]),"",[1]!ScoutingData[[#This Row],[position]])</f>
        <v/>
      </c>
      <c r="F960" t="str">
        <f>IF(ISBLANK([1]!ScoutingData[[#This Row],[leaveStartingZone]]),"",[1]!ScoutingData[[#This Row],[leaveStartingZone]])</f>
        <v/>
      </c>
      <c r="G960" t="str">
        <f>IF(ISBLANK([1]!ScoutingData[[#This Row],[autoAmpScore]]),"",[1]!ScoutingData[[#This Row],[autoAmpScore]])</f>
        <v/>
      </c>
      <c r="H960" t="str">
        <f>IF(ISBLANK([1]!ScoutingData[[#This Row],[autoSpeakerScore]]),"",[1]!ScoutingData[[#This Row],[autoSpeakerScore]])</f>
        <v/>
      </c>
    </row>
    <row r="961" spans="1:8" x14ac:dyDescent="0.45">
      <c r="A961" t="str">
        <f>IF(ISBLANK([1]!ScoutingData[[#This Row],[teamNumber]]),"",[1]!ScoutingData[[#This Row],[teamNumber]])</f>
        <v/>
      </c>
      <c r="B961" t="str">
        <f>IF(ISBLANK([1]!ScoutingData[[#This Row],[matchLevel]]),"",[1]!ScoutingData[[#This Row],[matchLevel]])</f>
        <v/>
      </c>
      <c r="C961" t="str">
        <f>IF(ISBLANK([1]!ScoutingData[[#This Row],[matchNumber]]),"",[1]!ScoutingData[[#This Row],[matchNumber]])</f>
        <v/>
      </c>
      <c r="D961" t="str">
        <f>IF(ISBLANK([1]!ScoutingData[[#This Row],[event]]),"",[1]!ScoutingData[[#This Row],[event]])</f>
        <v/>
      </c>
      <c r="E961" t="str">
        <f>IF(ISBLANK([1]!ScoutingData[[#This Row],[position]]),"",[1]!ScoutingData[[#This Row],[position]])</f>
        <v/>
      </c>
      <c r="F961" t="str">
        <f>IF(ISBLANK([1]!ScoutingData[[#This Row],[leaveStartingZone]]),"",[1]!ScoutingData[[#This Row],[leaveStartingZone]])</f>
        <v/>
      </c>
      <c r="G961" t="str">
        <f>IF(ISBLANK([1]!ScoutingData[[#This Row],[autoAmpScore]]),"",[1]!ScoutingData[[#This Row],[autoAmpScore]])</f>
        <v/>
      </c>
      <c r="H961" t="str">
        <f>IF(ISBLANK([1]!ScoutingData[[#This Row],[autoSpeakerScore]]),"",[1]!ScoutingData[[#This Row],[autoSpeakerScore]])</f>
        <v/>
      </c>
    </row>
    <row r="962" spans="1:8" x14ac:dyDescent="0.45">
      <c r="A962" t="str">
        <f>IF(ISBLANK([1]!ScoutingData[[#This Row],[teamNumber]]),"",[1]!ScoutingData[[#This Row],[teamNumber]])</f>
        <v/>
      </c>
      <c r="B962" t="str">
        <f>IF(ISBLANK([1]!ScoutingData[[#This Row],[matchLevel]]),"",[1]!ScoutingData[[#This Row],[matchLevel]])</f>
        <v/>
      </c>
      <c r="C962" t="str">
        <f>IF(ISBLANK([1]!ScoutingData[[#This Row],[matchNumber]]),"",[1]!ScoutingData[[#This Row],[matchNumber]])</f>
        <v/>
      </c>
      <c r="D962" t="str">
        <f>IF(ISBLANK([1]!ScoutingData[[#This Row],[event]]),"",[1]!ScoutingData[[#This Row],[event]])</f>
        <v/>
      </c>
      <c r="E962" t="str">
        <f>IF(ISBLANK([1]!ScoutingData[[#This Row],[position]]),"",[1]!ScoutingData[[#This Row],[position]])</f>
        <v/>
      </c>
      <c r="F962" t="str">
        <f>IF(ISBLANK([1]!ScoutingData[[#This Row],[leaveStartingZone]]),"",[1]!ScoutingData[[#This Row],[leaveStartingZone]])</f>
        <v/>
      </c>
      <c r="G962" t="str">
        <f>IF(ISBLANK([1]!ScoutingData[[#This Row],[autoAmpScore]]),"",[1]!ScoutingData[[#This Row],[autoAmpScore]])</f>
        <v/>
      </c>
      <c r="H962" t="str">
        <f>IF(ISBLANK([1]!ScoutingData[[#This Row],[autoSpeakerScore]]),"",[1]!ScoutingData[[#This Row],[autoSpeakerScore]])</f>
        <v/>
      </c>
    </row>
    <row r="963" spans="1:8" x14ac:dyDescent="0.45">
      <c r="A963" t="str">
        <f>IF(ISBLANK([1]!ScoutingData[[#This Row],[teamNumber]]),"",[1]!ScoutingData[[#This Row],[teamNumber]])</f>
        <v/>
      </c>
      <c r="B963" t="str">
        <f>IF(ISBLANK([1]!ScoutingData[[#This Row],[matchLevel]]),"",[1]!ScoutingData[[#This Row],[matchLevel]])</f>
        <v/>
      </c>
      <c r="C963" t="str">
        <f>IF(ISBLANK([1]!ScoutingData[[#This Row],[matchNumber]]),"",[1]!ScoutingData[[#This Row],[matchNumber]])</f>
        <v/>
      </c>
      <c r="D963" t="str">
        <f>IF(ISBLANK([1]!ScoutingData[[#This Row],[event]]),"",[1]!ScoutingData[[#This Row],[event]])</f>
        <v/>
      </c>
      <c r="E963" t="str">
        <f>IF(ISBLANK([1]!ScoutingData[[#This Row],[position]]),"",[1]!ScoutingData[[#This Row],[position]])</f>
        <v/>
      </c>
      <c r="F963" t="str">
        <f>IF(ISBLANK([1]!ScoutingData[[#This Row],[leaveStartingZone]]),"",[1]!ScoutingData[[#This Row],[leaveStartingZone]])</f>
        <v/>
      </c>
      <c r="G963" t="str">
        <f>IF(ISBLANK([1]!ScoutingData[[#This Row],[autoAmpScore]]),"",[1]!ScoutingData[[#This Row],[autoAmpScore]])</f>
        <v/>
      </c>
      <c r="H963" t="str">
        <f>IF(ISBLANK([1]!ScoutingData[[#This Row],[autoSpeakerScore]]),"",[1]!ScoutingData[[#This Row],[autoSpeakerScore]])</f>
        <v/>
      </c>
    </row>
    <row r="964" spans="1:8" x14ac:dyDescent="0.45">
      <c r="A964" t="str">
        <f>IF(ISBLANK([1]!ScoutingData[[#This Row],[teamNumber]]),"",[1]!ScoutingData[[#This Row],[teamNumber]])</f>
        <v/>
      </c>
      <c r="B964" t="str">
        <f>IF(ISBLANK([1]!ScoutingData[[#This Row],[matchLevel]]),"",[1]!ScoutingData[[#This Row],[matchLevel]])</f>
        <v/>
      </c>
      <c r="C964" t="str">
        <f>IF(ISBLANK([1]!ScoutingData[[#This Row],[matchNumber]]),"",[1]!ScoutingData[[#This Row],[matchNumber]])</f>
        <v/>
      </c>
      <c r="D964" t="str">
        <f>IF(ISBLANK([1]!ScoutingData[[#This Row],[event]]),"",[1]!ScoutingData[[#This Row],[event]])</f>
        <v/>
      </c>
      <c r="E964" t="str">
        <f>IF(ISBLANK([1]!ScoutingData[[#This Row],[position]]),"",[1]!ScoutingData[[#This Row],[position]])</f>
        <v/>
      </c>
      <c r="F964" t="str">
        <f>IF(ISBLANK([1]!ScoutingData[[#This Row],[leaveStartingZone]]),"",[1]!ScoutingData[[#This Row],[leaveStartingZone]])</f>
        <v/>
      </c>
      <c r="G964" t="str">
        <f>IF(ISBLANK([1]!ScoutingData[[#This Row],[autoAmpScore]]),"",[1]!ScoutingData[[#This Row],[autoAmpScore]])</f>
        <v/>
      </c>
      <c r="H964" t="str">
        <f>IF(ISBLANK([1]!ScoutingData[[#This Row],[autoSpeakerScore]]),"",[1]!ScoutingData[[#This Row],[autoSpeakerScore]])</f>
        <v/>
      </c>
    </row>
    <row r="965" spans="1:8" x14ac:dyDescent="0.45">
      <c r="A965" t="str">
        <f>IF(ISBLANK([1]!ScoutingData[[#This Row],[teamNumber]]),"",[1]!ScoutingData[[#This Row],[teamNumber]])</f>
        <v/>
      </c>
      <c r="B965" t="str">
        <f>IF(ISBLANK([1]!ScoutingData[[#This Row],[matchLevel]]),"",[1]!ScoutingData[[#This Row],[matchLevel]])</f>
        <v/>
      </c>
      <c r="C965" t="str">
        <f>IF(ISBLANK([1]!ScoutingData[[#This Row],[matchNumber]]),"",[1]!ScoutingData[[#This Row],[matchNumber]])</f>
        <v/>
      </c>
      <c r="D965" t="str">
        <f>IF(ISBLANK([1]!ScoutingData[[#This Row],[event]]),"",[1]!ScoutingData[[#This Row],[event]])</f>
        <v/>
      </c>
      <c r="E965" t="str">
        <f>IF(ISBLANK([1]!ScoutingData[[#This Row],[position]]),"",[1]!ScoutingData[[#This Row],[position]])</f>
        <v/>
      </c>
      <c r="F965" t="str">
        <f>IF(ISBLANK([1]!ScoutingData[[#This Row],[leaveStartingZone]]),"",[1]!ScoutingData[[#This Row],[leaveStartingZone]])</f>
        <v/>
      </c>
      <c r="G965" t="str">
        <f>IF(ISBLANK([1]!ScoutingData[[#This Row],[autoAmpScore]]),"",[1]!ScoutingData[[#This Row],[autoAmpScore]])</f>
        <v/>
      </c>
      <c r="H965" t="str">
        <f>IF(ISBLANK([1]!ScoutingData[[#This Row],[autoSpeakerScore]]),"",[1]!ScoutingData[[#This Row],[autoSpeakerScore]])</f>
        <v/>
      </c>
    </row>
    <row r="966" spans="1:8" x14ac:dyDescent="0.45">
      <c r="A966" t="str">
        <f>IF(ISBLANK([1]!ScoutingData[[#This Row],[teamNumber]]),"",[1]!ScoutingData[[#This Row],[teamNumber]])</f>
        <v/>
      </c>
      <c r="B966" t="str">
        <f>IF(ISBLANK([1]!ScoutingData[[#This Row],[matchLevel]]),"",[1]!ScoutingData[[#This Row],[matchLevel]])</f>
        <v/>
      </c>
      <c r="C966" t="str">
        <f>IF(ISBLANK([1]!ScoutingData[[#This Row],[matchNumber]]),"",[1]!ScoutingData[[#This Row],[matchNumber]])</f>
        <v/>
      </c>
      <c r="D966" t="str">
        <f>IF(ISBLANK([1]!ScoutingData[[#This Row],[event]]),"",[1]!ScoutingData[[#This Row],[event]])</f>
        <v/>
      </c>
      <c r="E966" t="str">
        <f>IF(ISBLANK([1]!ScoutingData[[#This Row],[position]]),"",[1]!ScoutingData[[#This Row],[position]])</f>
        <v/>
      </c>
      <c r="F966" t="str">
        <f>IF(ISBLANK([1]!ScoutingData[[#This Row],[leaveStartingZone]]),"",[1]!ScoutingData[[#This Row],[leaveStartingZone]])</f>
        <v/>
      </c>
      <c r="G966" t="str">
        <f>IF(ISBLANK([1]!ScoutingData[[#This Row],[autoAmpScore]]),"",[1]!ScoutingData[[#This Row],[autoAmpScore]])</f>
        <v/>
      </c>
      <c r="H966" t="str">
        <f>IF(ISBLANK([1]!ScoutingData[[#This Row],[autoSpeakerScore]]),"",[1]!ScoutingData[[#This Row],[autoSpeakerScore]])</f>
        <v/>
      </c>
    </row>
    <row r="967" spans="1:8" x14ac:dyDescent="0.45">
      <c r="A967" t="str">
        <f>IF(ISBLANK([1]!ScoutingData[[#This Row],[teamNumber]]),"",[1]!ScoutingData[[#This Row],[teamNumber]])</f>
        <v/>
      </c>
      <c r="B967" t="str">
        <f>IF(ISBLANK([1]!ScoutingData[[#This Row],[matchLevel]]),"",[1]!ScoutingData[[#This Row],[matchLevel]])</f>
        <v/>
      </c>
      <c r="C967" t="str">
        <f>IF(ISBLANK([1]!ScoutingData[[#This Row],[matchNumber]]),"",[1]!ScoutingData[[#This Row],[matchNumber]])</f>
        <v/>
      </c>
      <c r="D967" t="str">
        <f>IF(ISBLANK([1]!ScoutingData[[#This Row],[event]]),"",[1]!ScoutingData[[#This Row],[event]])</f>
        <v/>
      </c>
      <c r="E967" t="str">
        <f>IF(ISBLANK([1]!ScoutingData[[#This Row],[position]]),"",[1]!ScoutingData[[#This Row],[position]])</f>
        <v/>
      </c>
      <c r="F967" t="str">
        <f>IF(ISBLANK([1]!ScoutingData[[#This Row],[leaveStartingZone]]),"",[1]!ScoutingData[[#This Row],[leaveStartingZone]])</f>
        <v/>
      </c>
      <c r="G967" t="str">
        <f>IF(ISBLANK([1]!ScoutingData[[#This Row],[autoAmpScore]]),"",[1]!ScoutingData[[#This Row],[autoAmpScore]])</f>
        <v/>
      </c>
      <c r="H967" t="str">
        <f>IF(ISBLANK([1]!ScoutingData[[#This Row],[autoSpeakerScore]]),"",[1]!ScoutingData[[#This Row],[autoSpeakerScore]])</f>
        <v/>
      </c>
    </row>
    <row r="968" spans="1:8" x14ac:dyDescent="0.45">
      <c r="A968" t="str">
        <f>IF(ISBLANK([1]!ScoutingData[[#This Row],[teamNumber]]),"",[1]!ScoutingData[[#This Row],[teamNumber]])</f>
        <v/>
      </c>
      <c r="B968" t="str">
        <f>IF(ISBLANK([1]!ScoutingData[[#This Row],[matchLevel]]),"",[1]!ScoutingData[[#This Row],[matchLevel]])</f>
        <v/>
      </c>
      <c r="C968" t="str">
        <f>IF(ISBLANK([1]!ScoutingData[[#This Row],[matchNumber]]),"",[1]!ScoutingData[[#This Row],[matchNumber]])</f>
        <v/>
      </c>
      <c r="D968" t="str">
        <f>IF(ISBLANK([1]!ScoutingData[[#This Row],[event]]),"",[1]!ScoutingData[[#This Row],[event]])</f>
        <v/>
      </c>
      <c r="E968" t="str">
        <f>IF(ISBLANK([1]!ScoutingData[[#This Row],[position]]),"",[1]!ScoutingData[[#This Row],[position]])</f>
        <v/>
      </c>
      <c r="F968" t="str">
        <f>IF(ISBLANK([1]!ScoutingData[[#This Row],[leaveStartingZone]]),"",[1]!ScoutingData[[#This Row],[leaveStartingZone]])</f>
        <v/>
      </c>
      <c r="G968" t="str">
        <f>IF(ISBLANK([1]!ScoutingData[[#This Row],[autoAmpScore]]),"",[1]!ScoutingData[[#This Row],[autoAmpScore]])</f>
        <v/>
      </c>
      <c r="H968" t="str">
        <f>IF(ISBLANK([1]!ScoutingData[[#This Row],[autoSpeakerScore]]),"",[1]!ScoutingData[[#This Row],[autoSpeakerScore]])</f>
        <v/>
      </c>
    </row>
    <row r="969" spans="1:8" x14ac:dyDescent="0.45">
      <c r="A969" t="str">
        <f>IF(ISBLANK([1]!ScoutingData[[#This Row],[teamNumber]]),"",[1]!ScoutingData[[#This Row],[teamNumber]])</f>
        <v/>
      </c>
      <c r="B969" t="str">
        <f>IF(ISBLANK([1]!ScoutingData[[#This Row],[matchLevel]]),"",[1]!ScoutingData[[#This Row],[matchLevel]])</f>
        <v/>
      </c>
      <c r="C969" t="str">
        <f>IF(ISBLANK([1]!ScoutingData[[#This Row],[matchNumber]]),"",[1]!ScoutingData[[#This Row],[matchNumber]])</f>
        <v/>
      </c>
      <c r="D969" t="str">
        <f>IF(ISBLANK([1]!ScoutingData[[#This Row],[event]]),"",[1]!ScoutingData[[#This Row],[event]])</f>
        <v/>
      </c>
      <c r="E969" t="str">
        <f>IF(ISBLANK([1]!ScoutingData[[#This Row],[position]]),"",[1]!ScoutingData[[#This Row],[position]])</f>
        <v/>
      </c>
      <c r="F969" t="str">
        <f>IF(ISBLANK([1]!ScoutingData[[#This Row],[leaveStartingZone]]),"",[1]!ScoutingData[[#This Row],[leaveStartingZone]])</f>
        <v/>
      </c>
      <c r="G969" t="str">
        <f>IF(ISBLANK([1]!ScoutingData[[#This Row],[autoAmpScore]]),"",[1]!ScoutingData[[#This Row],[autoAmpScore]])</f>
        <v/>
      </c>
      <c r="H969" t="str">
        <f>IF(ISBLANK([1]!ScoutingData[[#This Row],[autoSpeakerScore]]),"",[1]!ScoutingData[[#This Row],[autoSpeakerScore]])</f>
        <v/>
      </c>
    </row>
    <row r="970" spans="1:8" x14ac:dyDescent="0.45">
      <c r="A970" t="str">
        <f>IF(ISBLANK([1]!ScoutingData[[#This Row],[teamNumber]]),"",[1]!ScoutingData[[#This Row],[teamNumber]])</f>
        <v/>
      </c>
      <c r="B970" t="str">
        <f>IF(ISBLANK([1]!ScoutingData[[#This Row],[matchLevel]]),"",[1]!ScoutingData[[#This Row],[matchLevel]])</f>
        <v/>
      </c>
      <c r="C970" t="str">
        <f>IF(ISBLANK([1]!ScoutingData[[#This Row],[matchNumber]]),"",[1]!ScoutingData[[#This Row],[matchNumber]])</f>
        <v/>
      </c>
      <c r="D970" t="str">
        <f>IF(ISBLANK([1]!ScoutingData[[#This Row],[event]]),"",[1]!ScoutingData[[#This Row],[event]])</f>
        <v/>
      </c>
      <c r="E970" t="str">
        <f>IF(ISBLANK([1]!ScoutingData[[#This Row],[position]]),"",[1]!ScoutingData[[#This Row],[position]])</f>
        <v/>
      </c>
      <c r="F970" t="str">
        <f>IF(ISBLANK([1]!ScoutingData[[#This Row],[leaveStartingZone]]),"",[1]!ScoutingData[[#This Row],[leaveStartingZone]])</f>
        <v/>
      </c>
      <c r="G970" t="str">
        <f>IF(ISBLANK([1]!ScoutingData[[#This Row],[autoAmpScore]]),"",[1]!ScoutingData[[#This Row],[autoAmpScore]])</f>
        <v/>
      </c>
      <c r="H970" t="str">
        <f>IF(ISBLANK([1]!ScoutingData[[#This Row],[autoSpeakerScore]]),"",[1]!ScoutingData[[#This Row],[autoSpeakerScore]])</f>
        <v/>
      </c>
    </row>
    <row r="971" spans="1:8" x14ac:dyDescent="0.45">
      <c r="A971" t="str">
        <f>IF(ISBLANK([1]!ScoutingData[[#This Row],[teamNumber]]),"",[1]!ScoutingData[[#This Row],[teamNumber]])</f>
        <v/>
      </c>
      <c r="B971" t="str">
        <f>IF(ISBLANK([1]!ScoutingData[[#This Row],[matchLevel]]),"",[1]!ScoutingData[[#This Row],[matchLevel]])</f>
        <v/>
      </c>
      <c r="C971" t="str">
        <f>IF(ISBLANK([1]!ScoutingData[[#This Row],[matchNumber]]),"",[1]!ScoutingData[[#This Row],[matchNumber]])</f>
        <v/>
      </c>
      <c r="D971" t="str">
        <f>IF(ISBLANK([1]!ScoutingData[[#This Row],[event]]),"",[1]!ScoutingData[[#This Row],[event]])</f>
        <v/>
      </c>
      <c r="E971" t="str">
        <f>IF(ISBLANK([1]!ScoutingData[[#This Row],[position]]),"",[1]!ScoutingData[[#This Row],[position]])</f>
        <v/>
      </c>
      <c r="F971" t="str">
        <f>IF(ISBLANK([1]!ScoutingData[[#This Row],[leaveStartingZone]]),"",[1]!ScoutingData[[#This Row],[leaveStartingZone]])</f>
        <v/>
      </c>
      <c r="G971" t="str">
        <f>IF(ISBLANK([1]!ScoutingData[[#This Row],[autoAmpScore]]),"",[1]!ScoutingData[[#This Row],[autoAmpScore]])</f>
        <v/>
      </c>
      <c r="H971" t="str">
        <f>IF(ISBLANK([1]!ScoutingData[[#This Row],[autoSpeakerScore]]),"",[1]!ScoutingData[[#This Row],[autoSpeakerScore]])</f>
        <v/>
      </c>
    </row>
    <row r="972" spans="1:8" x14ac:dyDescent="0.45">
      <c r="A972" t="str">
        <f>IF(ISBLANK([1]!ScoutingData[[#This Row],[teamNumber]]),"",[1]!ScoutingData[[#This Row],[teamNumber]])</f>
        <v/>
      </c>
      <c r="B972" t="str">
        <f>IF(ISBLANK([1]!ScoutingData[[#This Row],[matchLevel]]),"",[1]!ScoutingData[[#This Row],[matchLevel]])</f>
        <v/>
      </c>
      <c r="C972" t="str">
        <f>IF(ISBLANK([1]!ScoutingData[[#This Row],[matchNumber]]),"",[1]!ScoutingData[[#This Row],[matchNumber]])</f>
        <v/>
      </c>
      <c r="D972" t="str">
        <f>IF(ISBLANK([1]!ScoutingData[[#This Row],[event]]),"",[1]!ScoutingData[[#This Row],[event]])</f>
        <v/>
      </c>
      <c r="E972" t="str">
        <f>IF(ISBLANK([1]!ScoutingData[[#This Row],[position]]),"",[1]!ScoutingData[[#This Row],[position]])</f>
        <v/>
      </c>
      <c r="F972" t="str">
        <f>IF(ISBLANK([1]!ScoutingData[[#This Row],[leaveStartingZone]]),"",[1]!ScoutingData[[#This Row],[leaveStartingZone]])</f>
        <v/>
      </c>
      <c r="G972" t="str">
        <f>IF(ISBLANK([1]!ScoutingData[[#This Row],[autoAmpScore]]),"",[1]!ScoutingData[[#This Row],[autoAmpScore]])</f>
        <v/>
      </c>
      <c r="H972" t="str">
        <f>IF(ISBLANK([1]!ScoutingData[[#This Row],[autoSpeakerScore]]),"",[1]!ScoutingData[[#This Row],[autoSpeakerScore]])</f>
        <v/>
      </c>
    </row>
    <row r="973" spans="1:8" x14ac:dyDescent="0.45">
      <c r="A973" t="str">
        <f>IF(ISBLANK([1]!ScoutingData[[#This Row],[teamNumber]]),"",[1]!ScoutingData[[#This Row],[teamNumber]])</f>
        <v/>
      </c>
      <c r="B973" t="str">
        <f>IF(ISBLANK([1]!ScoutingData[[#This Row],[matchLevel]]),"",[1]!ScoutingData[[#This Row],[matchLevel]])</f>
        <v/>
      </c>
      <c r="C973" t="str">
        <f>IF(ISBLANK([1]!ScoutingData[[#This Row],[matchNumber]]),"",[1]!ScoutingData[[#This Row],[matchNumber]])</f>
        <v/>
      </c>
      <c r="D973" t="str">
        <f>IF(ISBLANK([1]!ScoutingData[[#This Row],[event]]),"",[1]!ScoutingData[[#This Row],[event]])</f>
        <v/>
      </c>
      <c r="E973" t="str">
        <f>IF(ISBLANK([1]!ScoutingData[[#This Row],[position]]),"",[1]!ScoutingData[[#This Row],[position]])</f>
        <v/>
      </c>
      <c r="F973" t="str">
        <f>IF(ISBLANK([1]!ScoutingData[[#This Row],[leaveStartingZone]]),"",[1]!ScoutingData[[#This Row],[leaveStartingZone]])</f>
        <v/>
      </c>
      <c r="G973" t="str">
        <f>IF(ISBLANK([1]!ScoutingData[[#This Row],[autoAmpScore]]),"",[1]!ScoutingData[[#This Row],[autoAmpScore]])</f>
        <v/>
      </c>
      <c r="H973" t="str">
        <f>IF(ISBLANK([1]!ScoutingData[[#This Row],[autoSpeakerScore]]),"",[1]!ScoutingData[[#This Row],[autoSpeakerScore]])</f>
        <v/>
      </c>
    </row>
    <row r="974" spans="1:8" x14ac:dyDescent="0.45">
      <c r="A974" t="str">
        <f>IF(ISBLANK([1]!ScoutingData[[#This Row],[teamNumber]]),"",[1]!ScoutingData[[#This Row],[teamNumber]])</f>
        <v/>
      </c>
      <c r="B974" t="str">
        <f>IF(ISBLANK([1]!ScoutingData[[#This Row],[matchLevel]]),"",[1]!ScoutingData[[#This Row],[matchLevel]])</f>
        <v/>
      </c>
      <c r="C974" t="str">
        <f>IF(ISBLANK([1]!ScoutingData[[#This Row],[matchNumber]]),"",[1]!ScoutingData[[#This Row],[matchNumber]])</f>
        <v/>
      </c>
      <c r="D974" t="str">
        <f>IF(ISBLANK([1]!ScoutingData[[#This Row],[event]]),"",[1]!ScoutingData[[#This Row],[event]])</f>
        <v/>
      </c>
      <c r="E974" t="str">
        <f>IF(ISBLANK([1]!ScoutingData[[#This Row],[position]]),"",[1]!ScoutingData[[#This Row],[position]])</f>
        <v/>
      </c>
      <c r="F974" t="str">
        <f>IF(ISBLANK([1]!ScoutingData[[#This Row],[leaveStartingZone]]),"",[1]!ScoutingData[[#This Row],[leaveStartingZone]])</f>
        <v/>
      </c>
      <c r="G974" t="str">
        <f>IF(ISBLANK([1]!ScoutingData[[#This Row],[autoAmpScore]]),"",[1]!ScoutingData[[#This Row],[autoAmpScore]])</f>
        <v/>
      </c>
      <c r="H974" t="str">
        <f>IF(ISBLANK([1]!ScoutingData[[#This Row],[autoSpeakerScore]]),"",[1]!ScoutingData[[#This Row],[autoSpeakerScore]])</f>
        <v/>
      </c>
    </row>
    <row r="975" spans="1:8" x14ac:dyDescent="0.45">
      <c r="A975" t="str">
        <f>IF(ISBLANK([1]!ScoutingData[[#This Row],[teamNumber]]),"",[1]!ScoutingData[[#This Row],[teamNumber]])</f>
        <v/>
      </c>
      <c r="B975" t="str">
        <f>IF(ISBLANK([1]!ScoutingData[[#This Row],[matchLevel]]),"",[1]!ScoutingData[[#This Row],[matchLevel]])</f>
        <v/>
      </c>
      <c r="C975" t="str">
        <f>IF(ISBLANK([1]!ScoutingData[[#This Row],[matchNumber]]),"",[1]!ScoutingData[[#This Row],[matchNumber]])</f>
        <v/>
      </c>
      <c r="D975" t="str">
        <f>IF(ISBLANK([1]!ScoutingData[[#This Row],[event]]),"",[1]!ScoutingData[[#This Row],[event]])</f>
        <v/>
      </c>
      <c r="E975" t="str">
        <f>IF(ISBLANK([1]!ScoutingData[[#This Row],[position]]),"",[1]!ScoutingData[[#This Row],[position]])</f>
        <v/>
      </c>
      <c r="F975" t="str">
        <f>IF(ISBLANK([1]!ScoutingData[[#This Row],[leaveStartingZone]]),"",[1]!ScoutingData[[#This Row],[leaveStartingZone]])</f>
        <v/>
      </c>
      <c r="G975" t="str">
        <f>IF(ISBLANK([1]!ScoutingData[[#This Row],[autoAmpScore]]),"",[1]!ScoutingData[[#This Row],[autoAmpScore]])</f>
        <v/>
      </c>
      <c r="H975" t="str">
        <f>IF(ISBLANK([1]!ScoutingData[[#This Row],[autoSpeakerScore]]),"",[1]!ScoutingData[[#This Row],[autoSpeakerScore]])</f>
        <v/>
      </c>
    </row>
    <row r="976" spans="1:8" x14ac:dyDescent="0.45">
      <c r="A976" t="str">
        <f>IF(ISBLANK([1]!ScoutingData[[#This Row],[teamNumber]]),"",[1]!ScoutingData[[#This Row],[teamNumber]])</f>
        <v/>
      </c>
      <c r="B976" t="str">
        <f>IF(ISBLANK([1]!ScoutingData[[#This Row],[matchLevel]]),"",[1]!ScoutingData[[#This Row],[matchLevel]])</f>
        <v/>
      </c>
      <c r="C976" t="str">
        <f>IF(ISBLANK([1]!ScoutingData[[#This Row],[matchNumber]]),"",[1]!ScoutingData[[#This Row],[matchNumber]])</f>
        <v/>
      </c>
      <c r="D976" t="str">
        <f>IF(ISBLANK([1]!ScoutingData[[#This Row],[event]]),"",[1]!ScoutingData[[#This Row],[event]])</f>
        <v/>
      </c>
      <c r="E976" t="str">
        <f>IF(ISBLANK([1]!ScoutingData[[#This Row],[position]]),"",[1]!ScoutingData[[#This Row],[position]])</f>
        <v/>
      </c>
      <c r="F976" t="str">
        <f>IF(ISBLANK([1]!ScoutingData[[#This Row],[leaveStartingZone]]),"",[1]!ScoutingData[[#This Row],[leaveStartingZone]])</f>
        <v/>
      </c>
      <c r="G976" t="str">
        <f>IF(ISBLANK([1]!ScoutingData[[#This Row],[autoAmpScore]]),"",[1]!ScoutingData[[#This Row],[autoAmpScore]])</f>
        <v/>
      </c>
      <c r="H976" t="str">
        <f>IF(ISBLANK([1]!ScoutingData[[#This Row],[autoSpeakerScore]]),"",[1]!ScoutingData[[#This Row],[autoSpeakerScore]])</f>
        <v/>
      </c>
    </row>
    <row r="977" spans="1:8" x14ac:dyDescent="0.45">
      <c r="A977" t="str">
        <f>IF(ISBLANK([1]!ScoutingData[[#This Row],[teamNumber]]),"",[1]!ScoutingData[[#This Row],[teamNumber]])</f>
        <v/>
      </c>
      <c r="B977" t="str">
        <f>IF(ISBLANK([1]!ScoutingData[[#This Row],[matchLevel]]),"",[1]!ScoutingData[[#This Row],[matchLevel]])</f>
        <v/>
      </c>
      <c r="C977" t="str">
        <f>IF(ISBLANK([1]!ScoutingData[[#This Row],[matchNumber]]),"",[1]!ScoutingData[[#This Row],[matchNumber]])</f>
        <v/>
      </c>
      <c r="D977" t="str">
        <f>IF(ISBLANK([1]!ScoutingData[[#This Row],[event]]),"",[1]!ScoutingData[[#This Row],[event]])</f>
        <v/>
      </c>
      <c r="E977" t="str">
        <f>IF(ISBLANK([1]!ScoutingData[[#This Row],[position]]),"",[1]!ScoutingData[[#This Row],[position]])</f>
        <v/>
      </c>
      <c r="F977" t="str">
        <f>IF(ISBLANK([1]!ScoutingData[[#This Row],[leaveStartingZone]]),"",[1]!ScoutingData[[#This Row],[leaveStartingZone]])</f>
        <v/>
      </c>
      <c r="G977" t="str">
        <f>IF(ISBLANK([1]!ScoutingData[[#This Row],[autoAmpScore]]),"",[1]!ScoutingData[[#This Row],[autoAmpScore]])</f>
        <v/>
      </c>
      <c r="H977" t="str">
        <f>IF(ISBLANK([1]!ScoutingData[[#This Row],[autoSpeakerScore]]),"",[1]!ScoutingData[[#This Row],[autoSpeakerScore]])</f>
        <v/>
      </c>
    </row>
    <row r="978" spans="1:8" x14ac:dyDescent="0.45">
      <c r="A978" t="str">
        <f>IF(ISBLANK([1]!ScoutingData[[#This Row],[teamNumber]]),"",[1]!ScoutingData[[#This Row],[teamNumber]])</f>
        <v/>
      </c>
      <c r="B978" t="str">
        <f>IF(ISBLANK([1]!ScoutingData[[#This Row],[matchLevel]]),"",[1]!ScoutingData[[#This Row],[matchLevel]])</f>
        <v/>
      </c>
      <c r="C978" t="str">
        <f>IF(ISBLANK([1]!ScoutingData[[#This Row],[matchNumber]]),"",[1]!ScoutingData[[#This Row],[matchNumber]])</f>
        <v/>
      </c>
      <c r="D978" t="str">
        <f>IF(ISBLANK([1]!ScoutingData[[#This Row],[event]]),"",[1]!ScoutingData[[#This Row],[event]])</f>
        <v/>
      </c>
      <c r="E978" t="str">
        <f>IF(ISBLANK([1]!ScoutingData[[#This Row],[position]]),"",[1]!ScoutingData[[#This Row],[position]])</f>
        <v/>
      </c>
      <c r="F978" t="str">
        <f>IF(ISBLANK([1]!ScoutingData[[#This Row],[leaveStartingZone]]),"",[1]!ScoutingData[[#This Row],[leaveStartingZone]])</f>
        <v/>
      </c>
      <c r="G978" t="str">
        <f>IF(ISBLANK([1]!ScoutingData[[#This Row],[autoAmpScore]]),"",[1]!ScoutingData[[#This Row],[autoAmpScore]])</f>
        <v/>
      </c>
      <c r="H978" t="str">
        <f>IF(ISBLANK([1]!ScoutingData[[#This Row],[autoSpeakerScore]]),"",[1]!ScoutingData[[#This Row],[autoSpeakerScore]])</f>
        <v/>
      </c>
    </row>
    <row r="979" spans="1:8" x14ac:dyDescent="0.45">
      <c r="A979" t="str">
        <f>IF(ISBLANK([1]!ScoutingData[[#This Row],[teamNumber]]),"",[1]!ScoutingData[[#This Row],[teamNumber]])</f>
        <v/>
      </c>
      <c r="B979" t="str">
        <f>IF(ISBLANK([1]!ScoutingData[[#This Row],[matchLevel]]),"",[1]!ScoutingData[[#This Row],[matchLevel]])</f>
        <v/>
      </c>
      <c r="C979" t="str">
        <f>IF(ISBLANK([1]!ScoutingData[[#This Row],[matchNumber]]),"",[1]!ScoutingData[[#This Row],[matchNumber]])</f>
        <v/>
      </c>
      <c r="D979" t="str">
        <f>IF(ISBLANK([1]!ScoutingData[[#This Row],[event]]),"",[1]!ScoutingData[[#This Row],[event]])</f>
        <v/>
      </c>
      <c r="E979" t="str">
        <f>IF(ISBLANK([1]!ScoutingData[[#This Row],[position]]),"",[1]!ScoutingData[[#This Row],[position]])</f>
        <v/>
      </c>
      <c r="F979" t="str">
        <f>IF(ISBLANK([1]!ScoutingData[[#This Row],[leaveStartingZone]]),"",[1]!ScoutingData[[#This Row],[leaveStartingZone]])</f>
        <v/>
      </c>
      <c r="G979" t="str">
        <f>IF(ISBLANK([1]!ScoutingData[[#This Row],[autoAmpScore]]),"",[1]!ScoutingData[[#This Row],[autoAmpScore]])</f>
        <v/>
      </c>
      <c r="H979" t="str">
        <f>IF(ISBLANK([1]!ScoutingData[[#This Row],[autoSpeakerScore]]),"",[1]!ScoutingData[[#This Row],[autoSpeakerScore]])</f>
        <v/>
      </c>
    </row>
    <row r="980" spans="1:8" x14ac:dyDescent="0.45">
      <c r="A980" t="str">
        <f>IF(ISBLANK([1]!ScoutingData[[#This Row],[teamNumber]]),"",[1]!ScoutingData[[#This Row],[teamNumber]])</f>
        <v/>
      </c>
      <c r="B980" t="str">
        <f>IF(ISBLANK([1]!ScoutingData[[#This Row],[matchLevel]]),"",[1]!ScoutingData[[#This Row],[matchLevel]])</f>
        <v/>
      </c>
      <c r="C980" t="str">
        <f>IF(ISBLANK([1]!ScoutingData[[#This Row],[matchNumber]]),"",[1]!ScoutingData[[#This Row],[matchNumber]])</f>
        <v/>
      </c>
      <c r="D980" t="str">
        <f>IF(ISBLANK([1]!ScoutingData[[#This Row],[event]]),"",[1]!ScoutingData[[#This Row],[event]])</f>
        <v/>
      </c>
      <c r="E980" t="str">
        <f>IF(ISBLANK([1]!ScoutingData[[#This Row],[position]]),"",[1]!ScoutingData[[#This Row],[position]])</f>
        <v/>
      </c>
      <c r="F980" t="str">
        <f>IF(ISBLANK([1]!ScoutingData[[#This Row],[leaveStartingZone]]),"",[1]!ScoutingData[[#This Row],[leaveStartingZone]])</f>
        <v/>
      </c>
      <c r="G980" t="str">
        <f>IF(ISBLANK([1]!ScoutingData[[#This Row],[autoAmpScore]]),"",[1]!ScoutingData[[#This Row],[autoAmpScore]])</f>
        <v/>
      </c>
      <c r="H980" t="str">
        <f>IF(ISBLANK([1]!ScoutingData[[#This Row],[autoSpeakerScore]]),"",[1]!ScoutingData[[#This Row],[autoSpeakerScore]])</f>
        <v/>
      </c>
    </row>
    <row r="981" spans="1:8" x14ac:dyDescent="0.45">
      <c r="A981" t="str">
        <f>IF(ISBLANK([1]!ScoutingData[[#This Row],[teamNumber]]),"",[1]!ScoutingData[[#This Row],[teamNumber]])</f>
        <v/>
      </c>
      <c r="B981" t="str">
        <f>IF(ISBLANK([1]!ScoutingData[[#This Row],[matchLevel]]),"",[1]!ScoutingData[[#This Row],[matchLevel]])</f>
        <v/>
      </c>
      <c r="C981" t="str">
        <f>IF(ISBLANK([1]!ScoutingData[[#This Row],[matchNumber]]),"",[1]!ScoutingData[[#This Row],[matchNumber]])</f>
        <v/>
      </c>
      <c r="D981" t="str">
        <f>IF(ISBLANK([1]!ScoutingData[[#This Row],[event]]),"",[1]!ScoutingData[[#This Row],[event]])</f>
        <v/>
      </c>
      <c r="E981" t="str">
        <f>IF(ISBLANK([1]!ScoutingData[[#This Row],[position]]),"",[1]!ScoutingData[[#This Row],[position]])</f>
        <v/>
      </c>
      <c r="F981" t="str">
        <f>IF(ISBLANK([1]!ScoutingData[[#This Row],[leaveStartingZone]]),"",[1]!ScoutingData[[#This Row],[leaveStartingZone]])</f>
        <v/>
      </c>
      <c r="G981" t="str">
        <f>IF(ISBLANK([1]!ScoutingData[[#This Row],[autoAmpScore]]),"",[1]!ScoutingData[[#This Row],[autoAmpScore]])</f>
        <v/>
      </c>
      <c r="H981" t="str">
        <f>IF(ISBLANK([1]!ScoutingData[[#This Row],[autoSpeakerScore]]),"",[1]!ScoutingData[[#This Row],[autoSpeakerScore]])</f>
        <v/>
      </c>
    </row>
    <row r="982" spans="1:8" x14ac:dyDescent="0.45">
      <c r="A982" t="str">
        <f>IF(ISBLANK([1]!ScoutingData[[#This Row],[teamNumber]]),"",[1]!ScoutingData[[#This Row],[teamNumber]])</f>
        <v/>
      </c>
      <c r="B982" t="str">
        <f>IF(ISBLANK([1]!ScoutingData[[#This Row],[matchLevel]]),"",[1]!ScoutingData[[#This Row],[matchLevel]])</f>
        <v/>
      </c>
      <c r="C982" t="str">
        <f>IF(ISBLANK([1]!ScoutingData[[#This Row],[matchNumber]]),"",[1]!ScoutingData[[#This Row],[matchNumber]])</f>
        <v/>
      </c>
      <c r="D982" t="str">
        <f>IF(ISBLANK([1]!ScoutingData[[#This Row],[event]]),"",[1]!ScoutingData[[#This Row],[event]])</f>
        <v/>
      </c>
      <c r="E982" t="str">
        <f>IF(ISBLANK([1]!ScoutingData[[#This Row],[position]]),"",[1]!ScoutingData[[#This Row],[position]])</f>
        <v/>
      </c>
      <c r="F982" t="str">
        <f>IF(ISBLANK([1]!ScoutingData[[#This Row],[leaveStartingZone]]),"",[1]!ScoutingData[[#This Row],[leaveStartingZone]])</f>
        <v/>
      </c>
      <c r="G982" t="str">
        <f>IF(ISBLANK([1]!ScoutingData[[#This Row],[autoAmpScore]]),"",[1]!ScoutingData[[#This Row],[autoAmpScore]])</f>
        <v/>
      </c>
      <c r="H982" t="str">
        <f>IF(ISBLANK([1]!ScoutingData[[#This Row],[autoSpeakerScore]]),"",[1]!ScoutingData[[#This Row],[autoSpeakerScore]])</f>
        <v/>
      </c>
    </row>
    <row r="983" spans="1:8" x14ac:dyDescent="0.45">
      <c r="A983" t="str">
        <f>IF(ISBLANK([1]!ScoutingData[[#This Row],[teamNumber]]),"",[1]!ScoutingData[[#This Row],[teamNumber]])</f>
        <v/>
      </c>
      <c r="B983" t="str">
        <f>IF(ISBLANK([1]!ScoutingData[[#This Row],[matchLevel]]),"",[1]!ScoutingData[[#This Row],[matchLevel]])</f>
        <v/>
      </c>
      <c r="C983" t="str">
        <f>IF(ISBLANK([1]!ScoutingData[[#This Row],[matchNumber]]),"",[1]!ScoutingData[[#This Row],[matchNumber]])</f>
        <v/>
      </c>
      <c r="D983" t="str">
        <f>IF(ISBLANK([1]!ScoutingData[[#This Row],[event]]),"",[1]!ScoutingData[[#This Row],[event]])</f>
        <v/>
      </c>
      <c r="E983" t="str">
        <f>IF(ISBLANK([1]!ScoutingData[[#This Row],[position]]),"",[1]!ScoutingData[[#This Row],[position]])</f>
        <v/>
      </c>
      <c r="F983" t="str">
        <f>IF(ISBLANK([1]!ScoutingData[[#This Row],[leaveStartingZone]]),"",[1]!ScoutingData[[#This Row],[leaveStartingZone]])</f>
        <v/>
      </c>
      <c r="G983" t="str">
        <f>IF(ISBLANK([1]!ScoutingData[[#This Row],[autoAmpScore]]),"",[1]!ScoutingData[[#This Row],[autoAmpScore]])</f>
        <v/>
      </c>
      <c r="H983" t="str">
        <f>IF(ISBLANK([1]!ScoutingData[[#This Row],[autoSpeakerScore]]),"",[1]!ScoutingData[[#This Row],[autoSpeakerScore]])</f>
        <v/>
      </c>
    </row>
    <row r="984" spans="1:8" x14ac:dyDescent="0.45">
      <c r="A984" t="str">
        <f>IF(ISBLANK([1]!ScoutingData[[#This Row],[teamNumber]]),"",[1]!ScoutingData[[#This Row],[teamNumber]])</f>
        <v/>
      </c>
      <c r="B984" t="str">
        <f>IF(ISBLANK([1]!ScoutingData[[#This Row],[matchLevel]]),"",[1]!ScoutingData[[#This Row],[matchLevel]])</f>
        <v/>
      </c>
      <c r="C984" t="str">
        <f>IF(ISBLANK([1]!ScoutingData[[#This Row],[matchNumber]]),"",[1]!ScoutingData[[#This Row],[matchNumber]])</f>
        <v/>
      </c>
      <c r="D984" t="str">
        <f>IF(ISBLANK([1]!ScoutingData[[#This Row],[event]]),"",[1]!ScoutingData[[#This Row],[event]])</f>
        <v/>
      </c>
      <c r="E984" t="str">
        <f>IF(ISBLANK([1]!ScoutingData[[#This Row],[position]]),"",[1]!ScoutingData[[#This Row],[position]])</f>
        <v/>
      </c>
      <c r="F984" t="str">
        <f>IF(ISBLANK([1]!ScoutingData[[#This Row],[leaveStartingZone]]),"",[1]!ScoutingData[[#This Row],[leaveStartingZone]])</f>
        <v/>
      </c>
      <c r="G984" t="str">
        <f>IF(ISBLANK([1]!ScoutingData[[#This Row],[autoAmpScore]]),"",[1]!ScoutingData[[#This Row],[autoAmpScore]])</f>
        <v/>
      </c>
      <c r="H984" t="str">
        <f>IF(ISBLANK([1]!ScoutingData[[#This Row],[autoSpeakerScore]]),"",[1]!ScoutingData[[#This Row],[autoSpeakerScore]])</f>
        <v/>
      </c>
    </row>
    <row r="985" spans="1:8" x14ac:dyDescent="0.45">
      <c r="A985" t="str">
        <f>IF(ISBLANK([1]!ScoutingData[[#This Row],[teamNumber]]),"",[1]!ScoutingData[[#This Row],[teamNumber]])</f>
        <v/>
      </c>
      <c r="B985" t="str">
        <f>IF(ISBLANK([1]!ScoutingData[[#This Row],[matchLevel]]),"",[1]!ScoutingData[[#This Row],[matchLevel]])</f>
        <v/>
      </c>
      <c r="C985" t="str">
        <f>IF(ISBLANK([1]!ScoutingData[[#This Row],[matchNumber]]),"",[1]!ScoutingData[[#This Row],[matchNumber]])</f>
        <v/>
      </c>
      <c r="D985" t="str">
        <f>IF(ISBLANK([1]!ScoutingData[[#This Row],[event]]),"",[1]!ScoutingData[[#This Row],[event]])</f>
        <v/>
      </c>
      <c r="E985" t="str">
        <f>IF(ISBLANK([1]!ScoutingData[[#This Row],[position]]),"",[1]!ScoutingData[[#This Row],[position]])</f>
        <v/>
      </c>
      <c r="F985" t="str">
        <f>IF(ISBLANK([1]!ScoutingData[[#This Row],[leaveStartingZone]]),"",[1]!ScoutingData[[#This Row],[leaveStartingZone]])</f>
        <v/>
      </c>
      <c r="G985" t="str">
        <f>IF(ISBLANK([1]!ScoutingData[[#This Row],[autoAmpScore]]),"",[1]!ScoutingData[[#This Row],[autoAmpScore]])</f>
        <v/>
      </c>
      <c r="H985" t="str">
        <f>IF(ISBLANK([1]!ScoutingData[[#This Row],[autoSpeakerScore]]),"",[1]!ScoutingData[[#This Row],[autoSpeakerScore]])</f>
        <v/>
      </c>
    </row>
    <row r="986" spans="1:8" x14ac:dyDescent="0.45">
      <c r="A986" t="str">
        <f>IF(ISBLANK([1]!ScoutingData[[#This Row],[teamNumber]]),"",[1]!ScoutingData[[#This Row],[teamNumber]])</f>
        <v/>
      </c>
      <c r="B986" t="str">
        <f>IF(ISBLANK([1]!ScoutingData[[#This Row],[matchLevel]]),"",[1]!ScoutingData[[#This Row],[matchLevel]])</f>
        <v/>
      </c>
      <c r="C986" t="str">
        <f>IF(ISBLANK([1]!ScoutingData[[#This Row],[matchNumber]]),"",[1]!ScoutingData[[#This Row],[matchNumber]])</f>
        <v/>
      </c>
      <c r="D986" t="str">
        <f>IF(ISBLANK([1]!ScoutingData[[#This Row],[event]]),"",[1]!ScoutingData[[#This Row],[event]])</f>
        <v/>
      </c>
      <c r="E986" t="str">
        <f>IF(ISBLANK([1]!ScoutingData[[#This Row],[position]]),"",[1]!ScoutingData[[#This Row],[position]])</f>
        <v/>
      </c>
      <c r="F986" t="str">
        <f>IF(ISBLANK([1]!ScoutingData[[#This Row],[leaveStartingZone]]),"",[1]!ScoutingData[[#This Row],[leaveStartingZone]])</f>
        <v/>
      </c>
      <c r="G986" t="str">
        <f>IF(ISBLANK([1]!ScoutingData[[#This Row],[autoAmpScore]]),"",[1]!ScoutingData[[#This Row],[autoAmpScore]])</f>
        <v/>
      </c>
      <c r="H986" t="str">
        <f>IF(ISBLANK([1]!ScoutingData[[#This Row],[autoSpeakerScore]]),"",[1]!ScoutingData[[#This Row],[autoSpeakerScore]])</f>
        <v/>
      </c>
    </row>
    <row r="987" spans="1:8" x14ac:dyDescent="0.45">
      <c r="A987" t="str">
        <f>IF(ISBLANK([1]!ScoutingData[[#This Row],[teamNumber]]),"",[1]!ScoutingData[[#This Row],[teamNumber]])</f>
        <v/>
      </c>
      <c r="B987" t="str">
        <f>IF(ISBLANK([1]!ScoutingData[[#This Row],[matchLevel]]),"",[1]!ScoutingData[[#This Row],[matchLevel]])</f>
        <v/>
      </c>
      <c r="C987" t="str">
        <f>IF(ISBLANK([1]!ScoutingData[[#This Row],[matchNumber]]),"",[1]!ScoutingData[[#This Row],[matchNumber]])</f>
        <v/>
      </c>
      <c r="D987" t="str">
        <f>IF(ISBLANK([1]!ScoutingData[[#This Row],[event]]),"",[1]!ScoutingData[[#This Row],[event]])</f>
        <v/>
      </c>
      <c r="E987" t="str">
        <f>IF(ISBLANK([1]!ScoutingData[[#This Row],[position]]),"",[1]!ScoutingData[[#This Row],[position]])</f>
        <v/>
      </c>
      <c r="F987" t="str">
        <f>IF(ISBLANK([1]!ScoutingData[[#This Row],[leaveStartingZone]]),"",[1]!ScoutingData[[#This Row],[leaveStartingZone]])</f>
        <v/>
      </c>
      <c r="G987" t="str">
        <f>IF(ISBLANK([1]!ScoutingData[[#This Row],[autoAmpScore]]),"",[1]!ScoutingData[[#This Row],[autoAmpScore]])</f>
        <v/>
      </c>
      <c r="H987" t="str">
        <f>IF(ISBLANK([1]!ScoutingData[[#This Row],[autoSpeakerScore]]),"",[1]!ScoutingData[[#This Row],[autoSpeakerScore]])</f>
        <v/>
      </c>
    </row>
    <row r="988" spans="1:8" x14ac:dyDescent="0.45">
      <c r="A988" t="str">
        <f>IF(ISBLANK([1]!ScoutingData[[#This Row],[teamNumber]]),"",[1]!ScoutingData[[#This Row],[teamNumber]])</f>
        <v/>
      </c>
      <c r="B988" t="str">
        <f>IF(ISBLANK([1]!ScoutingData[[#This Row],[matchLevel]]),"",[1]!ScoutingData[[#This Row],[matchLevel]])</f>
        <v/>
      </c>
      <c r="C988" t="str">
        <f>IF(ISBLANK([1]!ScoutingData[[#This Row],[matchNumber]]),"",[1]!ScoutingData[[#This Row],[matchNumber]])</f>
        <v/>
      </c>
      <c r="D988" t="str">
        <f>IF(ISBLANK([1]!ScoutingData[[#This Row],[event]]),"",[1]!ScoutingData[[#This Row],[event]])</f>
        <v/>
      </c>
      <c r="E988" t="str">
        <f>IF(ISBLANK([1]!ScoutingData[[#This Row],[position]]),"",[1]!ScoutingData[[#This Row],[position]])</f>
        <v/>
      </c>
      <c r="F988" t="str">
        <f>IF(ISBLANK([1]!ScoutingData[[#This Row],[leaveStartingZone]]),"",[1]!ScoutingData[[#This Row],[leaveStartingZone]])</f>
        <v/>
      </c>
      <c r="G988" t="str">
        <f>IF(ISBLANK([1]!ScoutingData[[#This Row],[autoAmpScore]]),"",[1]!ScoutingData[[#This Row],[autoAmpScore]])</f>
        <v/>
      </c>
      <c r="H988" t="str">
        <f>IF(ISBLANK([1]!ScoutingData[[#This Row],[autoSpeakerScore]]),"",[1]!ScoutingData[[#This Row],[autoSpeakerScore]])</f>
        <v/>
      </c>
    </row>
    <row r="989" spans="1:8" x14ac:dyDescent="0.45">
      <c r="A989" t="str">
        <f>IF(ISBLANK([1]!ScoutingData[[#This Row],[teamNumber]]),"",[1]!ScoutingData[[#This Row],[teamNumber]])</f>
        <v/>
      </c>
      <c r="B989" t="str">
        <f>IF(ISBLANK([1]!ScoutingData[[#This Row],[matchLevel]]),"",[1]!ScoutingData[[#This Row],[matchLevel]])</f>
        <v/>
      </c>
      <c r="C989" t="str">
        <f>IF(ISBLANK([1]!ScoutingData[[#This Row],[matchNumber]]),"",[1]!ScoutingData[[#This Row],[matchNumber]])</f>
        <v/>
      </c>
      <c r="D989" t="str">
        <f>IF(ISBLANK([1]!ScoutingData[[#This Row],[event]]),"",[1]!ScoutingData[[#This Row],[event]])</f>
        <v/>
      </c>
      <c r="E989" t="str">
        <f>IF(ISBLANK([1]!ScoutingData[[#This Row],[position]]),"",[1]!ScoutingData[[#This Row],[position]])</f>
        <v/>
      </c>
      <c r="F989" t="str">
        <f>IF(ISBLANK([1]!ScoutingData[[#This Row],[leaveStartingZone]]),"",[1]!ScoutingData[[#This Row],[leaveStartingZone]])</f>
        <v/>
      </c>
      <c r="G989" t="str">
        <f>IF(ISBLANK([1]!ScoutingData[[#This Row],[autoAmpScore]]),"",[1]!ScoutingData[[#This Row],[autoAmpScore]])</f>
        <v/>
      </c>
      <c r="H989" t="str">
        <f>IF(ISBLANK([1]!ScoutingData[[#This Row],[autoSpeakerScore]]),"",[1]!ScoutingData[[#This Row],[autoSpeakerScore]])</f>
        <v/>
      </c>
    </row>
    <row r="990" spans="1:8" x14ac:dyDescent="0.45">
      <c r="A990" t="str">
        <f>IF(ISBLANK([1]!ScoutingData[[#This Row],[teamNumber]]),"",[1]!ScoutingData[[#This Row],[teamNumber]])</f>
        <v/>
      </c>
      <c r="B990" t="str">
        <f>IF(ISBLANK([1]!ScoutingData[[#This Row],[matchLevel]]),"",[1]!ScoutingData[[#This Row],[matchLevel]])</f>
        <v/>
      </c>
      <c r="C990" t="str">
        <f>IF(ISBLANK([1]!ScoutingData[[#This Row],[matchNumber]]),"",[1]!ScoutingData[[#This Row],[matchNumber]])</f>
        <v/>
      </c>
      <c r="D990" t="str">
        <f>IF(ISBLANK([1]!ScoutingData[[#This Row],[event]]),"",[1]!ScoutingData[[#This Row],[event]])</f>
        <v/>
      </c>
      <c r="E990" t="str">
        <f>IF(ISBLANK([1]!ScoutingData[[#This Row],[position]]),"",[1]!ScoutingData[[#This Row],[position]])</f>
        <v/>
      </c>
      <c r="F990" t="str">
        <f>IF(ISBLANK([1]!ScoutingData[[#This Row],[leaveStartingZone]]),"",[1]!ScoutingData[[#This Row],[leaveStartingZone]])</f>
        <v/>
      </c>
      <c r="G990" t="str">
        <f>IF(ISBLANK([1]!ScoutingData[[#This Row],[autoAmpScore]]),"",[1]!ScoutingData[[#This Row],[autoAmpScore]])</f>
        <v/>
      </c>
      <c r="H990" t="str">
        <f>IF(ISBLANK([1]!ScoutingData[[#This Row],[autoSpeakerScore]]),"",[1]!ScoutingData[[#This Row],[autoSpeakerScore]])</f>
        <v/>
      </c>
    </row>
    <row r="991" spans="1:8" x14ac:dyDescent="0.45">
      <c r="A991" t="str">
        <f>IF(ISBLANK([1]!ScoutingData[[#This Row],[teamNumber]]),"",[1]!ScoutingData[[#This Row],[teamNumber]])</f>
        <v/>
      </c>
      <c r="B991" t="str">
        <f>IF(ISBLANK([1]!ScoutingData[[#This Row],[matchLevel]]),"",[1]!ScoutingData[[#This Row],[matchLevel]])</f>
        <v/>
      </c>
      <c r="C991" t="str">
        <f>IF(ISBLANK([1]!ScoutingData[[#This Row],[matchNumber]]),"",[1]!ScoutingData[[#This Row],[matchNumber]])</f>
        <v/>
      </c>
      <c r="D991" t="str">
        <f>IF(ISBLANK([1]!ScoutingData[[#This Row],[event]]),"",[1]!ScoutingData[[#This Row],[event]])</f>
        <v/>
      </c>
      <c r="E991" t="str">
        <f>IF(ISBLANK([1]!ScoutingData[[#This Row],[position]]),"",[1]!ScoutingData[[#This Row],[position]])</f>
        <v/>
      </c>
      <c r="F991" t="str">
        <f>IF(ISBLANK([1]!ScoutingData[[#This Row],[leaveStartingZone]]),"",[1]!ScoutingData[[#This Row],[leaveStartingZone]])</f>
        <v/>
      </c>
      <c r="G991" t="str">
        <f>IF(ISBLANK([1]!ScoutingData[[#This Row],[autoAmpScore]]),"",[1]!ScoutingData[[#This Row],[autoAmpScore]])</f>
        <v/>
      </c>
      <c r="H991" t="str">
        <f>IF(ISBLANK([1]!ScoutingData[[#This Row],[autoSpeakerScore]]),"",[1]!ScoutingData[[#This Row],[autoSpeakerScore]])</f>
        <v/>
      </c>
    </row>
    <row r="992" spans="1:8" x14ac:dyDescent="0.45">
      <c r="A992" t="str">
        <f>IF(ISBLANK([1]!ScoutingData[[#This Row],[teamNumber]]),"",[1]!ScoutingData[[#This Row],[teamNumber]])</f>
        <v/>
      </c>
      <c r="B992" t="str">
        <f>IF(ISBLANK([1]!ScoutingData[[#This Row],[matchLevel]]),"",[1]!ScoutingData[[#This Row],[matchLevel]])</f>
        <v/>
      </c>
      <c r="C992" t="str">
        <f>IF(ISBLANK([1]!ScoutingData[[#This Row],[matchNumber]]),"",[1]!ScoutingData[[#This Row],[matchNumber]])</f>
        <v/>
      </c>
      <c r="D992" t="str">
        <f>IF(ISBLANK([1]!ScoutingData[[#This Row],[event]]),"",[1]!ScoutingData[[#This Row],[event]])</f>
        <v/>
      </c>
      <c r="E992" t="str">
        <f>IF(ISBLANK([1]!ScoutingData[[#This Row],[position]]),"",[1]!ScoutingData[[#This Row],[position]])</f>
        <v/>
      </c>
      <c r="F992" t="str">
        <f>IF(ISBLANK([1]!ScoutingData[[#This Row],[leaveStartingZone]]),"",[1]!ScoutingData[[#This Row],[leaveStartingZone]])</f>
        <v/>
      </c>
      <c r="G992" t="str">
        <f>IF(ISBLANK([1]!ScoutingData[[#This Row],[autoAmpScore]]),"",[1]!ScoutingData[[#This Row],[autoAmpScore]])</f>
        <v/>
      </c>
      <c r="H992" t="str">
        <f>IF(ISBLANK([1]!ScoutingData[[#This Row],[autoSpeakerScore]]),"",[1]!ScoutingData[[#This Row],[autoSpeakerScore]])</f>
        <v/>
      </c>
    </row>
    <row r="993" spans="1:8" x14ac:dyDescent="0.45">
      <c r="A993" t="str">
        <f>IF(ISBLANK([1]!ScoutingData[[#This Row],[teamNumber]]),"",[1]!ScoutingData[[#This Row],[teamNumber]])</f>
        <v/>
      </c>
      <c r="B993" t="str">
        <f>IF(ISBLANK([1]!ScoutingData[[#This Row],[matchLevel]]),"",[1]!ScoutingData[[#This Row],[matchLevel]])</f>
        <v/>
      </c>
      <c r="C993" t="str">
        <f>IF(ISBLANK([1]!ScoutingData[[#This Row],[matchNumber]]),"",[1]!ScoutingData[[#This Row],[matchNumber]])</f>
        <v/>
      </c>
      <c r="D993" t="str">
        <f>IF(ISBLANK([1]!ScoutingData[[#This Row],[event]]),"",[1]!ScoutingData[[#This Row],[event]])</f>
        <v/>
      </c>
      <c r="E993" t="str">
        <f>IF(ISBLANK([1]!ScoutingData[[#This Row],[position]]),"",[1]!ScoutingData[[#This Row],[position]])</f>
        <v/>
      </c>
      <c r="F993" t="str">
        <f>IF(ISBLANK([1]!ScoutingData[[#This Row],[leaveStartingZone]]),"",[1]!ScoutingData[[#This Row],[leaveStartingZone]])</f>
        <v/>
      </c>
      <c r="G993" t="str">
        <f>IF(ISBLANK([1]!ScoutingData[[#This Row],[autoAmpScore]]),"",[1]!ScoutingData[[#This Row],[autoAmpScore]])</f>
        <v/>
      </c>
      <c r="H993" t="str">
        <f>IF(ISBLANK([1]!ScoutingData[[#This Row],[autoSpeakerScore]]),"",[1]!ScoutingData[[#This Row],[autoSpeakerScore]])</f>
        <v/>
      </c>
    </row>
    <row r="994" spans="1:8" x14ac:dyDescent="0.45">
      <c r="A994" t="str">
        <f>IF(ISBLANK([1]!ScoutingData[[#This Row],[teamNumber]]),"",[1]!ScoutingData[[#This Row],[teamNumber]])</f>
        <v/>
      </c>
      <c r="B994" t="str">
        <f>IF(ISBLANK([1]!ScoutingData[[#This Row],[matchLevel]]),"",[1]!ScoutingData[[#This Row],[matchLevel]])</f>
        <v/>
      </c>
      <c r="C994" t="str">
        <f>IF(ISBLANK([1]!ScoutingData[[#This Row],[matchNumber]]),"",[1]!ScoutingData[[#This Row],[matchNumber]])</f>
        <v/>
      </c>
      <c r="D994" t="str">
        <f>IF(ISBLANK([1]!ScoutingData[[#This Row],[event]]),"",[1]!ScoutingData[[#This Row],[event]])</f>
        <v/>
      </c>
      <c r="E994" t="str">
        <f>IF(ISBLANK([1]!ScoutingData[[#This Row],[position]]),"",[1]!ScoutingData[[#This Row],[position]])</f>
        <v/>
      </c>
      <c r="F994" t="str">
        <f>IF(ISBLANK([1]!ScoutingData[[#This Row],[leaveStartingZone]]),"",[1]!ScoutingData[[#This Row],[leaveStartingZone]])</f>
        <v/>
      </c>
      <c r="G994" t="str">
        <f>IF(ISBLANK([1]!ScoutingData[[#This Row],[autoAmpScore]]),"",[1]!ScoutingData[[#This Row],[autoAmpScore]])</f>
        <v/>
      </c>
      <c r="H994" t="str">
        <f>IF(ISBLANK([1]!ScoutingData[[#This Row],[autoSpeakerScore]]),"",[1]!ScoutingData[[#This Row],[autoSpeakerScore]])</f>
        <v/>
      </c>
    </row>
    <row r="995" spans="1:8" x14ac:dyDescent="0.45">
      <c r="A995" t="str">
        <f>IF(ISBLANK([1]!ScoutingData[[#This Row],[teamNumber]]),"",[1]!ScoutingData[[#This Row],[teamNumber]])</f>
        <v/>
      </c>
      <c r="B995" t="str">
        <f>IF(ISBLANK([1]!ScoutingData[[#This Row],[matchLevel]]),"",[1]!ScoutingData[[#This Row],[matchLevel]])</f>
        <v/>
      </c>
      <c r="C995" t="str">
        <f>IF(ISBLANK([1]!ScoutingData[[#This Row],[matchNumber]]),"",[1]!ScoutingData[[#This Row],[matchNumber]])</f>
        <v/>
      </c>
      <c r="D995" t="str">
        <f>IF(ISBLANK([1]!ScoutingData[[#This Row],[event]]),"",[1]!ScoutingData[[#This Row],[event]])</f>
        <v/>
      </c>
      <c r="E995" t="str">
        <f>IF(ISBLANK([1]!ScoutingData[[#This Row],[position]]),"",[1]!ScoutingData[[#This Row],[position]])</f>
        <v/>
      </c>
      <c r="F995" t="str">
        <f>IF(ISBLANK([1]!ScoutingData[[#This Row],[leaveStartingZone]]),"",[1]!ScoutingData[[#This Row],[leaveStartingZone]])</f>
        <v/>
      </c>
      <c r="G995" t="str">
        <f>IF(ISBLANK([1]!ScoutingData[[#This Row],[autoAmpScore]]),"",[1]!ScoutingData[[#This Row],[autoAmpScore]])</f>
        <v/>
      </c>
      <c r="H995" t="str">
        <f>IF(ISBLANK([1]!ScoutingData[[#This Row],[autoSpeakerScore]]),"",[1]!ScoutingData[[#This Row],[autoSpeakerScore]])</f>
        <v/>
      </c>
    </row>
    <row r="996" spans="1:8" x14ac:dyDescent="0.45">
      <c r="A996" t="str">
        <f>IF(ISBLANK([1]!ScoutingData[[#This Row],[teamNumber]]),"",[1]!ScoutingData[[#This Row],[teamNumber]])</f>
        <v/>
      </c>
      <c r="B996" t="str">
        <f>IF(ISBLANK([1]!ScoutingData[[#This Row],[matchLevel]]),"",[1]!ScoutingData[[#This Row],[matchLevel]])</f>
        <v/>
      </c>
      <c r="C996" t="str">
        <f>IF(ISBLANK([1]!ScoutingData[[#This Row],[matchNumber]]),"",[1]!ScoutingData[[#This Row],[matchNumber]])</f>
        <v/>
      </c>
      <c r="D996" t="str">
        <f>IF(ISBLANK([1]!ScoutingData[[#This Row],[event]]),"",[1]!ScoutingData[[#This Row],[event]])</f>
        <v/>
      </c>
      <c r="E996" t="str">
        <f>IF(ISBLANK([1]!ScoutingData[[#This Row],[position]]),"",[1]!ScoutingData[[#This Row],[position]])</f>
        <v/>
      </c>
      <c r="F996" t="str">
        <f>IF(ISBLANK([1]!ScoutingData[[#This Row],[leaveStartingZone]]),"",[1]!ScoutingData[[#This Row],[leaveStartingZone]])</f>
        <v/>
      </c>
      <c r="G996" t="str">
        <f>IF(ISBLANK([1]!ScoutingData[[#This Row],[autoAmpScore]]),"",[1]!ScoutingData[[#This Row],[autoAmpScore]])</f>
        <v/>
      </c>
      <c r="H996" t="str">
        <f>IF(ISBLANK([1]!ScoutingData[[#This Row],[autoSpeakerScore]]),"",[1]!ScoutingData[[#This Row],[autoSpeakerScore]])</f>
        <v/>
      </c>
    </row>
    <row r="997" spans="1:8" x14ac:dyDescent="0.45">
      <c r="A997" t="str">
        <f>IF(ISBLANK([1]!ScoutingData[[#This Row],[teamNumber]]),"",[1]!ScoutingData[[#This Row],[teamNumber]])</f>
        <v/>
      </c>
      <c r="B997" t="str">
        <f>IF(ISBLANK([1]!ScoutingData[[#This Row],[matchLevel]]),"",[1]!ScoutingData[[#This Row],[matchLevel]])</f>
        <v/>
      </c>
      <c r="C997" t="str">
        <f>IF(ISBLANK([1]!ScoutingData[[#This Row],[matchNumber]]),"",[1]!ScoutingData[[#This Row],[matchNumber]])</f>
        <v/>
      </c>
      <c r="D997" t="str">
        <f>IF(ISBLANK([1]!ScoutingData[[#This Row],[event]]),"",[1]!ScoutingData[[#This Row],[event]])</f>
        <v/>
      </c>
      <c r="E997" t="str">
        <f>IF(ISBLANK([1]!ScoutingData[[#This Row],[position]]),"",[1]!ScoutingData[[#This Row],[position]])</f>
        <v/>
      </c>
      <c r="F997" t="str">
        <f>IF(ISBLANK([1]!ScoutingData[[#This Row],[leaveStartingZone]]),"",[1]!ScoutingData[[#This Row],[leaveStartingZone]])</f>
        <v/>
      </c>
      <c r="G997" t="str">
        <f>IF(ISBLANK([1]!ScoutingData[[#This Row],[autoAmpScore]]),"",[1]!ScoutingData[[#This Row],[autoAmpScore]])</f>
        <v/>
      </c>
      <c r="H997" t="str">
        <f>IF(ISBLANK([1]!ScoutingData[[#This Row],[autoSpeakerScore]]),"",[1]!ScoutingData[[#This Row],[autoSpeakerScore]])</f>
        <v/>
      </c>
    </row>
    <row r="998" spans="1:8" x14ac:dyDescent="0.45">
      <c r="A998" t="str">
        <f>IF(ISBLANK([1]!ScoutingData[[#This Row],[teamNumber]]),"",[1]!ScoutingData[[#This Row],[teamNumber]])</f>
        <v/>
      </c>
      <c r="B998" t="str">
        <f>IF(ISBLANK([1]!ScoutingData[[#This Row],[matchLevel]]),"",[1]!ScoutingData[[#This Row],[matchLevel]])</f>
        <v/>
      </c>
      <c r="C998" t="str">
        <f>IF(ISBLANK([1]!ScoutingData[[#This Row],[matchNumber]]),"",[1]!ScoutingData[[#This Row],[matchNumber]])</f>
        <v/>
      </c>
      <c r="D998" t="str">
        <f>IF(ISBLANK([1]!ScoutingData[[#This Row],[event]]),"",[1]!ScoutingData[[#This Row],[event]])</f>
        <v/>
      </c>
      <c r="E998" t="str">
        <f>IF(ISBLANK([1]!ScoutingData[[#This Row],[position]]),"",[1]!ScoutingData[[#This Row],[position]])</f>
        <v/>
      </c>
      <c r="F998" t="str">
        <f>IF(ISBLANK([1]!ScoutingData[[#This Row],[leaveStartingZone]]),"",[1]!ScoutingData[[#This Row],[leaveStartingZone]])</f>
        <v/>
      </c>
      <c r="G998" t="str">
        <f>IF(ISBLANK([1]!ScoutingData[[#This Row],[autoAmpScore]]),"",[1]!ScoutingData[[#This Row],[autoAmpScore]])</f>
        <v/>
      </c>
      <c r="H998" t="str">
        <f>IF(ISBLANK([1]!ScoutingData[[#This Row],[autoSpeakerScore]]),"",[1]!ScoutingData[[#This Row],[autoSpeakerScore]])</f>
        <v/>
      </c>
    </row>
    <row r="999" spans="1:8" x14ac:dyDescent="0.45">
      <c r="A999" t="str">
        <f>IF(ISBLANK([1]!ScoutingData[[#This Row],[teamNumber]]),"",[1]!ScoutingData[[#This Row],[teamNumber]])</f>
        <v/>
      </c>
      <c r="B999" t="str">
        <f>IF(ISBLANK([1]!ScoutingData[[#This Row],[matchLevel]]),"",[1]!ScoutingData[[#This Row],[matchLevel]])</f>
        <v/>
      </c>
      <c r="C999" t="str">
        <f>IF(ISBLANK([1]!ScoutingData[[#This Row],[matchNumber]]),"",[1]!ScoutingData[[#This Row],[matchNumber]])</f>
        <v/>
      </c>
      <c r="D999" t="str">
        <f>IF(ISBLANK([1]!ScoutingData[[#This Row],[event]]),"",[1]!ScoutingData[[#This Row],[event]])</f>
        <v/>
      </c>
      <c r="E999" t="str">
        <f>IF(ISBLANK([1]!ScoutingData[[#This Row],[position]]),"",[1]!ScoutingData[[#This Row],[position]])</f>
        <v/>
      </c>
      <c r="F999" t="str">
        <f>IF(ISBLANK([1]!ScoutingData[[#This Row],[leaveStartingZone]]),"",[1]!ScoutingData[[#This Row],[leaveStartingZone]])</f>
        <v/>
      </c>
      <c r="G999" t="str">
        <f>IF(ISBLANK([1]!ScoutingData[[#This Row],[autoAmpScore]]),"",[1]!ScoutingData[[#This Row],[autoAmpScore]])</f>
        <v/>
      </c>
      <c r="H999" t="str">
        <f>IF(ISBLANK([1]!ScoutingData[[#This Row],[autoSpeakerScore]]),"",[1]!ScoutingData[[#This Row],[autoSpeakerScore]])</f>
        <v/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061D7-7E56-4847-B29A-0676941B702C}">
  <sheetPr codeName="Sheet5"/>
  <dimension ref="A1:H500"/>
  <sheetViews>
    <sheetView workbookViewId="0">
      <selection activeCell="E6" sqref="E6"/>
    </sheetView>
  </sheetViews>
  <sheetFormatPr defaultRowHeight="14.25" x14ac:dyDescent="0.45"/>
  <sheetData>
    <row r="1" spans="1:8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</row>
    <row r="2" spans="1:8" x14ac:dyDescent="0.45">
      <c r="A2" s="23">
        <f>IF(ISBLANK([1]PitScoutingInfo!A2),"",[1]PitScoutingInfo!A2)</f>
        <v>876</v>
      </c>
      <c r="B2" s="23" t="str">
        <f>IF(ISBLANK([1]PitScoutingInfo!B2),"",[1]PitScoutingInfo!B2)</f>
        <v>Sound check</v>
      </c>
      <c r="C2" s="23" t="str">
        <f>IF(ISBLANK([1]PitScoutingInfo!J2),"",[1]PitScoutingInfo!J2)</f>
        <v>Y</v>
      </c>
      <c r="D2" s="23">
        <f>IF(ISBLANK([1]PitScoutingInfo!M2),"",[1]PitScoutingInfo!M2)</f>
        <v>0</v>
      </c>
      <c r="E2" s="23">
        <f>IF(ISBLANK([1]PitScoutingInfo!N2),"",[1]PitScoutingInfo!N2)</f>
        <v>2</v>
      </c>
      <c r="F2" s="23" t="str">
        <f>IF(ISBLANK([1]PitScoutingInfo!V2),"",[1]PitScoutingInfo!V2)</f>
        <v>[]</v>
      </c>
      <c r="G2" s="23" t="str">
        <f>IF(ISBLANK([1]PitScoutingInfo!W2),"",[1]PitScoutingInfo!W2)</f>
        <v>[58,35,19]</v>
      </c>
      <c r="H2" s="23" t="str">
        <f>IF(ISBLANK([1]PitScoutingInfo!Z2),"",[1]PitScoutingInfo!Z2)</f>
        <v>Mainly speaker and stary zone</v>
      </c>
    </row>
    <row r="3" spans="1:8" x14ac:dyDescent="0.45">
      <c r="A3" s="23">
        <f>IF(ISBLANK([1]PitScoutingInfo!A3),"",[1]PitScoutingInfo!A3)</f>
        <v>877</v>
      </c>
      <c r="B3" s="23" t="str">
        <f>IF(ISBLANK([1]PitScoutingInfo!B3),"",[1]PitScoutingInfo!B3)</f>
        <v>Jerry</v>
      </c>
      <c r="C3" s="23" t="str">
        <f>IF(ISBLANK([1]PitScoutingInfo!J3),"",[1]PitScoutingInfo!J3)</f>
        <v>Y</v>
      </c>
      <c r="D3" s="23">
        <f>IF(ISBLANK([1]PitScoutingInfo!M3),"",[1]PitScoutingInfo!M3)</f>
        <v>0</v>
      </c>
      <c r="E3" s="23">
        <f>IF(ISBLANK([1]PitScoutingInfo!N3),"",[1]PitScoutingInfo!N3)</f>
        <v>0</v>
      </c>
      <c r="F3" s="23" t="str">
        <f>IF(ISBLANK([1]PitScoutingInfo!V3),"",[1]PitScoutingInfo!V3)</f>
        <v>[]</v>
      </c>
      <c r="G3" s="23" t="str">
        <f>IF(ISBLANK([1]PitScoutingInfo!W3),"",[1]PitScoutingInfo!W3)</f>
        <v>[20]</v>
      </c>
      <c r="H3" s="23" t="str">
        <f>IF(ISBLANK([1]PitScoutingInfo!Z3),"",[1]PitScoutingInfo!Z3)</f>
        <v>Drive forward</v>
      </c>
    </row>
    <row r="4" spans="1:8" x14ac:dyDescent="0.45">
      <c r="A4" s="23">
        <f>IF(ISBLANK([1]PitScoutingInfo!A4),"",[1]PitScoutingInfo!A4)</f>
        <v>2177</v>
      </c>
      <c r="B4" s="23" t="str">
        <f>IF(ISBLANK([1]PitScoutingInfo!B4),"",[1]PitScoutingInfo!B4)</f>
        <v>Daphne</v>
      </c>
      <c r="C4" s="23" t="str">
        <f>IF(ISBLANK([1]PitScoutingInfo!J4),"",[1]PitScoutingInfo!J4)</f>
        <v>Y</v>
      </c>
      <c r="D4" s="23">
        <f>IF(ISBLANK([1]PitScoutingInfo!M4),"",[1]PitScoutingInfo!M4)</f>
        <v>0</v>
      </c>
      <c r="E4" s="23">
        <f>IF(ISBLANK([1]PitScoutingInfo!N4),"",[1]PitScoutingInfo!N4)</f>
        <v>1</v>
      </c>
      <c r="F4" s="23" t="str">
        <f>IF(ISBLANK([1]PitScoutingInfo!V4),"",[1]PitScoutingInfo!V4)</f>
        <v>[21,7,10]</v>
      </c>
      <c r="G4" s="23" t="str">
        <f>IF(ISBLANK([1]PitScoutingInfo!W4),"",[1]PitScoutingInfo!W4)</f>
        <v>[21,33]</v>
      </c>
      <c r="H4" s="23" t="str">
        <f>IF(ISBLANK([1]PitScoutingInfo!Z4),"",[1]PitScoutingInfo!Z4)</f>
        <v>score speaker once, leave zone</v>
      </c>
    </row>
    <row r="5" spans="1:8" x14ac:dyDescent="0.45">
      <c r="A5" s="23">
        <f>IF(ISBLANK([1]PitScoutingInfo!A5),"",[1]PitScoutingInfo!A5)</f>
        <v>2450</v>
      </c>
      <c r="B5" s="23" t="str">
        <f>IF(ISBLANK([1]PitScoutingInfo!B5),"",[1]PitScoutingInfo!B5)</f>
        <v>Zane</v>
      </c>
      <c r="C5" s="23" t="str">
        <f>IF(ISBLANK([1]PitScoutingInfo!J5),"",[1]PitScoutingInfo!J5)</f>
        <v>Y</v>
      </c>
      <c r="D5" s="23">
        <f>IF(ISBLANK([1]PitScoutingInfo!M5),"",[1]PitScoutingInfo!M5)</f>
        <v>0</v>
      </c>
      <c r="E5" s="23">
        <f>IF(ISBLANK([1]PitScoutingInfo!N5),"",[1]PitScoutingInfo!N5)</f>
        <v>1</v>
      </c>
      <c r="F5" s="23" t="str">
        <f>IF(ISBLANK([1]PitScoutingInfo!V5),"",[1]PitScoutingInfo!V5)</f>
        <v>[9,7,10]</v>
      </c>
      <c r="G5" s="23" t="str">
        <f>IF(ISBLANK([1]PitScoutingInfo!W5),"",[1]PitScoutingInfo!W5)</f>
        <v>[9,7,10]</v>
      </c>
      <c r="H5" s="23" t="str">
        <f>IF(ISBLANK([1]PitScoutingInfo!Z5),"",[1]PitScoutingInfo!Z5)</f>
        <v>Shoot note go to center</v>
      </c>
    </row>
    <row r="6" spans="1:8" x14ac:dyDescent="0.45">
      <c r="A6" s="23">
        <f>IF(ISBLANK([1]PitScoutingInfo!A6),"",[1]PitScoutingInfo!A6)</f>
        <v>2500</v>
      </c>
      <c r="B6" s="23" t="str">
        <f>IF(ISBLANK([1]PitScoutingInfo!B6),"",[1]PitScoutingInfo!B6)</f>
        <v>Btly</v>
      </c>
      <c r="C6" s="23" t="str">
        <f>IF(ISBLANK([1]PitScoutingInfo!J6),"",[1]PitScoutingInfo!J6)</f>
        <v>Y</v>
      </c>
      <c r="D6" s="23">
        <f>IF(ISBLANK([1]PitScoutingInfo!M6),"",[1]PitScoutingInfo!M6)</f>
        <v>0</v>
      </c>
      <c r="E6" s="23">
        <f>IF(ISBLANK([1]PitScoutingInfo!N6),"",[1]PitScoutingInfo!N6)</f>
        <v>1</v>
      </c>
      <c r="F6" s="23" t="str">
        <f>IF(ISBLANK([1]PitScoutingInfo!V6),"",[1]PitScoutingInfo!V6)</f>
        <v>[7,10]</v>
      </c>
      <c r="G6" s="23" t="str">
        <f>IF(ISBLANK([1]PitScoutingInfo!W6),"",[1]PitScoutingInfo!W6)</f>
        <v>[21]</v>
      </c>
      <c r="H6" s="23" t="str">
        <f>IF(ISBLANK([1]PitScoutingInfo!Z6),"",[1]PitScoutingInfo!Z6)</f>
        <v>Score in speaker than leave</v>
      </c>
    </row>
    <row r="7" spans="1:8" x14ac:dyDescent="0.45">
      <c r="A7" s="23">
        <f>IF(ISBLANK([1]PitScoutingInfo!A7),"",[1]PitScoutingInfo!A7)</f>
        <v>2530</v>
      </c>
      <c r="B7" s="23" t="str">
        <f>IF(ISBLANK([1]PitScoutingInfo!B7),"",[1]PitScoutingInfo!B7)</f>
        <v>Riffs of insanity</v>
      </c>
      <c r="C7" s="23" t="str">
        <f>IF(ISBLANK([1]PitScoutingInfo!J7),"",[1]PitScoutingInfo!J7)</f>
        <v>Y</v>
      </c>
      <c r="D7" s="23">
        <f>IF(ISBLANK([1]PitScoutingInfo!M7),"",[1]PitScoutingInfo!M7)</f>
        <v>0</v>
      </c>
      <c r="E7" s="23">
        <f>IF(ISBLANK([1]PitScoutingInfo!N7),"",[1]PitScoutingInfo!N7)</f>
        <v>4</v>
      </c>
      <c r="F7" s="23" t="str">
        <f>IF(ISBLANK([1]PitScoutingInfo!V7),"",[1]PitScoutingInfo!V7)</f>
        <v>[7,9,10,9,21,21]</v>
      </c>
      <c r="G7" s="23" t="str">
        <f>IF(ISBLANK([1]PitScoutingInfo!W7),"",[1]PitScoutingInfo!W7)</f>
        <v>[21,10,7,21,18,11]</v>
      </c>
      <c r="H7" s="23" t="str">
        <f>IF(ISBLANK([1]PitScoutingInfo!Z7),"",[1]PitScoutingInfo!Z7)</f>
        <v>Leave, pick up score either sides.</v>
      </c>
    </row>
    <row r="8" spans="1:8" x14ac:dyDescent="0.45">
      <c r="A8" s="23">
        <f>IF(ISBLANK([1]PitScoutingInfo!A8),"",[1]PitScoutingInfo!A8)</f>
        <v>2549</v>
      </c>
      <c r="B8" s="23" t="str">
        <f>IF(ISBLANK([1]PitScoutingInfo!B8),"",[1]PitScoutingInfo!B8)</f>
        <v>Becky</v>
      </c>
      <c r="C8" s="23" t="str">
        <f>IF(ISBLANK([1]PitScoutingInfo!J8),"",[1]PitScoutingInfo!J8)</f>
        <v>Y</v>
      </c>
      <c r="D8" s="23">
        <f>IF(ISBLANK([1]PitScoutingInfo!M8),"",[1]PitScoutingInfo!M8)</f>
        <v>2</v>
      </c>
      <c r="E8" s="23">
        <f>IF(ISBLANK([1]PitScoutingInfo!N8),"",[1]PitScoutingInfo!N8)</f>
        <v>2</v>
      </c>
      <c r="F8" s="23" t="str">
        <f>IF(ISBLANK([1]PitScoutingInfo!V8),"",[1]PitScoutingInfo!V8)</f>
        <v>[8,9,9,8]</v>
      </c>
      <c r="G8" s="23" t="str">
        <f>IF(ISBLANK([1]PitScoutingInfo!W8),"",[1]PitScoutingInfo!W8)</f>
        <v>[21,11,7]</v>
      </c>
      <c r="H8" s="23" t="str">
        <f>IF(ISBLANK([1]PitScoutingInfo!Z8),"",[1]PitScoutingInfo!Z8)</f>
        <v>2 notes in speaker</v>
      </c>
    </row>
    <row r="9" spans="1:8" x14ac:dyDescent="0.45">
      <c r="A9" s="23">
        <f>IF(ISBLANK([1]PitScoutingInfo!A9),"",[1]PitScoutingInfo!A9)</f>
        <v>2654</v>
      </c>
      <c r="B9" s="23" t="str">
        <f>IF(ISBLANK([1]PitScoutingInfo!B9),"",[1]PitScoutingInfo!B9)</f>
        <v>Switchback</v>
      </c>
      <c r="C9" s="23" t="str">
        <f>IF(ISBLANK([1]PitScoutingInfo!J9),"",[1]PitScoutingInfo!J9)</f>
        <v>N</v>
      </c>
      <c r="D9" s="23">
        <f>IF(ISBLANK([1]PitScoutingInfo!M9),"",[1]PitScoutingInfo!M9)</f>
        <v>0</v>
      </c>
      <c r="E9" s="23">
        <f>IF(ISBLANK([1]PitScoutingInfo!N9),"",[1]PitScoutingInfo!N9)</f>
        <v>0</v>
      </c>
      <c r="F9" s="23" t="str">
        <f>IF(ISBLANK([1]PitScoutingInfo!V9),"",[1]PitScoutingInfo!V9)</f>
        <v>[21]</v>
      </c>
      <c r="G9" s="23" t="str">
        <f>IF(ISBLANK([1]PitScoutingInfo!W9),"",[1]PitScoutingInfo!W9)</f>
        <v>[20]</v>
      </c>
      <c r="H9" s="23" t="str">
        <f>IF(ISBLANK([1]PitScoutingInfo!Z9),"",[1]PitScoutingInfo!Z9)</f>
        <v>score speaker once, leave</v>
      </c>
    </row>
    <row r="10" spans="1:8" x14ac:dyDescent="0.45">
      <c r="A10" s="23">
        <f>IF(ISBLANK([1]PitScoutingInfo!A10),"",[1]PitScoutingInfo!A10)</f>
        <v>2883</v>
      </c>
      <c r="B10" s="23" t="str">
        <f>IF(ISBLANK([1]PitScoutingInfo!B10),"",[1]PitScoutingInfo!B10)</f>
        <v>Isabella</v>
      </c>
      <c r="C10" s="23" t="str">
        <f>IF(ISBLANK([1]PitScoutingInfo!J10),"",[1]PitScoutingInfo!J10)</f>
        <v>Y</v>
      </c>
      <c r="D10" s="23">
        <f>IF(ISBLANK([1]PitScoutingInfo!M10),"",[1]PitScoutingInfo!M10)</f>
        <v>1</v>
      </c>
      <c r="E10" s="23">
        <f>IF(ISBLANK([1]PitScoutingInfo!N10),"",[1]PitScoutingInfo!N10)</f>
        <v>3</v>
      </c>
      <c r="F10" s="23" t="str">
        <f>IF(ISBLANK([1]PitScoutingInfo!V10),"",[1]PitScoutingInfo!V10)</f>
        <v>[11,6]</v>
      </c>
      <c r="G10" s="23" t="str">
        <f>IF(ISBLANK([1]PitScoutingInfo!W10),"",[1]PitScoutingInfo!W10)</f>
        <v>[21,23]</v>
      </c>
      <c r="H10" s="23" t="str">
        <f>IF(ISBLANK([1]PitScoutingInfo!Z10),"",[1]PitScoutingInfo!Z10)</f>
        <v>Amp and speaker and start zone</v>
      </c>
    </row>
    <row r="11" spans="1:8" x14ac:dyDescent="0.45">
      <c r="A11" s="23">
        <f>IF(ISBLANK([1]PitScoutingInfo!A11),"",[1]PitScoutingInfo!A11)</f>
        <v>3026</v>
      </c>
      <c r="B11" s="23" t="str">
        <f>IF(ISBLANK([1]PitScoutingInfo!B11),"",[1]PitScoutingInfo!B11)</f>
        <v>Tuna</v>
      </c>
      <c r="C11" s="23" t="str">
        <f>IF(ISBLANK([1]PitScoutingInfo!J11),"",[1]PitScoutingInfo!J11)</f>
        <v>Y</v>
      </c>
      <c r="D11" s="23">
        <f>IF(ISBLANK([1]PitScoutingInfo!M11),"",[1]PitScoutingInfo!M11)</f>
        <v>0</v>
      </c>
      <c r="E11" s="23">
        <f>IF(ISBLANK([1]PitScoutingInfo!N11),"",[1]PitScoutingInfo!N11)</f>
        <v>2</v>
      </c>
      <c r="F11" s="23" t="str">
        <f>IF(ISBLANK([1]PitScoutingInfo!V11),"",[1]PitScoutingInfo!V11)</f>
        <v>[6,20,11]</v>
      </c>
      <c r="G11" s="23" t="str">
        <f>IF(ISBLANK([1]PitScoutingInfo!W11),"",[1]PitScoutingInfo!W11)</f>
        <v>[21]</v>
      </c>
      <c r="H11" s="23" t="str">
        <f>IF(ISBLANK([1]PitScoutingInfo!Z11),"",[1]PitScoutingInfo!Z11)</f>
        <v>3 ring</v>
      </c>
    </row>
    <row r="12" spans="1:8" x14ac:dyDescent="0.45">
      <c r="A12" s="23">
        <f>IF(ISBLANK([1]PitScoutingInfo!A12),"",[1]PitScoutingInfo!A12)</f>
        <v>3042</v>
      </c>
      <c r="B12" s="23" t="str">
        <f>IF(ISBLANK([1]PitScoutingInfo!B12),"",[1]PitScoutingInfo!B12)</f>
        <v>Larry</v>
      </c>
      <c r="C12" s="23" t="str">
        <f>IF(ISBLANK([1]PitScoutingInfo!J12),"",[1]PitScoutingInfo!J12)</f>
        <v>Y</v>
      </c>
      <c r="D12" s="23">
        <f>IF(ISBLANK([1]PitScoutingInfo!M12),"",[1]PitScoutingInfo!M12)</f>
        <v>0</v>
      </c>
      <c r="E12" s="23">
        <f>IF(ISBLANK([1]PitScoutingInfo!N12),"",[1]PitScoutingInfo!N12)</f>
        <v>1</v>
      </c>
      <c r="F12" s="23" t="str">
        <f>IF(ISBLANK([1]PitScoutingInfo!V12),"",[1]PitScoutingInfo!V12)</f>
        <v>[21,7,11]</v>
      </c>
      <c r="G12" s="23" t="str">
        <f>IF(ISBLANK([1]PitScoutingInfo!W12),"",[1]PitScoutingInfo!W12)</f>
        <v>[9,7,9]</v>
      </c>
      <c r="H12" s="23" t="str">
        <f>IF(ISBLANK([1]PitScoutingInfo!Z12),"",[1]PitScoutingInfo!Z12)</f>
        <v>Back up</v>
      </c>
    </row>
    <row r="13" spans="1:8" x14ac:dyDescent="0.45">
      <c r="A13" s="23">
        <f>IF(ISBLANK([1]PitScoutingInfo!A13),"",[1]PitScoutingInfo!A13)</f>
        <v>3058</v>
      </c>
      <c r="B13" s="23" t="str">
        <f>IF(ISBLANK([1]PitScoutingInfo!B13),"",[1]PitScoutingInfo!B13)</f>
        <v>Public enemy</v>
      </c>
      <c r="C13" s="23" t="str">
        <f>IF(ISBLANK([1]PitScoutingInfo!J13),"",[1]PitScoutingInfo!J13)</f>
        <v>Y</v>
      </c>
      <c r="D13" s="23">
        <f>IF(ISBLANK([1]PitScoutingInfo!M13),"",[1]PitScoutingInfo!M13)</f>
        <v>0</v>
      </c>
      <c r="E13" s="23">
        <f>IF(ISBLANK([1]PitScoutingInfo!N13),"",[1]PitScoutingInfo!N13)</f>
        <v>2</v>
      </c>
      <c r="F13" s="23" t="str">
        <f>IF(ISBLANK([1]PitScoutingInfo!V13),"",[1]PitScoutingInfo!V13)</f>
        <v>[21,8]</v>
      </c>
      <c r="G13" s="23" t="str">
        <f>IF(ISBLANK([1]PitScoutingInfo!W13),"",[1]PitScoutingInfo!W13)</f>
        <v>[9,9]</v>
      </c>
      <c r="H13" s="23" t="str">
        <f>IF(ISBLANK([1]PitScoutingInfo!Z13),"",[1]PitScoutingInfo!Z13)</f>
        <v>Can shoot in speaker and get off line and grab note</v>
      </c>
    </row>
    <row r="14" spans="1:8" x14ac:dyDescent="0.45">
      <c r="A14" s="23">
        <f>IF(ISBLANK([1]PitScoutingInfo!A14),"",[1]PitScoutingInfo!A14)</f>
        <v>3275</v>
      </c>
      <c r="B14" s="23" t="str">
        <f>IF(ISBLANK([1]PitScoutingInfo!B14),"",[1]PitScoutingInfo!B14)</f>
        <v xml:space="preserve">Phoenix </v>
      </c>
      <c r="C14" s="23" t="str">
        <f>IF(ISBLANK([1]PitScoutingInfo!J14),"",[1]PitScoutingInfo!J14)</f>
        <v>Y</v>
      </c>
      <c r="D14" s="23">
        <f>IF(ISBLANK([1]PitScoutingInfo!M14),"",[1]PitScoutingInfo!M14)</f>
        <v>0</v>
      </c>
      <c r="E14" s="23">
        <f>IF(ISBLANK([1]PitScoutingInfo!N14),"",[1]PitScoutingInfo!N14)</f>
        <v>1</v>
      </c>
      <c r="F14" s="23" t="str">
        <f>IF(ISBLANK([1]PitScoutingInfo!V14),"",[1]PitScoutingInfo!V14)</f>
        <v>[21]</v>
      </c>
      <c r="G14" s="23" t="str">
        <f>IF(ISBLANK([1]PitScoutingInfo!W14),"",[1]PitScoutingInfo!W14)</f>
        <v>[9]</v>
      </c>
      <c r="H14" s="23" t="str">
        <f>IF(ISBLANK([1]PitScoutingInfo!Z14),"",[1]PitScoutingInfo!Z14)</f>
        <v>Shoot speaker</v>
      </c>
    </row>
    <row r="15" spans="1:8" x14ac:dyDescent="0.45">
      <c r="A15" s="23">
        <f>IF(ISBLANK([1]PitScoutingInfo!A15),"",[1]PitScoutingInfo!A15)</f>
        <v>3276</v>
      </c>
      <c r="B15" s="23" t="str">
        <f>IF(ISBLANK([1]PitScoutingInfo!B15),"",[1]PitScoutingInfo!B15)</f>
        <v>Piccolo</v>
      </c>
      <c r="C15" s="23" t="str">
        <f>IF(ISBLANK([1]PitScoutingInfo!J15),"",[1]PitScoutingInfo!J15)</f>
        <v>Y</v>
      </c>
      <c r="D15" s="23">
        <f>IF(ISBLANK([1]PitScoutingInfo!M15),"",[1]PitScoutingInfo!M15)</f>
        <v>2</v>
      </c>
      <c r="E15" s="23">
        <f>IF(ISBLANK([1]PitScoutingInfo!N15),"",[1]PitScoutingInfo!N15)</f>
        <v>4</v>
      </c>
      <c r="F15" s="23" t="str">
        <f>IF(ISBLANK([1]PitScoutingInfo!V15),"",[1]PitScoutingInfo!V15)</f>
        <v>[21]</v>
      </c>
      <c r="G15" s="23" t="str">
        <f>IF(ISBLANK([1]PitScoutingInfo!W15),"",[1]PitScoutingInfo!W15)</f>
        <v>[8,7,-2,24,18,21,22,23]</v>
      </c>
      <c r="H15" s="23" t="str">
        <f>IF(ISBLANK([1]PitScoutingInfo!Z15),"",[1]PitScoutingInfo!Z15)</f>
        <v>Speaker and amp</v>
      </c>
    </row>
    <row r="16" spans="1:8" x14ac:dyDescent="0.45">
      <c r="A16" s="23">
        <f>IF(ISBLANK([1]PitScoutingInfo!A16),"",[1]PitScoutingInfo!A16)</f>
        <v>3277</v>
      </c>
      <c r="B16" s="23" t="str">
        <f>IF(ISBLANK([1]PitScoutingInfo!B16),"",[1]PitScoutingInfo!B16)</f>
        <v>The maestro</v>
      </c>
      <c r="C16" s="23" t="str">
        <f>IF(ISBLANK([1]PitScoutingInfo!J16),"",[1]PitScoutingInfo!J16)</f>
        <v>Y</v>
      </c>
      <c r="D16" s="23">
        <f>IF(ISBLANK([1]PitScoutingInfo!M16),"",[1]PitScoutingInfo!M16)</f>
        <v>0</v>
      </c>
      <c r="E16" s="23">
        <f>IF(ISBLANK([1]PitScoutingInfo!N16),"",[1]PitScoutingInfo!N16)</f>
        <v>4</v>
      </c>
      <c r="F16" s="23" t="str">
        <f>IF(ISBLANK([1]PitScoutingInfo!V16),"",[1]PitScoutingInfo!V16)</f>
        <v>[3]</v>
      </c>
      <c r="G16" s="23" t="str">
        <f>IF(ISBLANK([1]PitScoutingInfo!W16),"",[1]PitScoutingInfo!W16)</f>
        <v>[24,21,9,7,10,7]</v>
      </c>
      <c r="H16" s="23" t="str">
        <f>IF(ISBLANK([1]PitScoutingInfo!Z16),"",[1]PitScoutingInfo!Z16)</f>
        <v>Score speaker</v>
      </c>
    </row>
    <row r="17" spans="1:8" x14ac:dyDescent="0.45">
      <c r="A17" s="23">
        <f>IF(ISBLANK([1]PitScoutingInfo!A17),"",[1]PitScoutingInfo!A17)</f>
        <v>3278</v>
      </c>
      <c r="B17" s="23" t="str">
        <f>IF(ISBLANK([1]PitScoutingInfo!B17),"",[1]PitScoutingInfo!B17)</f>
        <v>Squatchbot</v>
      </c>
      <c r="C17" s="23" t="str">
        <f>IF(ISBLANK([1]PitScoutingInfo!J17),"",[1]PitScoutingInfo!J17)</f>
        <v>Y</v>
      </c>
      <c r="D17" s="23">
        <f>IF(ISBLANK([1]PitScoutingInfo!M17),"",[1]PitScoutingInfo!M17)</f>
        <v>0</v>
      </c>
      <c r="E17" s="23">
        <f>IF(ISBLANK([1]PitScoutingInfo!N17),"",[1]PitScoutingInfo!N17)</f>
        <v>0</v>
      </c>
      <c r="F17" s="23" t="str">
        <f>IF(ISBLANK([1]PitScoutingInfo!V17),"",[1]PitScoutingInfo!V17)</f>
        <v>[11]</v>
      </c>
      <c r="G17" s="23" t="str">
        <f>IF(ISBLANK([1]PitScoutingInfo!W17),"",[1]PitScoutingInfo!W17)</f>
        <v>[9,7]</v>
      </c>
      <c r="H17" s="23" t="str">
        <f>IF(ISBLANK([1]PitScoutingInfo!Z17),"",[1]PitScoutingInfo!Z17)</f>
        <v>pick up note</v>
      </c>
    </row>
    <row r="18" spans="1:8" x14ac:dyDescent="0.45">
      <c r="A18" s="23">
        <f>IF(ISBLANK([1]PitScoutingInfo!A18),"",[1]PitScoutingInfo!A18)</f>
        <v>3293</v>
      </c>
      <c r="B18" s="23" t="str">
        <f>IF(ISBLANK([1]PitScoutingInfo!B18),"",[1]PitScoutingInfo!B18)</f>
        <v>Big G</v>
      </c>
      <c r="C18" s="23" t="str">
        <f>IF(ISBLANK([1]PitScoutingInfo!J18),"",[1]PitScoutingInfo!J18)</f>
        <v>Y</v>
      </c>
      <c r="D18" s="23">
        <f>IF(ISBLANK([1]PitScoutingInfo!M18),"",[1]PitScoutingInfo!M18)</f>
        <v>2</v>
      </c>
      <c r="E18" s="23">
        <f>IF(ISBLANK([1]PitScoutingInfo!N18),"",[1]PitScoutingInfo!N18)</f>
        <v>0</v>
      </c>
      <c r="F18" s="23" t="str">
        <f>IF(ISBLANK([1]PitScoutingInfo!V18),"",[1]PitScoutingInfo!V18)</f>
        <v>[10,7,10]</v>
      </c>
      <c r="G18" s="23" t="str">
        <f>IF(ISBLANK([1]PitScoutingInfo!W18),"",[1]PitScoutingInfo!W18)</f>
        <v>[]</v>
      </c>
      <c r="H18" s="23" t="str">
        <f>IF(ISBLANK([1]PitScoutingInfo!Z18),"",[1]PitScoutingInfo!Z18)</f>
        <v>Score in amp pick up 2 middle and put in shooters way.</v>
      </c>
    </row>
    <row r="19" spans="1:8" x14ac:dyDescent="0.45">
      <c r="A19" s="23">
        <f>IF(ISBLANK([1]PitScoutingInfo!A19),"",[1]PitScoutingInfo!A19)</f>
        <v>3293</v>
      </c>
      <c r="B19" s="23" t="str">
        <f>IF(ISBLANK([1]PitScoutingInfo!B19),"",[1]PitScoutingInfo!B19)</f>
        <v>Big G</v>
      </c>
      <c r="C19" s="23" t="str">
        <f>IF(ISBLANK([1]PitScoutingInfo!J19),"",[1]PitScoutingInfo!J19)</f>
        <v>Y</v>
      </c>
      <c r="D19" s="23">
        <f>IF(ISBLANK([1]PitScoutingInfo!M19),"",[1]PitScoutingInfo!M19)</f>
        <v>2</v>
      </c>
      <c r="E19" s="23">
        <f>IF(ISBLANK([1]PitScoutingInfo!N19),"",[1]PitScoutingInfo!N19)</f>
        <v>0</v>
      </c>
      <c r="F19" s="23" t="str">
        <f>IF(ISBLANK([1]PitScoutingInfo!V19),"",[1]PitScoutingInfo!V19)</f>
        <v>[24,24]</v>
      </c>
      <c r="G19" s="23" t="str">
        <f>IF(ISBLANK([1]PitScoutingInfo!W19),"",[1]PitScoutingInfo!W19)</f>
        <v>[]</v>
      </c>
      <c r="H19" s="23" t="str">
        <f>IF(ISBLANK([1]PitScoutingInfo!Z19),"",[1]PitScoutingInfo!Z19)</f>
        <v>2 notes, give to shooter, score in amp</v>
      </c>
    </row>
    <row r="20" spans="1:8" x14ac:dyDescent="0.45">
      <c r="A20" s="23">
        <f>IF(ISBLANK([1]PitScoutingInfo!A20),"",[1]PitScoutingInfo!A20)</f>
        <v>3298</v>
      </c>
      <c r="B20" s="23" t="str">
        <f>IF(ISBLANK([1]PitScoutingInfo!B20),"",[1]PitScoutingInfo!B20)</f>
        <v>Cortana</v>
      </c>
      <c r="C20" s="23" t="str">
        <f>IF(ISBLANK([1]PitScoutingInfo!J20),"",[1]PitScoutingInfo!J20)</f>
        <v>Y</v>
      </c>
      <c r="D20" s="23">
        <f>IF(ISBLANK([1]PitScoutingInfo!M20),"",[1]PitScoutingInfo!M20)</f>
        <v>1</v>
      </c>
      <c r="E20" s="23">
        <f>IF(ISBLANK([1]PitScoutingInfo!N20),"",[1]PitScoutingInfo!N20)</f>
        <v>0</v>
      </c>
      <c r="F20" s="23" t="str">
        <f>IF(ISBLANK([1]PitScoutingInfo!V20),"",[1]PitScoutingInfo!V20)</f>
        <v>[24]</v>
      </c>
      <c r="G20" s="23" t="str">
        <f>IF(ISBLANK([1]PitScoutingInfo!W20),"",[1]PitScoutingInfo!W20)</f>
        <v>[25]</v>
      </c>
      <c r="H20" s="23" t="str">
        <f>IF(ISBLANK([1]PitScoutingInfo!Z20),"",[1]PitScoutingInfo!Z20)</f>
        <v>Score in amp</v>
      </c>
    </row>
    <row r="21" spans="1:8" x14ac:dyDescent="0.45">
      <c r="A21" s="23">
        <f>IF(ISBLANK([1]PitScoutingInfo!A21),"",[1]PitScoutingInfo!A21)</f>
        <v>3313</v>
      </c>
      <c r="B21" s="23" t="str">
        <f>IF(ISBLANK([1]PitScoutingInfo!B21),"",[1]PitScoutingInfo!B21)</f>
        <v>Sound wave</v>
      </c>
      <c r="C21" s="23" t="str">
        <f>IF(ISBLANK([1]PitScoutingInfo!J21),"",[1]PitScoutingInfo!J21)</f>
        <v>N</v>
      </c>
      <c r="D21" s="23">
        <f>IF(ISBLANK([1]PitScoutingInfo!M21),"",[1]PitScoutingInfo!M21)</f>
        <v>0</v>
      </c>
      <c r="E21" s="23">
        <f>IF(ISBLANK([1]PitScoutingInfo!N21),"",[1]PitScoutingInfo!N21)</f>
        <v>0</v>
      </c>
      <c r="F21" s="23" t="str">
        <f>IF(ISBLANK([1]PitScoutingInfo!V21),"",[1]PitScoutingInfo!V21)</f>
        <v>[]</v>
      </c>
      <c r="G21" s="23" t="str">
        <f>IF(ISBLANK([1]PitScoutingInfo!W21),"",[1]PitScoutingInfo!W21)</f>
        <v>[]</v>
      </c>
      <c r="H21" s="23" t="str">
        <f>IF(ISBLANK([1]PitScoutingInfo!Z21),"",[1]PitScoutingInfo!Z21)</f>
        <v>Nothing</v>
      </c>
    </row>
    <row r="22" spans="1:8" x14ac:dyDescent="0.45">
      <c r="A22" s="23">
        <f>IF(ISBLANK([1]PitScoutingInfo!A22),"",[1]PitScoutingInfo!A22)</f>
        <v>3755</v>
      </c>
      <c r="B22" s="23" t="str">
        <f>IF(ISBLANK([1]PitScoutingInfo!B22),"",[1]PitScoutingInfo!B22)</f>
        <v>elmo</v>
      </c>
      <c r="C22" s="23" t="str">
        <f>IF(ISBLANK([1]PitScoutingInfo!J22),"",[1]PitScoutingInfo!J22)</f>
        <v>N</v>
      </c>
      <c r="D22" s="23">
        <f>IF(ISBLANK([1]PitScoutingInfo!M22),"",[1]PitScoutingInfo!M22)</f>
        <v>0</v>
      </c>
      <c r="E22" s="23">
        <f>IF(ISBLANK([1]PitScoutingInfo!N22),"",[1]PitScoutingInfo!N22)</f>
        <v>1</v>
      </c>
      <c r="F22" s="23" t="str">
        <f>IF(ISBLANK([1]PitScoutingInfo!V22),"",[1]PitScoutingInfo!V22)</f>
        <v>[6,21,11]</v>
      </c>
      <c r="G22" s="23" t="str">
        <f>IF(ISBLANK([1]PitScoutingInfo!W22),"",[1]PitScoutingInfo!W22)</f>
        <v>[9,10]</v>
      </c>
      <c r="H22" s="23" t="str">
        <f>IF(ISBLANK([1]PitScoutingInfo!Z22),"",[1]PitScoutingInfo!Z22)</f>
        <v>none</v>
      </c>
    </row>
    <row r="23" spans="1:8" x14ac:dyDescent="0.45">
      <c r="A23" s="23">
        <f>IF(ISBLANK([1]PitScoutingInfo!A23),"",[1]PitScoutingInfo!A23)</f>
        <v>3871</v>
      </c>
      <c r="B23" s="23" t="str">
        <f>IF(ISBLANK([1]PitScoutingInfo!B23),"",[1]PitScoutingInfo!B23)</f>
        <v>None</v>
      </c>
      <c r="C23" s="23" t="str">
        <f>IF(ISBLANK([1]PitScoutingInfo!J23),"",[1]PitScoutingInfo!J23)</f>
        <v>Y</v>
      </c>
      <c r="D23" s="23">
        <f>IF(ISBLANK([1]PitScoutingInfo!M23),"",[1]PitScoutingInfo!M23)</f>
        <v>0</v>
      </c>
      <c r="E23" s="23">
        <f>IF(ISBLANK([1]PitScoutingInfo!N23),"",[1]PitScoutingInfo!N23)</f>
        <v>1</v>
      </c>
      <c r="F23" s="23" t="str">
        <f>IF(ISBLANK([1]PitScoutingInfo!V23),"",[1]PitScoutingInfo!V23)</f>
        <v>[21]</v>
      </c>
      <c r="G23" s="23" t="str">
        <f>IF(ISBLANK([1]PitScoutingInfo!W23),"",[1]PitScoutingInfo!W23)</f>
        <v>[9,7,10]</v>
      </c>
      <c r="H23" s="23" t="str">
        <f>IF(ISBLANK([1]PitScoutingInfo!Z23),"",[1]PitScoutingInfo!Z23)</f>
        <v>1 in speaker</v>
      </c>
    </row>
    <row r="24" spans="1:8" x14ac:dyDescent="0.45">
      <c r="A24" s="23">
        <f>IF(ISBLANK([1]PitScoutingInfo!A24),"",[1]PitScoutingInfo!A24)</f>
        <v>3926</v>
      </c>
      <c r="B24" s="23" t="str">
        <f>IF(ISBLANK([1]PitScoutingInfo!B24),"",[1]PitScoutingInfo!B24)</f>
        <v>icespit</v>
      </c>
      <c r="C24" s="23" t="str">
        <f>IF(ISBLANK([1]PitScoutingInfo!J24),"",[1]PitScoutingInfo!J24)</f>
        <v>Y</v>
      </c>
      <c r="D24" s="23">
        <f>IF(ISBLANK([1]PitScoutingInfo!M24),"",[1]PitScoutingInfo!M24)</f>
        <v>0</v>
      </c>
      <c r="E24" s="23">
        <f>IF(ISBLANK([1]PitScoutingInfo!N24),"",[1]PitScoutingInfo!N24)</f>
        <v>3</v>
      </c>
      <c r="F24" s="23" t="str">
        <f>IF(ISBLANK([1]PitScoutingInfo!V24),"",[1]PitScoutingInfo!V24)</f>
        <v>[9,7]</v>
      </c>
      <c r="G24" s="23" t="str">
        <f>IF(ISBLANK([1]PitScoutingInfo!W24),"",[1]PitScoutingInfo!W24)</f>
        <v>[9]</v>
      </c>
      <c r="H24" s="23" t="str">
        <f>IF(ISBLANK([1]PitScoutingInfo!Z24),"",[1]PitScoutingInfo!Z24)</f>
        <v>score 1</v>
      </c>
    </row>
    <row r="25" spans="1:8" x14ac:dyDescent="0.45">
      <c r="A25" s="23">
        <f>IF(ISBLANK([1]PitScoutingInfo!A25),"",[1]PitScoutingInfo!A25)</f>
        <v>4181</v>
      </c>
      <c r="B25" s="23" t="str">
        <f>IF(ISBLANK([1]PitScoutingInfo!B25),"",[1]PitScoutingInfo!B25)</f>
        <v>none</v>
      </c>
      <c r="C25" s="23" t="str">
        <f>IF(ISBLANK([1]PitScoutingInfo!J25),"",[1]PitScoutingInfo!J25)</f>
        <v>Y</v>
      </c>
      <c r="D25" s="23">
        <f>IF(ISBLANK([1]PitScoutingInfo!M25),"",[1]PitScoutingInfo!M25)</f>
        <v>0</v>
      </c>
      <c r="E25" s="23">
        <f>IF(ISBLANK([1]PitScoutingInfo!N25),"",[1]PitScoutingInfo!N25)</f>
        <v>2</v>
      </c>
      <c r="F25" s="23" t="str">
        <f>IF(ISBLANK([1]PitScoutingInfo!V25),"",[1]PitScoutingInfo!V25)</f>
        <v>[21,21]</v>
      </c>
      <c r="G25" s="23" t="str">
        <f>IF(ISBLANK([1]PitScoutingInfo!W25),"",[1]PitScoutingInfo!W25)</f>
        <v>[21,21]</v>
      </c>
      <c r="H25" s="23" t="str">
        <f>IF(ISBLANK([1]PitScoutingInfo!Z25),"",[1]PitScoutingInfo!Z25)</f>
        <v>score 1</v>
      </c>
    </row>
    <row r="26" spans="1:8" x14ac:dyDescent="0.45">
      <c r="A26" s="23">
        <f>IF(ISBLANK([1]PitScoutingInfo!A26),"",[1]PitScoutingInfo!A26)</f>
        <v>4198</v>
      </c>
      <c r="B26" s="23" t="str">
        <f>IF(ISBLANK([1]PitScoutingInfo!B26),"",[1]PitScoutingInfo!B26)</f>
        <v>fish</v>
      </c>
      <c r="C26" s="23" t="str">
        <f>IF(ISBLANK([1]PitScoutingInfo!J26),"",[1]PitScoutingInfo!J26)</f>
        <v>Y</v>
      </c>
      <c r="D26" s="23">
        <f>IF(ISBLANK([1]PitScoutingInfo!M26),"",[1]PitScoutingInfo!M26)</f>
        <v>0</v>
      </c>
      <c r="E26" s="23">
        <f>IF(ISBLANK([1]PitScoutingInfo!N26),"",[1]PitScoutingInfo!N26)</f>
        <v>1</v>
      </c>
      <c r="F26" s="23" t="str">
        <f>IF(ISBLANK([1]PitScoutingInfo!V26),"",[1]PitScoutingInfo!V26)</f>
        <v>[6]</v>
      </c>
      <c r="G26" s="23" t="str">
        <f>IF(ISBLANK([1]PitScoutingInfo!W26),"",[1]PitScoutingInfo!W26)</f>
        <v>[21,10,7]</v>
      </c>
      <c r="H26" s="23" t="str">
        <f>IF(ISBLANK([1]PitScoutingInfo!Z26),"",[1]PitScoutingInfo!Z26)</f>
        <v>1 note</v>
      </c>
    </row>
    <row r="27" spans="1:8" x14ac:dyDescent="0.45">
      <c r="A27" s="23">
        <f>IF(ISBLANK([1]PitScoutingInfo!A27),"",[1]PitScoutingInfo!A27)</f>
        <v>4226</v>
      </c>
      <c r="B27" s="23" t="str">
        <f>IF(ISBLANK([1]PitScoutingInfo!B27),"",[1]PitScoutingInfo!B27)</f>
        <v>bounty</v>
      </c>
      <c r="C27" s="23" t="str">
        <f>IF(ISBLANK([1]PitScoutingInfo!J27),"",[1]PitScoutingInfo!J27)</f>
        <v>Y</v>
      </c>
      <c r="D27" s="23">
        <f>IF(ISBLANK([1]PitScoutingInfo!M27),"",[1]PitScoutingInfo!M27)</f>
        <v>0</v>
      </c>
      <c r="E27" s="23">
        <f>IF(ISBLANK([1]PitScoutingInfo!N27),"",[1]PitScoutingInfo!N27)</f>
        <v>1</v>
      </c>
      <c r="F27" s="23" t="str">
        <f>IF(ISBLANK([1]PitScoutingInfo!V27),"",[1]PitScoutingInfo!V27)</f>
        <v>[21]</v>
      </c>
      <c r="G27" s="23" t="str">
        <f>IF(ISBLANK([1]PitScoutingInfo!W27),"",[1]PitScoutingInfo!W27)</f>
        <v>[21,21,9]</v>
      </c>
      <c r="H27" s="23" t="str">
        <f>IF(ISBLANK([1]PitScoutingInfo!Z27),"",[1]PitScoutingInfo!Z27)</f>
        <v>score 1</v>
      </c>
    </row>
    <row r="28" spans="1:8" x14ac:dyDescent="0.45">
      <c r="A28" s="23">
        <f>IF(ISBLANK([1]PitScoutingInfo!A28),"",[1]PitScoutingInfo!A28)</f>
        <v>4238</v>
      </c>
      <c r="B28" s="23" t="str">
        <f>IF(ISBLANK([1]PitScoutingInfo!B28),"",[1]PitScoutingInfo!B28)</f>
        <v/>
      </c>
      <c r="C28" s="23" t="str">
        <f>IF(ISBLANK([1]PitScoutingInfo!J28),"",[1]PitScoutingInfo!J28)</f>
        <v>N</v>
      </c>
      <c r="D28" s="23">
        <f>IF(ISBLANK([1]PitScoutingInfo!M28),"",[1]PitScoutingInfo!M28)</f>
        <v>0</v>
      </c>
      <c r="E28" s="23">
        <f>IF(ISBLANK([1]PitScoutingInfo!N28),"",[1]PitScoutingInfo!N28)</f>
        <v>1</v>
      </c>
      <c r="F28" s="23" t="str">
        <f>IF(ISBLANK([1]PitScoutingInfo!V28),"",[1]PitScoutingInfo!V28)</f>
        <v>[21]</v>
      </c>
      <c r="G28" s="23" t="str">
        <f>IF(ISBLANK([1]PitScoutingInfo!W28),"",[1]PitScoutingInfo!W28)</f>
        <v>[9,10,7]</v>
      </c>
      <c r="H28" s="23" t="str">
        <f>IF(ISBLANK([1]PitScoutingInfo!Z28),"",[1]PitScoutingInfo!Z28)</f>
        <v>shoot 3 and grab a 4th</v>
      </c>
    </row>
    <row r="29" spans="1:8" x14ac:dyDescent="0.45">
      <c r="A29" s="23">
        <f>IF(ISBLANK([1]PitScoutingInfo!A29),"",[1]PitScoutingInfo!A29)</f>
        <v>4239</v>
      </c>
      <c r="B29" s="23" t="str">
        <f>IF(ISBLANK([1]PitScoutingInfo!B29),"",[1]PitScoutingInfo!B29)</f>
        <v>jawn</v>
      </c>
      <c r="C29" s="23" t="str">
        <f>IF(ISBLANK([1]PitScoutingInfo!J29),"",[1]PitScoutingInfo!J29)</f>
        <v>Y</v>
      </c>
      <c r="D29" s="23">
        <f>IF(ISBLANK([1]PitScoutingInfo!M29),"",[1]PitScoutingInfo!M29)</f>
        <v>0</v>
      </c>
      <c r="E29" s="23">
        <f>IF(ISBLANK([1]PitScoutingInfo!N29),"",[1]PitScoutingInfo!N29)</f>
        <v>2</v>
      </c>
      <c r="F29" s="23" t="str">
        <f>IF(ISBLANK([1]PitScoutingInfo!V29),"",[1]PitScoutingInfo!V29)</f>
        <v>[5,6]</v>
      </c>
      <c r="G29" s="23" t="str">
        <f>IF(ISBLANK([1]PitScoutingInfo!W29),"",[1]PitScoutingInfo!W29)</f>
        <v>[9]</v>
      </c>
      <c r="H29" s="23" t="str">
        <f>IF(ISBLANK([1]PitScoutingInfo!Z29),"",[1]PitScoutingInfo!Z29)</f>
        <v>2 and out</v>
      </c>
    </row>
    <row r="30" spans="1:8" x14ac:dyDescent="0.45">
      <c r="A30" s="23">
        <f>IF(ISBLANK([1]PitScoutingInfo!A30),"",[1]PitScoutingInfo!A30)</f>
        <v>4360</v>
      </c>
      <c r="B30" s="23" t="str">
        <f>IF(ISBLANK([1]PitScoutingInfo!B30),"",[1]PitScoutingInfo!B30)</f>
        <v>ferdanand</v>
      </c>
      <c r="C30" s="23" t="str">
        <f>IF(ISBLANK([1]PitScoutingInfo!J30),"",[1]PitScoutingInfo!J30)</f>
        <v>N</v>
      </c>
      <c r="D30" s="23">
        <f>IF(ISBLANK([1]PitScoutingInfo!M30),"",[1]PitScoutingInfo!M30)</f>
        <v>0</v>
      </c>
      <c r="E30" s="23">
        <f>IF(ISBLANK([1]PitScoutingInfo!N30),"",[1]PitScoutingInfo!N30)</f>
        <v>0</v>
      </c>
      <c r="F30" s="23" t="str">
        <f>IF(ISBLANK([1]PitScoutingInfo!V30),"",[1]PitScoutingInfo!V30)</f>
        <v>[]</v>
      </c>
      <c r="G30" s="23" t="str">
        <f>IF(ISBLANK([1]PitScoutingInfo!W30),"",[1]PitScoutingInfo!W30)</f>
        <v>[]</v>
      </c>
      <c r="H30" s="23" t="str">
        <f>IF(ISBLANK([1]PitScoutingInfo!Z30),"",[1]PitScoutingInfo!Z30)</f>
        <v>none</v>
      </c>
    </row>
    <row r="31" spans="1:8" x14ac:dyDescent="0.45">
      <c r="A31" s="23">
        <f>IF(ISBLANK([1]PitScoutingInfo!A31),"",[1]PitScoutingInfo!A31)</f>
        <v>4539</v>
      </c>
      <c r="B31" s="23" t="str">
        <f>IF(ISBLANK([1]PitScoutingInfo!B31),"",[1]PitScoutingInfo!B31)</f>
        <v xml:space="preserve">kashmir </v>
      </c>
      <c r="C31" s="23" t="str">
        <f>IF(ISBLANK([1]PitScoutingInfo!J31),"",[1]PitScoutingInfo!J31)</f>
        <v>Y</v>
      </c>
      <c r="D31" s="23">
        <f>IF(ISBLANK([1]PitScoutingInfo!M31),"",[1]PitScoutingInfo!M31)</f>
        <v>0</v>
      </c>
      <c r="E31" s="23">
        <f>IF(ISBLANK([1]PitScoutingInfo!N31),"",[1]PitScoutingInfo!N31)</f>
        <v>2</v>
      </c>
      <c r="F31" s="23" t="str">
        <f>IF(ISBLANK([1]PitScoutingInfo!V31),"",[1]PitScoutingInfo!V31)</f>
        <v>[21]</v>
      </c>
      <c r="G31" s="23" t="str">
        <f>IF(ISBLANK([1]PitScoutingInfo!W31),"",[1]PitScoutingInfo!W31)</f>
        <v>[21]</v>
      </c>
      <c r="H31" s="23" t="str">
        <f>IF(ISBLANK([1]PitScoutingInfo!Z31),"",[1]PitScoutingInfo!Z31)</f>
        <v xml:space="preserve">pick up notes </v>
      </c>
    </row>
    <row r="32" spans="1:8" x14ac:dyDescent="0.45">
      <c r="A32" s="23">
        <f>IF(ISBLANK([1]PitScoutingInfo!A32),"",[1]PitScoutingInfo!A32)</f>
        <v>4596</v>
      </c>
      <c r="B32" s="23" t="str">
        <f>IF(ISBLANK([1]PitScoutingInfo!B32),"",[1]PitScoutingInfo!B32)</f>
        <v>cassiopea</v>
      </c>
      <c r="C32" s="23" t="str">
        <f>IF(ISBLANK([1]PitScoutingInfo!J32),"",[1]PitScoutingInfo!J32)</f>
        <v>Y</v>
      </c>
      <c r="D32" s="23">
        <f>IF(ISBLANK([1]PitScoutingInfo!M32),"",[1]PitScoutingInfo!M32)</f>
        <v>0</v>
      </c>
      <c r="E32" s="23">
        <f>IF(ISBLANK([1]PitScoutingInfo!N32),"",[1]PitScoutingInfo!N32)</f>
        <v>3</v>
      </c>
      <c r="F32" s="23" t="str">
        <f>IF(ISBLANK([1]PitScoutingInfo!V32),"",[1]PitScoutingInfo!V32)</f>
        <v>[6]</v>
      </c>
      <c r="G32" s="23" t="str">
        <f>IF(ISBLANK([1]PitScoutingInfo!W32),"",[1]PitScoutingInfo!W32)</f>
        <v>[21,20]</v>
      </c>
      <c r="H32" s="23" t="str">
        <f>IF(ISBLANK([1]PitScoutingInfo!Z32),"",[1]PitScoutingInfo!Z32)</f>
        <v>score 2-3</v>
      </c>
    </row>
    <row r="33" spans="1:8" x14ac:dyDescent="0.45">
      <c r="A33" s="23">
        <f>IF(ISBLANK([1]PitScoutingInfo!A33),"",[1]PitScoutingInfo!A33)</f>
        <v>4663</v>
      </c>
      <c r="B33" s="23" t="str">
        <f>IF(ISBLANK([1]PitScoutingInfo!B33),"",[1]PitScoutingInfo!B33)</f>
        <v>mcmera</v>
      </c>
      <c r="C33" s="23" t="str">
        <f>IF(ISBLANK([1]PitScoutingInfo!J33),"",[1]PitScoutingInfo!J33)</f>
        <v>Y</v>
      </c>
      <c r="D33" s="23">
        <f>IF(ISBLANK([1]PitScoutingInfo!M33),"",[1]PitScoutingInfo!M33)</f>
        <v>0</v>
      </c>
      <c r="E33" s="23">
        <f>IF(ISBLANK([1]PitScoutingInfo!N33),"",[1]PitScoutingInfo!N33)</f>
        <v>4</v>
      </c>
      <c r="F33" s="23" t="str">
        <f>IF(ISBLANK([1]PitScoutingInfo!V33),"",[1]PitScoutingInfo!V33)</f>
        <v>[8]</v>
      </c>
      <c r="G33" s="23" t="str">
        <f>IF(ISBLANK([1]PitScoutingInfo!W33),"",[1]PitScoutingInfo!W33)</f>
        <v>[21,21,21,21]</v>
      </c>
      <c r="H33" s="23" t="str">
        <f>IF(ISBLANK([1]PitScoutingInfo!Z33),"",[1]PitScoutingInfo!Z33)</f>
        <v>4 score</v>
      </c>
    </row>
    <row r="34" spans="1:8" x14ac:dyDescent="0.45">
      <c r="A34" s="23">
        <f>IF(ISBLANK([1]PitScoutingInfo!A34),"",[1]PitScoutingInfo!A34)</f>
        <v>4674</v>
      </c>
      <c r="B34" s="23" t="str">
        <f>IF(ISBLANK([1]PitScoutingInfo!B34),"",[1]PitScoutingInfo!B34)</f>
        <v>none</v>
      </c>
      <c r="C34" s="23" t="str">
        <f>IF(ISBLANK([1]PitScoutingInfo!J34),"",[1]PitScoutingInfo!J34)</f>
        <v>Y</v>
      </c>
      <c r="D34" s="23">
        <f>IF(ISBLANK([1]PitScoutingInfo!M34),"",[1]PitScoutingInfo!M34)</f>
        <v>1</v>
      </c>
      <c r="E34" s="23">
        <f>IF(ISBLANK([1]PitScoutingInfo!N34),"",[1]PitScoutingInfo!N34)</f>
        <v>0</v>
      </c>
      <c r="F34" s="23" t="str">
        <f>IF(ISBLANK([1]PitScoutingInfo!V34),"",[1]PitScoutingInfo!V34)</f>
        <v>[21]</v>
      </c>
      <c r="G34" s="23" t="str">
        <f>IF(ISBLANK([1]PitScoutingInfo!W34),"",[1]PitScoutingInfo!W34)</f>
        <v>[21,9]</v>
      </c>
      <c r="H34" s="23" t="str">
        <f>IF(ISBLANK([1]PitScoutingInfo!Z34),"",[1]PitScoutingInfo!Z34)</f>
        <v>score 1</v>
      </c>
    </row>
    <row r="35" spans="1:8" x14ac:dyDescent="0.45">
      <c r="A35" s="23">
        <f>IF(ISBLANK([1]PitScoutingInfo!A35),"",[1]PitScoutingInfo!A35)</f>
        <v>5464</v>
      </c>
      <c r="B35" s="23" t="str">
        <f>IF(ISBLANK([1]PitScoutingInfo!B35),"",[1]PitScoutingInfo!B35)</f>
        <v xml:space="preserve">thunderstruck </v>
      </c>
      <c r="C35" s="23" t="str">
        <f>IF(ISBLANK([1]PitScoutingInfo!J35),"",[1]PitScoutingInfo!J35)</f>
        <v>Y</v>
      </c>
      <c r="D35" s="23">
        <f>IF(ISBLANK([1]PitScoutingInfo!M35),"",[1]PitScoutingInfo!M35)</f>
        <v>0</v>
      </c>
      <c r="E35" s="23">
        <f>IF(ISBLANK([1]PitScoutingInfo!N35),"",[1]PitScoutingInfo!N35)</f>
        <v>4</v>
      </c>
      <c r="F35" s="23" t="str">
        <f>IF(ISBLANK([1]PitScoutingInfo!V35),"",[1]PitScoutingInfo!V35)</f>
        <v>[8,21,21,21]</v>
      </c>
      <c r="G35" s="23" t="str">
        <f>IF(ISBLANK([1]PitScoutingInfo!W35),"",[1]PitScoutingInfo!W35)</f>
        <v>[21,7,10]</v>
      </c>
      <c r="H35" s="23" t="str">
        <f>IF(ISBLANK([1]PitScoutingInfo!Z35),"",[1]PitScoutingInfo!Z35)</f>
        <v xml:space="preserve">4 peice </v>
      </c>
    </row>
    <row r="36" spans="1:8" x14ac:dyDescent="0.45">
      <c r="A36" s="23">
        <f>IF(ISBLANK([1]PitScoutingInfo!A36),"",[1]PitScoutingInfo!A36)</f>
        <v>5576</v>
      </c>
      <c r="B36" s="23" t="str">
        <f>IF(ISBLANK([1]PitScoutingInfo!B36),"",[1]PitScoutingInfo!B36)</f>
        <v>gary</v>
      </c>
      <c r="C36" s="23" t="str">
        <f>IF(ISBLANK([1]PitScoutingInfo!J36),"",[1]PitScoutingInfo!J36)</f>
        <v>Y</v>
      </c>
      <c r="D36" s="23">
        <f>IF(ISBLANK([1]PitScoutingInfo!M36),"",[1]PitScoutingInfo!M36)</f>
        <v>0</v>
      </c>
      <c r="E36" s="23">
        <f>IF(ISBLANK([1]PitScoutingInfo!N36),"",[1]PitScoutingInfo!N36)</f>
        <v>1</v>
      </c>
      <c r="F36" s="23" t="str">
        <f>IF(ISBLANK([1]PitScoutingInfo!V36),"",[1]PitScoutingInfo!V36)</f>
        <v>[5,21,12]</v>
      </c>
      <c r="G36" s="23" t="str">
        <f>IF(ISBLANK([1]PitScoutingInfo!W36),"",[1]PitScoutingInfo!W36)</f>
        <v>[9,21]</v>
      </c>
      <c r="H36" s="23" t="str">
        <f>IF(ISBLANK([1]PitScoutingInfo!Z36),"",[1]PitScoutingInfo!Z36)</f>
        <v>score and move out</v>
      </c>
    </row>
    <row r="37" spans="1:8" x14ac:dyDescent="0.45">
      <c r="A37" s="23">
        <f>IF(ISBLANK([1]PitScoutingInfo!A37),"",[1]PitScoutingInfo!A37)</f>
        <v>5638</v>
      </c>
      <c r="B37" s="23" t="str">
        <f>IF(ISBLANK([1]PitScoutingInfo!B37),"",[1]PitScoutingInfo!B37)</f>
        <v>Michael jukeson</v>
      </c>
      <c r="C37" s="23" t="str">
        <f>IF(ISBLANK([1]PitScoutingInfo!J37),"",[1]PitScoutingInfo!J37)</f>
        <v>Y</v>
      </c>
      <c r="D37" s="23">
        <f>IF(ISBLANK([1]PitScoutingInfo!M37),"",[1]PitScoutingInfo!M37)</f>
        <v>0</v>
      </c>
      <c r="E37" s="23">
        <f>IF(ISBLANK([1]PitScoutingInfo!N37),"",[1]PitScoutingInfo!N37)</f>
        <v>4</v>
      </c>
      <c r="F37" s="23" t="str">
        <f>IF(ISBLANK([1]PitScoutingInfo!V37),"",[1]PitScoutingInfo!V37)</f>
        <v>[9]</v>
      </c>
      <c r="G37" s="23" t="str">
        <f>IF(ISBLANK([1]PitScoutingInfo!W37),"",[1]PitScoutingInfo!W37)</f>
        <v>[9,8,10]</v>
      </c>
      <c r="H37" s="23" t="str">
        <f>IF(ISBLANK([1]PitScoutingInfo!Z37),"",[1]PitScoutingInfo!Z37)</f>
        <v>Score in speaker 4 times</v>
      </c>
    </row>
    <row r="38" spans="1:8" x14ac:dyDescent="0.45">
      <c r="A38" s="23">
        <f>IF(ISBLANK([1]PitScoutingInfo!A38),"",[1]PitScoutingInfo!A38)</f>
        <v>5658</v>
      </c>
      <c r="B38" s="23" t="str">
        <f>IF(ISBLANK([1]PitScoutingInfo!B38),"",[1]PitScoutingInfo!B38)</f>
        <v>filipe</v>
      </c>
      <c r="C38" s="23" t="str">
        <f>IF(ISBLANK([1]PitScoutingInfo!J38),"",[1]PitScoutingInfo!J38)</f>
        <v>N</v>
      </c>
      <c r="D38" s="23">
        <f>IF(ISBLANK([1]PitScoutingInfo!M38),"",[1]PitScoutingInfo!M38)</f>
        <v>0</v>
      </c>
      <c r="E38" s="23">
        <f>IF(ISBLANK([1]PitScoutingInfo!N38),"",[1]PitScoutingInfo!N38)</f>
        <v>0</v>
      </c>
      <c r="F38" s="23" t="str">
        <f>IF(ISBLANK([1]PitScoutingInfo!V38),"",[1]PitScoutingInfo!V38)</f>
        <v>[11,5]</v>
      </c>
      <c r="G38" s="23" t="str">
        <f>IF(ISBLANK([1]PitScoutingInfo!W38),"",[1]PitScoutingInfo!W38)</f>
        <v>[9,9]</v>
      </c>
      <c r="H38" s="23" t="str">
        <f>IF(ISBLANK([1]PitScoutingInfo!Z38),"",[1]PitScoutingInfo!Z38)</f>
        <v xml:space="preserve">none </v>
      </c>
    </row>
    <row r="39" spans="1:8" x14ac:dyDescent="0.45">
      <c r="A39" s="23">
        <f>IF(ISBLANK([1]PitScoutingInfo!A39),"",[1]PitScoutingInfo!A39)</f>
        <v>5929</v>
      </c>
      <c r="B39" s="23" t="str">
        <f>IF(ISBLANK([1]PitScoutingInfo!B39),"",[1]PitScoutingInfo!B39)</f>
        <v>wally</v>
      </c>
      <c r="C39" s="23" t="str">
        <f>IF(ISBLANK([1]PitScoutingInfo!J39),"",[1]PitScoutingInfo!J39)</f>
        <v>Y</v>
      </c>
      <c r="D39" s="23">
        <f>IF(ISBLANK([1]PitScoutingInfo!M39),"",[1]PitScoutingInfo!M39)</f>
        <v>0</v>
      </c>
      <c r="E39" s="23">
        <f>IF(ISBLANK([1]PitScoutingInfo!N39),"",[1]PitScoutingInfo!N39)</f>
        <v>0</v>
      </c>
      <c r="F39" s="23" t="str">
        <f>IF(ISBLANK([1]PitScoutingInfo!V39),"",[1]PitScoutingInfo!V39)</f>
        <v>[10,6]</v>
      </c>
      <c r="G39" s="23" t="str">
        <f>IF(ISBLANK([1]PitScoutingInfo!W39),"",[1]PitScoutingInfo!W39)</f>
        <v>[24,24]</v>
      </c>
      <c r="H39" s="23" t="str">
        <f>IF(ISBLANK([1]PitScoutingInfo!Z39),"",[1]PitScoutingInfo!Z39)</f>
        <v xml:space="preserve">drove forward </v>
      </c>
    </row>
    <row r="40" spans="1:8" x14ac:dyDescent="0.45">
      <c r="A40" s="23">
        <f>IF(ISBLANK([1]PitScoutingInfo!A40),"",[1]PitScoutingInfo!A40)</f>
        <v>6146</v>
      </c>
      <c r="B40" s="23" t="str">
        <f>IF(ISBLANK([1]PitScoutingInfo!B40),"",[1]PitScoutingInfo!B40)</f>
        <v xml:space="preserve">maestro </v>
      </c>
      <c r="C40" s="23" t="str">
        <f>IF(ISBLANK([1]PitScoutingInfo!J40),"",[1]PitScoutingInfo!J40)</f>
        <v>Y</v>
      </c>
      <c r="D40" s="23">
        <f>IF(ISBLANK([1]PitScoutingInfo!M40),"",[1]PitScoutingInfo!M40)</f>
        <v>0</v>
      </c>
      <c r="E40" s="23">
        <f>IF(ISBLANK([1]PitScoutingInfo!N40),"",[1]PitScoutingInfo!N40)</f>
        <v>2</v>
      </c>
      <c r="F40" s="23" t="str">
        <f>IF(ISBLANK([1]PitScoutingInfo!V40),"",[1]PitScoutingInfo!V40)</f>
        <v>[21,21]</v>
      </c>
      <c r="G40" s="23" t="str">
        <f>IF(ISBLANK([1]PitScoutingInfo!W40),"",[1]PitScoutingInfo!W40)</f>
        <v>[9,45]</v>
      </c>
      <c r="H40" s="23" t="str">
        <f>IF(ISBLANK([1]PitScoutingInfo!Z40),"",[1]PitScoutingInfo!Z40)</f>
        <v>score 3</v>
      </c>
    </row>
    <row r="41" spans="1:8" x14ac:dyDescent="0.45">
      <c r="A41" s="23">
        <f>IF(ISBLANK([1]PitScoutingInfo!A41),"",[1]PitScoutingInfo!A41)</f>
        <v>6175</v>
      </c>
      <c r="B41" s="23" t="str">
        <f>IF(ISBLANK([1]PitScoutingInfo!B41),"",[1]PitScoutingInfo!B41)</f>
        <v>Phantom virus</v>
      </c>
      <c r="C41" s="23" t="str">
        <f>IF(ISBLANK([1]PitScoutingInfo!J41),"",[1]PitScoutingInfo!J41)</f>
        <v>Y</v>
      </c>
      <c r="D41" s="23">
        <f>IF(ISBLANK([1]PitScoutingInfo!M41),"",[1]PitScoutingInfo!M41)</f>
        <v>0</v>
      </c>
      <c r="E41" s="23">
        <f>IF(ISBLANK([1]PitScoutingInfo!N41),"",[1]PitScoutingInfo!N41)</f>
        <v>0</v>
      </c>
      <c r="F41" s="23" t="str">
        <f>IF(ISBLANK([1]PitScoutingInfo!V41),"",[1]PitScoutingInfo!V41)</f>
        <v>[6,11,21]</v>
      </c>
      <c r="G41" s="23" t="str">
        <f>IF(ISBLANK([1]PitScoutingInfo!W41),"",[1]PitScoutingInfo!W41)</f>
        <v>[45,9,7,10,24]</v>
      </c>
      <c r="H41" s="23" t="str">
        <f>IF(ISBLANK([1]PitScoutingInfo!Z41),"",[1]PitScoutingInfo!Z41)</f>
        <v>Didn't know</v>
      </c>
    </row>
    <row r="42" spans="1:8" x14ac:dyDescent="0.45">
      <c r="A42" s="23">
        <f>IF(ISBLANK([1]PitScoutingInfo!A42),"",[1]PitScoutingInfo!A42)</f>
        <v>6453</v>
      </c>
      <c r="B42" s="23" t="str">
        <f>IF(ISBLANK([1]PitScoutingInfo!B42),"",[1]PitScoutingInfo!B42)</f>
        <v>X</v>
      </c>
      <c r="C42" s="23" t="str">
        <f>IF(ISBLANK([1]PitScoutingInfo!J42),"",[1]PitScoutingInfo!J42)</f>
        <v>N</v>
      </c>
      <c r="D42" s="23">
        <f>IF(ISBLANK([1]PitScoutingInfo!M42),"",[1]PitScoutingInfo!M42)</f>
        <v>0</v>
      </c>
      <c r="E42" s="23">
        <f>IF(ISBLANK([1]PitScoutingInfo!N42),"",[1]PitScoutingInfo!N42)</f>
        <v>0</v>
      </c>
      <c r="F42" s="23" t="str">
        <f>IF(ISBLANK([1]PitScoutingInfo!V42),"",[1]PitScoutingInfo!V42)</f>
        <v>[]</v>
      </c>
      <c r="G42" s="23" t="str">
        <f>IF(ISBLANK([1]PitScoutingInfo!W42),"",[1]PitScoutingInfo!W42)</f>
        <v>[]</v>
      </c>
      <c r="H42" s="23" t="str">
        <f>IF(ISBLANK([1]PitScoutingInfo!Z42),"",[1]PitScoutingInfo!Z42)</f>
        <v>Nothing</v>
      </c>
    </row>
    <row r="43" spans="1:8" x14ac:dyDescent="0.45">
      <c r="A43" s="23">
        <f>IF(ISBLANK([1]PitScoutingInfo!A43),"",[1]PitScoutingInfo!A43)</f>
        <v>6628</v>
      </c>
      <c r="B43" s="23" t="str">
        <f>IF(ISBLANK([1]PitScoutingInfo!B43),"",[1]PitScoutingInfo!B43)</f>
        <v>Scrat</v>
      </c>
      <c r="C43" s="23" t="str">
        <f>IF(ISBLANK([1]PitScoutingInfo!J43),"",[1]PitScoutingInfo!J43)</f>
        <v>Y</v>
      </c>
      <c r="D43" s="23">
        <f>IF(ISBLANK([1]PitScoutingInfo!M43),"",[1]PitScoutingInfo!M43)</f>
        <v>0</v>
      </c>
      <c r="E43" s="23">
        <f>IF(ISBLANK([1]PitScoutingInfo!N43),"",[1]PitScoutingInfo!N43)</f>
        <v>0</v>
      </c>
      <c r="F43" s="23" t="str">
        <f>IF(ISBLANK([1]PitScoutingInfo!V43),"",[1]PitScoutingInfo!V43)</f>
        <v>[3,11]</v>
      </c>
      <c r="G43" s="23" t="str">
        <f>IF(ISBLANK([1]PitScoutingInfo!W43),"",[1]PitScoutingInfo!W43)</f>
        <v>[24]</v>
      </c>
      <c r="H43" s="23" t="str">
        <f>IF(ISBLANK([1]PitScoutingInfo!Z43),"",[1]PitScoutingInfo!Z43)</f>
        <v>Move</v>
      </c>
    </row>
    <row r="44" spans="1:8" x14ac:dyDescent="0.45">
      <c r="A44" s="23">
        <f>IF(ISBLANK([1]PitScoutingInfo!A44),"",[1]PitScoutingInfo!A44)</f>
        <v>7028</v>
      </c>
      <c r="B44" s="23" t="str">
        <f>IF(ISBLANK([1]PitScoutingInfo!B44),"",[1]PitScoutingInfo!B44)</f>
        <v>Tempo</v>
      </c>
      <c r="C44" s="23" t="str">
        <f>IF(ISBLANK([1]PitScoutingInfo!J44),"",[1]PitScoutingInfo!J44)</f>
        <v>Y</v>
      </c>
      <c r="D44" s="23">
        <f>IF(ISBLANK([1]PitScoutingInfo!M44),"",[1]PitScoutingInfo!M44)</f>
        <v>0</v>
      </c>
      <c r="E44" s="23">
        <f>IF(ISBLANK([1]PitScoutingInfo!N44),"",[1]PitScoutingInfo!N44)</f>
        <v>6</v>
      </c>
      <c r="F44" s="23" t="str">
        <f>IF(ISBLANK([1]PitScoutingInfo!V44),"",[1]PitScoutingInfo!V44)</f>
        <v>[7,11]</v>
      </c>
      <c r="G44" s="23" t="str">
        <f>IF(ISBLANK([1]PitScoutingInfo!W44),"",[1]PitScoutingInfo!W44)</f>
        <v>[21,24,8,16,19,14,22]</v>
      </c>
      <c r="H44" s="23" t="str">
        <f>IF(ISBLANK([1]PitScoutingInfo!Z44),"",[1]PitScoutingInfo!Z44)</f>
        <v xml:space="preserve">Everything </v>
      </c>
    </row>
    <row r="45" spans="1:8" x14ac:dyDescent="0.45">
      <c r="A45" s="23">
        <f>IF(ISBLANK([1]PitScoutingInfo!A45),"",[1]PitScoutingInfo!A45)</f>
        <v>7048</v>
      </c>
      <c r="B45" s="23" t="str">
        <f>IF(ISBLANK([1]PitScoutingInfo!B45),"",[1]PitScoutingInfo!B45)</f>
        <v/>
      </c>
      <c r="C45" s="23" t="str">
        <f>IF(ISBLANK([1]PitScoutingInfo!J45),"",[1]PitScoutingInfo!J45)</f>
        <v>Y</v>
      </c>
      <c r="D45" s="23">
        <f>IF(ISBLANK([1]PitScoutingInfo!M45),"",[1]PitScoutingInfo!M45)</f>
        <v>0</v>
      </c>
      <c r="E45" s="23">
        <f>IF(ISBLANK([1]PitScoutingInfo!N45),"",[1]PitScoutingInfo!N45)</f>
        <v>1</v>
      </c>
      <c r="F45" s="23" t="str">
        <f>IF(ISBLANK([1]PitScoutingInfo!V45),"",[1]PitScoutingInfo!V45)</f>
        <v>[9,11,7]</v>
      </c>
      <c r="G45" s="23" t="str">
        <f>IF(ISBLANK([1]PitScoutingInfo!W45),"",[1]PitScoutingInfo!W45)</f>
        <v>[9]</v>
      </c>
      <c r="H45" s="23" t="str">
        <f>IF(ISBLANK([1]PitScoutingInfo!Z45),"",[1]PitScoutingInfo!Z45)</f>
        <v>shoot one</v>
      </c>
    </row>
    <row r="46" spans="1:8" x14ac:dyDescent="0.45">
      <c r="A46" s="23">
        <f>IF(ISBLANK([1]PitScoutingInfo!A46),"",[1]PitScoutingInfo!A46)</f>
        <v>7235</v>
      </c>
      <c r="B46" s="23" t="str">
        <f>IF(ISBLANK([1]PitScoutingInfo!B46),"",[1]PitScoutingInfo!B46)</f>
        <v>Walter</v>
      </c>
      <c r="C46" s="23" t="str">
        <f>IF(ISBLANK([1]PitScoutingInfo!J46),"",[1]PitScoutingInfo!J46)</f>
        <v>Y</v>
      </c>
      <c r="D46" s="23">
        <f>IF(ISBLANK([1]PitScoutingInfo!M46),"",[1]PitScoutingInfo!M46)</f>
        <v>1</v>
      </c>
      <c r="E46" s="23">
        <f>IF(ISBLANK([1]PitScoutingInfo!N46),"",[1]PitScoutingInfo!N46)</f>
        <v>0</v>
      </c>
      <c r="F46" s="23" t="str">
        <f>IF(ISBLANK([1]PitScoutingInfo!V46),"",[1]PitScoutingInfo!V46)</f>
        <v>[11]</v>
      </c>
      <c r="G46" s="23" t="str">
        <f>IF(ISBLANK([1]PitScoutingInfo!W46),"",[1]PitScoutingInfo!W46)</f>
        <v>[25]</v>
      </c>
      <c r="H46" s="23" t="str">
        <f>IF(ISBLANK([1]PitScoutingInfo!Z46),"",[1]PitScoutingInfo!Z46)</f>
        <v>Amp</v>
      </c>
    </row>
    <row r="47" spans="1:8" x14ac:dyDescent="0.45">
      <c r="A47" s="23">
        <f>IF(ISBLANK([1]PitScoutingInfo!A47),"",[1]PitScoutingInfo!A47)</f>
        <v>7257</v>
      </c>
      <c r="B47" s="23" t="str">
        <f>IF(ISBLANK([1]PitScoutingInfo!B47),"",[1]PitScoutingInfo!B47)</f>
        <v>Mack</v>
      </c>
      <c r="C47" s="23" t="str">
        <f>IF(ISBLANK([1]PitScoutingInfo!J47),"",[1]PitScoutingInfo!J47)</f>
        <v>Y</v>
      </c>
      <c r="D47" s="23">
        <f>IF(ISBLANK([1]PitScoutingInfo!M47),"",[1]PitScoutingInfo!M47)</f>
        <v>0</v>
      </c>
      <c r="E47" s="23">
        <f>IF(ISBLANK([1]PitScoutingInfo!N47),"",[1]PitScoutingInfo!N47)</f>
        <v>4</v>
      </c>
      <c r="F47" s="23" t="str">
        <f>IF(ISBLANK([1]PitScoutingInfo!V47),"",[1]PitScoutingInfo!V47)</f>
        <v>[6]</v>
      </c>
      <c r="G47" s="23" t="str">
        <f>IF(ISBLANK([1]PitScoutingInfo!W47),"",[1]PitScoutingInfo!W47)</f>
        <v>[21,7,10,24]</v>
      </c>
      <c r="H47" s="23" t="str">
        <f>IF(ISBLANK([1]PitScoutingInfo!Z47),"",[1]PitScoutingInfo!Z47)</f>
        <v>Move and speaker score</v>
      </c>
    </row>
    <row r="48" spans="1:8" x14ac:dyDescent="0.45">
      <c r="A48" s="23">
        <f>IF(ISBLANK([1]PitScoutingInfo!A48),"",[1]PitScoutingInfo!A48)</f>
        <v>7677</v>
      </c>
      <c r="B48" s="23" t="str">
        <f>IF(ISBLANK([1]PitScoutingInfo!B48),"",[1]PitScoutingInfo!B48)</f>
        <v>Crazy kim</v>
      </c>
      <c r="C48" s="23" t="str">
        <f>IF(ISBLANK([1]PitScoutingInfo!J48),"",[1]PitScoutingInfo!J48)</f>
        <v>Y</v>
      </c>
      <c r="D48" s="23">
        <f>IF(ISBLANK([1]PitScoutingInfo!M48),"",[1]PitScoutingInfo!M48)</f>
        <v>0</v>
      </c>
      <c r="E48" s="23">
        <f>IF(ISBLANK([1]PitScoutingInfo!N48),"",[1]PitScoutingInfo!N48)</f>
        <v>2</v>
      </c>
      <c r="F48" s="23" t="str">
        <f>IF(ISBLANK([1]PitScoutingInfo!V48),"",[1]PitScoutingInfo!V48)</f>
        <v>[7,21,11]</v>
      </c>
      <c r="G48" s="23" t="str">
        <f>IF(ISBLANK([1]PitScoutingInfo!W48),"",[1]PitScoutingInfo!W48)</f>
        <v>[7,9,10]</v>
      </c>
      <c r="H48" s="23" t="str">
        <f>IF(ISBLANK([1]PitScoutingInfo!Z48),"",[1]PitScoutingInfo!Z48)</f>
        <v>Speaker</v>
      </c>
    </row>
    <row r="49" spans="1:8" x14ac:dyDescent="0.45">
      <c r="A49" s="23">
        <f>IF(ISBLANK([1]PitScoutingInfo!A49),"",[1]PitScoutingInfo!A49)</f>
        <v>8188</v>
      </c>
      <c r="B49" s="23" t="str">
        <f>IF(ISBLANK([1]PitScoutingInfo!B49),"",[1]PitScoutingInfo!B49)</f>
        <v>Brent</v>
      </c>
      <c r="C49" s="23" t="str">
        <f>IF(ISBLANK([1]PitScoutingInfo!J49),"",[1]PitScoutingInfo!J49)</f>
        <v>Y</v>
      </c>
      <c r="D49" s="23">
        <f>IF(ISBLANK([1]PitScoutingInfo!M49),"",[1]PitScoutingInfo!M49)</f>
        <v>0</v>
      </c>
      <c r="E49" s="23">
        <f>IF(ISBLANK([1]PitScoutingInfo!N49),"",[1]PitScoutingInfo!N49)</f>
        <v>4</v>
      </c>
      <c r="F49" s="23" t="str">
        <f>IF(ISBLANK([1]PitScoutingInfo!V49),"",[1]PitScoutingInfo!V49)</f>
        <v>[9,11]</v>
      </c>
      <c r="G49" s="23" t="str">
        <f>IF(ISBLANK([1]PitScoutingInfo!W49),"",[1]PitScoutingInfo!W49)</f>
        <v>[45,29,10,24]</v>
      </c>
      <c r="H49" s="23" t="str">
        <f>IF(ISBLANK([1]PitScoutingInfo!Z49),"",[1]PitScoutingInfo!Z49)</f>
        <v>Move and score speaker</v>
      </c>
    </row>
    <row r="50" spans="1:8" x14ac:dyDescent="0.45">
      <c r="A50" s="23">
        <f>IF(ISBLANK([1]PitScoutingInfo!A50),"",[1]PitScoutingInfo!A50)</f>
        <v>8255</v>
      </c>
      <c r="B50" s="23" t="str">
        <f>IF(ISBLANK([1]PitScoutingInfo!B50),"",[1]PitScoutingInfo!B50)</f>
        <v>Big bertha</v>
      </c>
      <c r="C50" s="23" t="str">
        <f>IF(ISBLANK([1]PitScoutingInfo!J50),"",[1]PitScoutingInfo!J50)</f>
        <v>Y</v>
      </c>
      <c r="D50" s="23">
        <f>IF(ISBLANK([1]PitScoutingInfo!M50),"",[1]PitScoutingInfo!M50)</f>
        <v>0</v>
      </c>
      <c r="E50" s="23">
        <f>IF(ISBLANK([1]PitScoutingInfo!N50),"",[1]PitScoutingInfo!N50)</f>
        <v>1</v>
      </c>
      <c r="F50" s="23" t="str">
        <f>IF(ISBLANK([1]PitScoutingInfo!V50),"",[1]PitScoutingInfo!V50)</f>
        <v>[9]</v>
      </c>
      <c r="G50" s="23" t="str">
        <f>IF(ISBLANK([1]PitScoutingInfo!W50),"",[1]PitScoutingInfo!W50)</f>
        <v>[8,7,10]</v>
      </c>
      <c r="H50" s="23" t="str">
        <f>IF(ISBLANK([1]PitScoutingInfo!Z50),"",[1]PitScoutingInfo!Z50)</f>
        <v>Speaker</v>
      </c>
    </row>
    <row r="51" spans="1:8" x14ac:dyDescent="0.45">
      <c r="A51" s="23">
        <f>IF(ISBLANK([1]PitScoutingInfo!A51),"",[1]PitScoutingInfo!A51)</f>
        <v>8586</v>
      </c>
      <c r="B51" s="23" t="str">
        <f>IF(ISBLANK([1]PitScoutingInfo!B51),"",[1]PitScoutingInfo!B51)</f>
        <v>Firebot</v>
      </c>
      <c r="C51" s="23" t="str">
        <f>IF(ISBLANK([1]PitScoutingInfo!J51),"",[1]PitScoutingInfo!J51)</f>
        <v>N</v>
      </c>
      <c r="D51" s="23">
        <f>IF(ISBLANK([1]PitScoutingInfo!M51),"",[1]PitScoutingInfo!M51)</f>
        <v>0</v>
      </c>
      <c r="E51" s="23">
        <f>IF(ISBLANK([1]PitScoutingInfo!N51),"",[1]PitScoutingInfo!N51)</f>
        <v>0</v>
      </c>
      <c r="F51" s="23" t="str">
        <f>IF(ISBLANK([1]PitScoutingInfo!V51),"",[1]PitScoutingInfo!V51)</f>
        <v>[]</v>
      </c>
      <c r="G51" s="23" t="str">
        <f>IF(ISBLANK([1]PitScoutingInfo!W51),"",[1]PitScoutingInfo!W51)</f>
        <v>[8]</v>
      </c>
      <c r="H51" s="23" t="str">
        <f>IF(ISBLANK([1]PitScoutingInfo!Z51),"",[1]PitScoutingInfo!Z51)</f>
        <v>Nothing</v>
      </c>
    </row>
    <row r="52" spans="1:8" x14ac:dyDescent="0.45">
      <c r="A52" s="23">
        <f>IF(ISBLANK([1]PitScoutingInfo!A52),"",[1]PitScoutingInfo!A52)</f>
        <v>8878</v>
      </c>
      <c r="B52" s="23" t="str">
        <f>IF(ISBLANK([1]PitScoutingInfo!B52),"",[1]PitScoutingInfo!B52)</f>
        <v>Hippobottumus</v>
      </c>
      <c r="C52" s="23" t="str">
        <f>IF(ISBLANK([1]PitScoutingInfo!J52),"",[1]PitScoutingInfo!J52)</f>
        <v>Y</v>
      </c>
      <c r="D52" s="23">
        <f>IF(ISBLANK([1]PitScoutingInfo!M52),"",[1]PitScoutingInfo!M52)</f>
        <v>0</v>
      </c>
      <c r="E52" s="23">
        <f>IF(ISBLANK([1]PitScoutingInfo!N52),"",[1]PitScoutingInfo!N52)</f>
        <v>1</v>
      </c>
      <c r="F52" s="23" t="str">
        <f>IF(ISBLANK([1]PitScoutingInfo!V52),"",[1]PitScoutingInfo!V52)</f>
        <v>[7,4,11]</v>
      </c>
      <c r="G52" s="23" t="str">
        <f>IF(ISBLANK([1]PitScoutingInfo!W52),"",[1]PitScoutingInfo!W52)</f>
        <v>[9,24]</v>
      </c>
      <c r="H52" s="23" t="str">
        <f>IF(ISBLANK([1]PitScoutingInfo!Z52),"",[1]PitScoutingInfo!Z52)</f>
        <v>Score speaker</v>
      </c>
    </row>
    <row r="53" spans="1:8" x14ac:dyDescent="0.45">
      <c r="A53" s="23">
        <f>IF(ISBLANK([1]PitScoutingInfo!A53),"",[1]PitScoutingInfo!A53)</f>
        <v>9474</v>
      </c>
      <c r="B53" s="23" t="str">
        <f>IF(ISBLANK([1]PitScoutingInfo!B53),"",[1]PitScoutingInfo!B53)</f>
        <v>Real</v>
      </c>
      <c r="C53" s="23" t="str">
        <f>IF(ISBLANK([1]PitScoutingInfo!J53),"",[1]PitScoutingInfo!J53)</f>
        <v>Y</v>
      </c>
      <c r="D53" s="23">
        <f>IF(ISBLANK([1]PitScoutingInfo!M53),"",[1]PitScoutingInfo!M53)</f>
        <v>0</v>
      </c>
      <c r="E53" s="23">
        <f>IF(ISBLANK([1]PitScoutingInfo!N53),"",[1]PitScoutingInfo!N53)</f>
        <v>0</v>
      </c>
      <c r="F53" s="23" t="str">
        <f>IF(ISBLANK([1]PitScoutingInfo!V53),"",[1]PitScoutingInfo!V53)</f>
        <v>[]</v>
      </c>
      <c r="G53" s="23" t="str">
        <f>IF(ISBLANK([1]PitScoutingInfo!W53),"",[1]PitScoutingInfo!W53)</f>
        <v>[25]</v>
      </c>
      <c r="H53" s="23" t="str">
        <f>IF(ISBLANK([1]PitScoutingInfo!Z53),"",[1]PitScoutingInfo!Z53)</f>
        <v>Leave starting zone</v>
      </c>
    </row>
    <row r="54" spans="1:8" x14ac:dyDescent="0.45">
      <c r="A54" s="23">
        <f>IF(ISBLANK([1]PitScoutingInfo!A54),"",[1]PitScoutingInfo!A54)</f>
        <v>9576</v>
      </c>
      <c r="B54" s="23" t="str">
        <f>IF(ISBLANK([1]PitScoutingInfo!B54),"",[1]PitScoutingInfo!B54)</f>
        <v>None</v>
      </c>
      <c r="C54" s="23" t="str">
        <f>IF(ISBLANK([1]PitScoutingInfo!J54),"",[1]PitScoutingInfo!J54)</f>
        <v>Y</v>
      </c>
      <c r="D54" s="23">
        <f>IF(ISBLANK([1]PitScoutingInfo!M54),"",[1]PitScoutingInfo!M54)</f>
        <v>1</v>
      </c>
      <c r="E54" s="23">
        <f>IF(ISBLANK([1]PitScoutingInfo!N54),"",[1]PitScoutingInfo!N54)</f>
        <v>1</v>
      </c>
      <c r="F54" s="23" t="str">
        <f>IF(ISBLANK([1]PitScoutingInfo!V54),"",[1]PitScoutingInfo!V54)</f>
        <v>[3,6,11,21]</v>
      </c>
      <c r="G54" s="23" t="str">
        <f>IF(ISBLANK([1]PitScoutingInfo!W54),"",[1]PitScoutingInfo!W54)</f>
        <v>[9,7,10]</v>
      </c>
      <c r="H54" s="23" t="str">
        <f>IF(ISBLANK([1]PitScoutingInfo!Z54),"",[1]PitScoutingInfo!Z54)</f>
        <v>Score speaker</v>
      </c>
    </row>
    <row r="55" spans="1:8" x14ac:dyDescent="0.45">
      <c r="A55" s="23">
        <f>IF(ISBLANK([1]PitScoutingInfo!A55),"",[1]PitScoutingInfo!A55)</f>
        <v>9745</v>
      </c>
      <c r="B55" s="23" t="str">
        <f>IF(ISBLANK([1]PitScoutingInfo!B55),"",[1]PitScoutingInfo!B55)</f>
        <v>X</v>
      </c>
      <c r="C55" s="23" t="str">
        <f>IF(ISBLANK([1]PitScoutingInfo!J55),"",[1]PitScoutingInfo!J55)</f>
        <v>Y</v>
      </c>
      <c r="D55" s="23">
        <f>IF(ISBLANK([1]PitScoutingInfo!M55),"",[1]PitScoutingInfo!M55)</f>
        <v>0</v>
      </c>
      <c r="E55" s="23">
        <f>IF(ISBLANK([1]PitScoutingInfo!N55),"",[1]PitScoutingInfo!N55)</f>
        <v>0</v>
      </c>
      <c r="F55" s="23" t="str">
        <f>IF(ISBLANK([1]PitScoutingInfo!V55),"",[1]PitScoutingInfo!V55)</f>
        <v>[21]</v>
      </c>
      <c r="G55" s="23" t="str">
        <f>IF(ISBLANK([1]PitScoutingInfo!W55),"",[1]PitScoutingInfo!W55)</f>
        <v>[21,24,24,10]</v>
      </c>
      <c r="H55" s="23" t="str">
        <f>IF(ISBLANK([1]PitScoutingInfo!Z55),"",[1]PitScoutingInfo!Z55)</f>
        <v>Move</v>
      </c>
    </row>
    <row r="56" spans="1:8" x14ac:dyDescent="0.45">
      <c r="A56" s="23" t="str">
        <f>IF(ISBLANK([1]PitScoutingInfo!A56),"",[1]PitScoutingInfo!A56)</f>
        <v/>
      </c>
      <c r="B56" s="23" t="str">
        <f>IF(ISBLANK([1]PitScoutingInfo!B56),"",[1]PitScoutingInfo!B56)</f>
        <v/>
      </c>
      <c r="C56" s="23" t="str">
        <f>IF(ISBLANK([1]PitScoutingInfo!J56),"",[1]PitScoutingInfo!J56)</f>
        <v>Y</v>
      </c>
      <c r="D56" s="23">
        <f>IF(ISBLANK([1]PitScoutingInfo!M56),"",[1]PitScoutingInfo!M56)</f>
        <v>1</v>
      </c>
      <c r="E56" s="23">
        <f>IF(ISBLANK([1]PitScoutingInfo!N56),"",[1]PitScoutingInfo!N56)</f>
        <v>1</v>
      </c>
      <c r="F56" s="23" t="str">
        <f>IF(ISBLANK([1]PitScoutingInfo!V56),"",[1]PitScoutingInfo!V56)</f>
        <v>[3,6,11,21]</v>
      </c>
      <c r="G56" s="23" t="str">
        <f>IF(ISBLANK([1]PitScoutingInfo!W56),"",[1]PitScoutingInfo!W56)</f>
        <v>[9,7,10]</v>
      </c>
      <c r="H56" s="23" t="str">
        <f>IF(ISBLANK([1]PitScoutingInfo!Z56),"",[1]PitScoutingInfo!Z56)</f>
        <v>Score speaker</v>
      </c>
    </row>
    <row r="57" spans="1:8" x14ac:dyDescent="0.45">
      <c r="A57" s="23" t="str">
        <f>IF(ISBLANK([1]PitScoutingInfo!A57),"",[1]PitScoutingInfo!A57)</f>
        <v/>
      </c>
      <c r="B57" s="23" t="str">
        <f>IF(ISBLANK([1]PitScoutingInfo!B57),"",[1]PitScoutingInfo!B57)</f>
        <v/>
      </c>
      <c r="C57" s="23" t="str">
        <f>IF(ISBLANK([1]PitScoutingInfo!J57),"",[1]PitScoutingInfo!J57)</f>
        <v/>
      </c>
      <c r="D57" s="23" t="str">
        <f>IF(ISBLANK([1]PitScoutingInfo!M57),"",[1]PitScoutingInfo!M57)</f>
        <v/>
      </c>
      <c r="E57" s="23" t="str">
        <f>IF(ISBLANK([1]PitScoutingInfo!N57),"",[1]PitScoutingInfo!N57)</f>
        <v/>
      </c>
      <c r="F57" s="23" t="str">
        <f>IF(ISBLANK([1]PitScoutingInfo!V57),"",[1]PitScoutingInfo!V57)</f>
        <v/>
      </c>
      <c r="G57" s="23" t="str">
        <f>IF(ISBLANK([1]PitScoutingInfo!W57),"",[1]PitScoutingInfo!W57)</f>
        <v/>
      </c>
      <c r="H57" s="23" t="str">
        <f>IF(ISBLANK([1]PitScoutingInfo!Z57),"",[1]PitScoutingInfo!Z57)</f>
        <v/>
      </c>
    </row>
    <row r="58" spans="1:8" x14ac:dyDescent="0.45">
      <c r="A58" s="23" t="str">
        <f>IF(ISBLANK([1]PitScoutingInfo!A58),"",[1]PitScoutingInfo!A58)</f>
        <v/>
      </c>
      <c r="B58" s="23" t="str">
        <f>IF(ISBLANK([1]PitScoutingInfo!B58),"",[1]PitScoutingInfo!B58)</f>
        <v/>
      </c>
      <c r="C58" s="23" t="str">
        <f>IF(ISBLANK([1]PitScoutingInfo!J58),"",[1]PitScoutingInfo!J58)</f>
        <v/>
      </c>
      <c r="D58" s="23" t="str">
        <f>IF(ISBLANK([1]PitScoutingInfo!M58),"",[1]PitScoutingInfo!M58)</f>
        <v/>
      </c>
      <c r="E58" s="23" t="str">
        <f>IF(ISBLANK([1]PitScoutingInfo!N58),"",[1]PitScoutingInfo!N58)</f>
        <v/>
      </c>
      <c r="F58" s="23" t="str">
        <f>IF(ISBLANK([1]PitScoutingInfo!V58),"",[1]PitScoutingInfo!V58)</f>
        <v/>
      </c>
      <c r="G58" s="23" t="str">
        <f>IF(ISBLANK([1]PitScoutingInfo!W58),"",[1]PitScoutingInfo!W58)</f>
        <v/>
      </c>
      <c r="H58" s="23" t="str">
        <f>IF(ISBLANK([1]PitScoutingInfo!Z58),"",[1]PitScoutingInfo!Z58)</f>
        <v/>
      </c>
    </row>
    <row r="59" spans="1:8" x14ac:dyDescent="0.45">
      <c r="A59" s="23" t="str">
        <f>IF(ISBLANK([1]PitScoutingInfo!A59),"",[1]PitScoutingInfo!A59)</f>
        <v/>
      </c>
      <c r="B59" s="23" t="str">
        <f>IF(ISBLANK([1]PitScoutingInfo!B59),"",[1]PitScoutingInfo!B59)</f>
        <v/>
      </c>
      <c r="C59" s="23" t="str">
        <f>IF(ISBLANK([1]PitScoutingInfo!J59),"",[1]PitScoutingInfo!J59)</f>
        <v/>
      </c>
      <c r="D59" s="23" t="str">
        <f>IF(ISBLANK([1]PitScoutingInfo!M59),"",[1]PitScoutingInfo!M59)</f>
        <v/>
      </c>
      <c r="E59" s="23" t="str">
        <f>IF(ISBLANK([1]PitScoutingInfo!N59),"",[1]PitScoutingInfo!N59)</f>
        <v/>
      </c>
      <c r="F59" s="23" t="str">
        <f>IF(ISBLANK([1]PitScoutingInfo!V59),"",[1]PitScoutingInfo!V59)</f>
        <v/>
      </c>
      <c r="G59" s="23" t="str">
        <f>IF(ISBLANK([1]PitScoutingInfo!W59),"",[1]PitScoutingInfo!W59)</f>
        <v/>
      </c>
      <c r="H59" s="23" t="str">
        <f>IF(ISBLANK([1]PitScoutingInfo!Z59),"",[1]PitScoutingInfo!Z59)</f>
        <v/>
      </c>
    </row>
    <row r="60" spans="1:8" x14ac:dyDescent="0.45">
      <c r="A60" s="23" t="str">
        <f>IF(ISBLANK([1]PitScoutingInfo!A60),"",[1]PitScoutingInfo!A60)</f>
        <v/>
      </c>
      <c r="B60" s="23" t="str">
        <f>IF(ISBLANK([1]PitScoutingInfo!B60),"",[1]PitScoutingInfo!B60)</f>
        <v/>
      </c>
      <c r="C60" s="23" t="str">
        <f>IF(ISBLANK([1]PitScoutingInfo!J60),"",[1]PitScoutingInfo!J60)</f>
        <v/>
      </c>
      <c r="D60" s="23" t="str">
        <f>IF(ISBLANK([1]PitScoutingInfo!M60),"",[1]PitScoutingInfo!M60)</f>
        <v/>
      </c>
      <c r="E60" s="23" t="str">
        <f>IF(ISBLANK([1]PitScoutingInfo!N60),"",[1]PitScoutingInfo!N60)</f>
        <v/>
      </c>
      <c r="F60" s="23" t="str">
        <f>IF(ISBLANK([1]PitScoutingInfo!V60),"",[1]PitScoutingInfo!V60)</f>
        <v/>
      </c>
      <c r="G60" s="23" t="str">
        <f>IF(ISBLANK([1]PitScoutingInfo!W60),"",[1]PitScoutingInfo!W60)</f>
        <v/>
      </c>
      <c r="H60" s="23" t="str">
        <f>IF(ISBLANK([1]PitScoutingInfo!Z60),"",[1]PitScoutingInfo!Z60)</f>
        <v/>
      </c>
    </row>
    <row r="61" spans="1:8" x14ac:dyDescent="0.45">
      <c r="A61" s="23" t="str">
        <f>IF(ISBLANK([1]PitScoutingInfo!A61),"",[1]PitScoutingInfo!A61)</f>
        <v/>
      </c>
      <c r="B61" s="23" t="str">
        <f>IF(ISBLANK([1]PitScoutingInfo!B61),"",[1]PitScoutingInfo!B61)</f>
        <v/>
      </c>
      <c r="C61" s="23" t="str">
        <f>IF(ISBLANK([1]PitScoutingInfo!J61),"",[1]PitScoutingInfo!J61)</f>
        <v/>
      </c>
      <c r="D61" s="23" t="str">
        <f>IF(ISBLANK([1]PitScoutingInfo!M61),"",[1]PitScoutingInfo!M61)</f>
        <v/>
      </c>
      <c r="E61" s="23" t="str">
        <f>IF(ISBLANK([1]PitScoutingInfo!N61),"",[1]PitScoutingInfo!N61)</f>
        <v/>
      </c>
      <c r="F61" s="23" t="str">
        <f>IF(ISBLANK([1]PitScoutingInfo!V61),"",[1]PitScoutingInfo!V61)</f>
        <v/>
      </c>
      <c r="G61" s="23" t="str">
        <f>IF(ISBLANK([1]PitScoutingInfo!W61),"",[1]PitScoutingInfo!W61)</f>
        <v/>
      </c>
      <c r="H61" s="23" t="str">
        <f>IF(ISBLANK([1]PitScoutingInfo!Z61),"",[1]PitScoutingInfo!Z61)</f>
        <v/>
      </c>
    </row>
    <row r="62" spans="1:8" x14ac:dyDescent="0.45">
      <c r="A62" s="23" t="str">
        <f>IF(ISBLANK([1]PitScoutingInfo!A62),"",[1]PitScoutingInfo!A62)</f>
        <v/>
      </c>
      <c r="B62" s="23" t="str">
        <f>IF(ISBLANK([1]PitScoutingInfo!B62),"",[1]PitScoutingInfo!B62)</f>
        <v/>
      </c>
      <c r="C62" s="23" t="str">
        <f>IF(ISBLANK([1]PitScoutingInfo!J62),"",[1]PitScoutingInfo!J62)</f>
        <v/>
      </c>
      <c r="D62" s="23" t="str">
        <f>IF(ISBLANK([1]PitScoutingInfo!M62),"",[1]PitScoutingInfo!M62)</f>
        <v/>
      </c>
      <c r="E62" s="23" t="str">
        <f>IF(ISBLANK([1]PitScoutingInfo!N62),"",[1]PitScoutingInfo!N62)</f>
        <v/>
      </c>
      <c r="F62" s="23" t="str">
        <f>IF(ISBLANK([1]PitScoutingInfo!V62),"",[1]PitScoutingInfo!V62)</f>
        <v/>
      </c>
      <c r="G62" s="23" t="str">
        <f>IF(ISBLANK([1]PitScoutingInfo!W62),"",[1]PitScoutingInfo!W62)</f>
        <v/>
      </c>
      <c r="H62" s="23" t="str">
        <f>IF(ISBLANK([1]PitScoutingInfo!Z62),"",[1]PitScoutingInfo!Z62)</f>
        <v/>
      </c>
    </row>
    <row r="63" spans="1:8" x14ac:dyDescent="0.45">
      <c r="A63" s="23" t="str">
        <f>IF(ISBLANK([1]PitScoutingInfo!A63),"",[1]PitScoutingInfo!A63)</f>
        <v/>
      </c>
      <c r="B63" s="23" t="str">
        <f>IF(ISBLANK([1]PitScoutingInfo!B63),"",[1]PitScoutingInfo!B63)</f>
        <v/>
      </c>
      <c r="C63" s="23" t="str">
        <f>IF(ISBLANK([1]PitScoutingInfo!J63),"",[1]PitScoutingInfo!J63)</f>
        <v/>
      </c>
      <c r="D63" s="23" t="str">
        <f>IF(ISBLANK([1]PitScoutingInfo!M63),"",[1]PitScoutingInfo!M63)</f>
        <v/>
      </c>
      <c r="E63" s="23" t="str">
        <f>IF(ISBLANK([1]PitScoutingInfo!N63),"",[1]PitScoutingInfo!N63)</f>
        <v/>
      </c>
      <c r="F63" s="23" t="str">
        <f>IF(ISBLANK([1]PitScoutingInfo!V63),"",[1]PitScoutingInfo!V63)</f>
        <v/>
      </c>
      <c r="G63" s="23" t="str">
        <f>IF(ISBLANK([1]PitScoutingInfo!W63),"",[1]PitScoutingInfo!W63)</f>
        <v/>
      </c>
      <c r="H63" s="23" t="str">
        <f>IF(ISBLANK([1]PitScoutingInfo!Z63),"",[1]PitScoutingInfo!Z63)</f>
        <v/>
      </c>
    </row>
    <row r="64" spans="1:8" x14ac:dyDescent="0.45">
      <c r="A64" s="23" t="str">
        <f>IF(ISBLANK([1]PitScoutingInfo!A64),"",[1]PitScoutingInfo!A64)</f>
        <v/>
      </c>
      <c r="B64" s="23" t="str">
        <f>IF(ISBLANK([1]PitScoutingInfo!B64),"",[1]PitScoutingInfo!B64)</f>
        <v/>
      </c>
      <c r="C64" s="23" t="str">
        <f>IF(ISBLANK([1]PitScoutingInfo!J64),"",[1]PitScoutingInfo!J64)</f>
        <v/>
      </c>
      <c r="D64" s="23" t="str">
        <f>IF(ISBLANK([1]PitScoutingInfo!M64),"",[1]PitScoutingInfo!M64)</f>
        <v/>
      </c>
      <c r="E64" s="23" t="str">
        <f>IF(ISBLANK([1]PitScoutingInfo!N64),"",[1]PitScoutingInfo!N64)</f>
        <v/>
      </c>
      <c r="F64" s="23" t="str">
        <f>IF(ISBLANK([1]PitScoutingInfo!V64),"",[1]PitScoutingInfo!V64)</f>
        <v/>
      </c>
      <c r="G64" s="23" t="str">
        <f>IF(ISBLANK([1]PitScoutingInfo!W64),"",[1]PitScoutingInfo!W64)</f>
        <v/>
      </c>
      <c r="H64" s="23" t="str">
        <f>IF(ISBLANK([1]PitScoutingInfo!Z64),"",[1]PitScoutingInfo!Z64)</f>
        <v/>
      </c>
    </row>
    <row r="65" spans="1:8" x14ac:dyDescent="0.45">
      <c r="A65" s="23" t="str">
        <f>IF(ISBLANK([1]PitScoutingInfo!A65),"",[1]PitScoutingInfo!A65)</f>
        <v/>
      </c>
      <c r="B65" s="23" t="str">
        <f>IF(ISBLANK([1]PitScoutingInfo!B65),"",[1]PitScoutingInfo!B65)</f>
        <v/>
      </c>
      <c r="C65" s="23" t="str">
        <f>IF(ISBLANK([1]PitScoutingInfo!J65),"",[1]PitScoutingInfo!J65)</f>
        <v/>
      </c>
      <c r="D65" s="23" t="str">
        <f>IF(ISBLANK([1]PitScoutingInfo!M65),"",[1]PitScoutingInfo!M65)</f>
        <v/>
      </c>
      <c r="E65" s="23" t="str">
        <f>IF(ISBLANK([1]PitScoutingInfo!N65),"",[1]PitScoutingInfo!N65)</f>
        <v/>
      </c>
      <c r="F65" s="23" t="str">
        <f>IF(ISBLANK([1]PitScoutingInfo!V65),"",[1]PitScoutingInfo!V65)</f>
        <v/>
      </c>
      <c r="G65" s="23" t="str">
        <f>IF(ISBLANK([1]PitScoutingInfo!W65),"",[1]PitScoutingInfo!W65)</f>
        <v/>
      </c>
      <c r="H65" s="23" t="str">
        <f>IF(ISBLANK([1]PitScoutingInfo!Z65),"",[1]PitScoutingInfo!Z65)</f>
        <v/>
      </c>
    </row>
    <row r="66" spans="1:8" x14ac:dyDescent="0.45">
      <c r="A66" s="23" t="str">
        <f>IF(ISBLANK([1]PitScoutingInfo!A66),"",[1]PitScoutingInfo!A66)</f>
        <v/>
      </c>
      <c r="B66" s="23" t="str">
        <f>IF(ISBLANK([1]PitScoutingInfo!B66),"",[1]PitScoutingInfo!B66)</f>
        <v/>
      </c>
      <c r="C66" s="23" t="str">
        <f>IF(ISBLANK([1]PitScoutingInfo!J66),"",[1]PitScoutingInfo!J66)</f>
        <v/>
      </c>
      <c r="D66" s="23" t="str">
        <f>IF(ISBLANK([1]PitScoutingInfo!M66),"",[1]PitScoutingInfo!M66)</f>
        <v/>
      </c>
      <c r="E66" s="23" t="str">
        <f>IF(ISBLANK([1]PitScoutingInfo!N66),"",[1]PitScoutingInfo!N66)</f>
        <v/>
      </c>
      <c r="F66" s="23" t="str">
        <f>IF(ISBLANK([1]PitScoutingInfo!V66),"",[1]PitScoutingInfo!V66)</f>
        <v/>
      </c>
      <c r="G66" s="23" t="str">
        <f>IF(ISBLANK([1]PitScoutingInfo!W66),"",[1]PitScoutingInfo!W66)</f>
        <v/>
      </c>
      <c r="H66" s="23" t="str">
        <f>IF(ISBLANK([1]PitScoutingInfo!Z66),"",[1]PitScoutingInfo!Z66)</f>
        <v/>
      </c>
    </row>
    <row r="67" spans="1:8" x14ac:dyDescent="0.45">
      <c r="A67" s="23" t="str">
        <f>IF(ISBLANK([1]PitScoutingInfo!A67),"",[1]PitScoutingInfo!A67)</f>
        <v/>
      </c>
      <c r="B67" s="23" t="str">
        <f>IF(ISBLANK([1]PitScoutingInfo!B67),"",[1]PitScoutingInfo!B67)</f>
        <v/>
      </c>
      <c r="C67" s="23" t="str">
        <f>IF(ISBLANK([1]PitScoutingInfo!J67),"",[1]PitScoutingInfo!J67)</f>
        <v/>
      </c>
      <c r="D67" s="23" t="str">
        <f>IF(ISBLANK([1]PitScoutingInfo!M67),"",[1]PitScoutingInfo!M67)</f>
        <v/>
      </c>
      <c r="E67" s="23" t="str">
        <f>IF(ISBLANK([1]PitScoutingInfo!N67),"",[1]PitScoutingInfo!N67)</f>
        <v/>
      </c>
      <c r="F67" s="23" t="str">
        <f>IF(ISBLANK([1]PitScoutingInfo!V67),"",[1]PitScoutingInfo!V67)</f>
        <v/>
      </c>
      <c r="G67" s="23" t="str">
        <f>IF(ISBLANK([1]PitScoutingInfo!W67),"",[1]PitScoutingInfo!W67)</f>
        <v/>
      </c>
      <c r="H67" s="23" t="str">
        <f>IF(ISBLANK([1]PitScoutingInfo!Z67),"",[1]PitScoutingInfo!Z67)</f>
        <v/>
      </c>
    </row>
    <row r="68" spans="1:8" x14ac:dyDescent="0.45">
      <c r="A68" s="23" t="str">
        <f>IF(ISBLANK([1]PitScoutingInfo!A68),"",[1]PitScoutingInfo!A68)</f>
        <v/>
      </c>
      <c r="B68" s="23" t="str">
        <f>IF(ISBLANK([1]PitScoutingInfo!B68),"",[1]PitScoutingInfo!B68)</f>
        <v/>
      </c>
      <c r="C68" s="23" t="str">
        <f>IF(ISBLANK([1]PitScoutingInfo!J68),"",[1]PitScoutingInfo!J68)</f>
        <v/>
      </c>
      <c r="D68" s="23" t="str">
        <f>IF(ISBLANK([1]PitScoutingInfo!M68),"",[1]PitScoutingInfo!M68)</f>
        <v/>
      </c>
      <c r="E68" s="23" t="str">
        <f>IF(ISBLANK([1]PitScoutingInfo!N68),"",[1]PitScoutingInfo!N68)</f>
        <v/>
      </c>
      <c r="F68" s="23" t="str">
        <f>IF(ISBLANK([1]PitScoutingInfo!V68),"",[1]PitScoutingInfo!V68)</f>
        <v/>
      </c>
      <c r="G68" s="23" t="str">
        <f>IF(ISBLANK([1]PitScoutingInfo!W68),"",[1]PitScoutingInfo!W68)</f>
        <v/>
      </c>
      <c r="H68" s="23" t="str">
        <f>IF(ISBLANK([1]PitScoutingInfo!Z68),"",[1]PitScoutingInfo!Z68)</f>
        <v/>
      </c>
    </row>
    <row r="69" spans="1:8" x14ac:dyDescent="0.45">
      <c r="A69" s="23" t="str">
        <f>IF(ISBLANK([1]PitScoutingInfo!A69),"",[1]PitScoutingInfo!A69)</f>
        <v/>
      </c>
      <c r="B69" s="23" t="str">
        <f>IF(ISBLANK([1]PitScoutingInfo!B69),"",[1]PitScoutingInfo!B69)</f>
        <v/>
      </c>
      <c r="C69" s="23" t="str">
        <f>IF(ISBLANK([1]PitScoutingInfo!J69),"",[1]PitScoutingInfo!J69)</f>
        <v/>
      </c>
      <c r="D69" s="23" t="str">
        <f>IF(ISBLANK([1]PitScoutingInfo!M69),"",[1]PitScoutingInfo!M69)</f>
        <v/>
      </c>
      <c r="E69" s="23" t="str">
        <f>IF(ISBLANK([1]PitScoutingInfo!N69),"",[1]PitScoutingInfo!N69)</f>
        <v/>
      </c>
      <c r="F69" s="23" t="str">
        <f>IF(ISBLANK([1]PitScoutingInfo!V69),"",[1]PitScoutingInfo!V69)</f>
        <v/>
      </c>
      <c r="G69" s="23" t="str">
        <f>IF(ISBLANK([1]PitScoutingInfo!W69),"",[1]PitScoutingInfo!W69)</f>
        <v/>
      </c>
      <c r="H69" s="23" t="str">
        <f>IF(ISBLANK([1]PitScoutingInfo!Z69),"",[1]PitScoutingInfo!Z69)</f>
        <v/>
      </c>
    </row>
    <row r="70" spans="1:8" x14ac:dyDescent="0.45">
      <c r="A70" s="23" t="str">
        <f>IF(ISBLANK([1]PitScoutingInfo!A70),"",[1]PitScoutingInfo!A70)</f>
        <v/>
      </c>
      <c r="B70" s="23" t="str">
        <f>IF(ISBLANK([1]PitScoutingInfo!B70),"",[1]PitScoutingInfo!B70)</f>
        <v/>
      </c>
      <c r="C70" s="23" t="str">
        <f>IF(ISBLANK([1]PitScoutingInfo!J70),"",[1]PitScoutingInfo!J70)</f>
        <v/>
      </c>
      <c r="D70" s="23" t="str">
        <f>IF(ISBLANK([1]PitScoutingInfo!M70),"",[1]PitScoutingInfo!M70)</f>
        <v/>
      </c>
      <c r="E70" s="23" t="str">
        <f>IF(ISBLANK([1]PitScoutingInfo!N70),"",[1]PitScoutingInfo!N70)</f>
        <v/>
      </c>
      <c r="F70" s="23" t="str">
        <f>IF(ISBLANK([1]PitScoutingInfo!V70),"",[1]PitScoutingInfo!V70)</f>
        <v/>
      </c>
      <c r="G70" s="23" t="str">
        <f>IF(ISBLANK([1]PitScoutingInfo!W70),"",[1]PitScoutingInfo!W70)</f>
        <v/>
      </c>
      <c r="H70" s="23" t="str">
        <f>IF(ISBLANK([1]PitScoutingInfo!Z70),"",[1]PitScoutingInfo!Z70)</f>
        <v/>
      </c>
    </row>
    <row r="71" spans="1:8" x14ac:dyDescent="0.45">
      <c r="A71" s="23" t="str">
        <f>IF(ISBLANK([1]PitScoutingInfo!A71),"",[1]PitScoutingInfo!A71)</f>
        <v/>
      </c>
      <c r="B71" s="23" t="str">
        <f>IF(ISBLANK([1]PitScoutingInfo!B71),"",[1]PitScoutingInfo!B71)</f>
        <v/>
      </c>
      <c r="C71" s="23" t="str">
        <f>IF(ISBLANK([1]PitScoutingInfo!J71),"",[1]PitScoutingInfo!J71)</f>
        <v/>
      </c>
      <c r="D71" s="23" t="str">
        <f>IF(ISBLANK([1]PitScoutingInfo!M71),"",[1]PitScoutingInfo!M71)</f>
        <v/>
      </c>
      <c r="E71" s="23" t="str">
        <f>IF(ISBLANK([1]PitScoutingInfo!N71),"",[1]PitScoutingInfo!N71)</f>
        <v/>
      </c>
      <c r="F71" s="23" t="str">
        <f>IF(ISBLANK([1]PitScoutingInfo!V71),"",[1]PitScoutingInfo!V71)</f>
        <v/>
      </c>
      <c r="G71" s="23" t="str">
        <f>IF(ISBLANK([1]PitScoutingInfo!W71),"",[1]PitScoutingInfo!W71)</f>
        <v/>
      </c>
      <c r="H71" s="23" t="str">
        <f>IF(ISBLANK([1]PitScoutingInfo!Z71),"",[1]PitScoutingInfo!Z71)</f>
        <v/>
      </c>
    </row>
    <row r="72" spans="1:8" x14ac:dyDescent="0.45">
      <c r="A72" s="23" t="str">
        <f>IF(ISBLANK([1]PitScoutingInfo!A72),"",[1]PitScoutingInfo!A72)</f>
        <v/>
      </c>
      <c r="B72" s="23" t="str">
        <f>IF(ISBLANK([1]PitScoutingInfo!B72),"",[1]PitScoutingInfo!B72)</f>
        <v/>
      </c>
      <c r="C72" s="23" t="str">
        <f>IF(ISBLANK([1]PitScoutingInfo!J72),"",[1]PitScoutingInfo!J72)</f>
        <v/>
      </c>
      <c r="D72" s="23" t="str">
        <f>IF(ISBLANK([1]PitScoutingInfo!M72),"",[1]PitScoutingInfo!M72)</f>
        <v/>
      </c>
      <c r="E72" s="23" t="str">
        <f>IF(ISBLANK([1]PitScoutingInfo!N72),"",[1]PitScoutingInfo!N72)</f>
        <v/>
      </c>
      <c r="F72" s="23" t="str">
        <f>IF(ISBLANK([1]PitScoutingInfo!V72),"",[1]PitScoutingInfo!V72)</f>
        <v/>
      </c>
      <c r="G72" s="23" t="str">
        <f>IF(ISBLANK([1]PitScoutingInfo!W72),"",[1]PitScoutingInfo!W72)</f>
        <v/>
      </c>
      <c r="H72" s="23" t="str">
        <f>IF(ISBLANK([1]PitScoutingInfo!Z72),"",[1]PitScoutingInfo!Z72)</f>
        <v/>
      </c>
    </row>
    <row r="73" spans="1:8" x14ac:dyDescent="0.45">
      <c r="A73" s="23" t="str">
        <f>IF(ISBLANK([1]PitScoutingInfo!A73),"",[1]PitScoutingInfo!A73)</f>
        <v/>
      </c>
      <c r="B73" s="23" t="str">
        <f>IF(ISBLANK([1]PitScoutingInfo!B73),"",[1]PitScoutingInfo!B73)</f>
        <v/>
      </c>
      <c r="C73" s="23" t="str">
        <f>IF(ISBLANK([1]PitScoutingInfo!J73),"",[1]PitScoutingInfo!J73)</f>
        <v/>
      </c>
      <c r="D73" s="23" t="str">
        <f>IF(ISBLANK([1]PitScoutingInfo!M73),"",[1]PitScoutingInfo!M73)</f>
        <v/>
      </c>
      <c r="E73" s="23" t="str">
        <f>IF(ISBLANK([1]PitScoutingInfo!N73),"",[1]PitScoutingInfo!N73)</f>
        <v/>
      </c>
      <c r="F73" s="23" t="str">
        <f>IF(ISBLANK([1]PitScoutingInfo!V73),"",[1]PitScoutingInfo!V73)</f>
        <v/>
      </c>
      <c r="G73" s="23" t="str">
        <f>IF(ISBLANK([1]PitScoutingInfo!W73),"",[1]PitScoutingInfo!W73)</f>
        <v/>
      </c>
      <c r="H73" s="23" t="str">
        <f>IF(ISBLANK([1]PitScoutingInfo!Z73),"",[1]PitScoutingInfo!Z73)</f>
        <v/>
      </c>
    </row>
    <row r="74" spans="1:8" x14ac:dyDescent="0.45">
      <c r="A74" s="23" t="str">
        <f>IF(ISBLANK([1]PitScoutingInfo!A74),"",[1]PitScoutingInfo!A74)</f>
        <v/>
      </c>
      <c r="B74" s="23" t="str">
        <f>IF(ISBLANK([1]PitScoutingInfo!B74),"",[1]PitScoutingInfo!B74)</f>
        <v/>
      </c>
      <c r="C74" s="23" t="str">
        <f>IF(ISBLANK([1]PitScoutingInfo!J74),"",[1]PitScoutingInfo!J74)</f>
        <v/>
      </c>
      <c r="D74" s="23" t="str">
        <f>IF(ISBLANK([1]PitScoutingInfo!M74),"",[1]PitScoutingInfo!M74)</f>
        <v/>
      </c>
      <c r="E74" s="23" t="str">
        <f>IF(ISBLANK([1]PitScoutingInfo!N74),"",[1]PitScoutingInfo!N74)</f>
        <v/>
      </c>
      <c r="F74" s="23" t="str">
        <f>IF(ISBLANK([1]PitScoutingInfo!V74),"",[1]PitScoutingInfo!V74)</f>
        <v/>
      </c>
      <c r="G74" s="23" t="str">
        <f>IF(ISBLANK([1]PitScoutingInfo!W74),"",[1]PitScoutingInfo!W74)</f>
        <v/>
      </c>
      <c r="H74" s="23" t="str">
        <f>IF(ISBLANK([1]PitScoutingInfo!Z74),"",[1]PitScoutingInfo!Z74)</f>
        <v/>
      </c>
    </row>
    <row r="75" spans="1:8" x14ac:dyDescent="0.45">
      <c r="A75" s="23" t="str">
        <f>IF(ISBLANK([1]PitScoutingInfo!A75),"",[1]PitScoutingInfo!A75)</f>
        <v/>
      </c>
      <c r="B75" s="23" t="str">
        <f>IF(ISBLANK([1]PitScoutingInfo!B75),"",[1]PitScoutingInfo!B75)</f>
        <v/>
      </c>
      <c r="C75" s="23" t="str">
        <f>IF(ISBLANK([1]PitScoutingInfo!J75),"",[1]PitScoutingInfo!J75)</f>
        <v/>
      </c>
      <c r="D75" s="23" t="str">
        <f>IF(ISBLANK([1]PitScoutingInfo!M75),"",[1]PitScoutingInfo!M75)</f>
        <v/>
      </c>
      <c r="E75" s="23" t="str">
        <f>IF(ISBLANK([1]PitScoutingInfo!N75),"",[1]PitScoutingInfo!N75)</f>
        <v/>
      </c>
      <c r="F75" s="23" t="str">
        <f>IF(ISBLANK([1]PitScoutingInfo!V75),"",[1]PitScoutingInfo!V75)</f>
        <v/>
      </c>
      <c r="G75" s="23" t="str">
        <f>IF(ISBLANK([1]PitScoutingInfo!W75),"",[1]PitScoutingInfo!W75)</f>
        <v/>
      </c>
      <c r="H75" s="23" t="str">
        <f>IF(ISBLANK([1]PitScoutingInfo!Z75),"",[1]PitScoutingInfo!Z75)</f>
        <v/>
      </c>
    </row>
    <row r="76" spans="1:8" x14ac:dyDescent="0.45">
      <c r="A76" s="23" t="str">
        <f>IF(ISBLANK([1]PitScoutingInfo!A76),"",[1]PitScoutingInfo!A76)</f>
        <v/>
      </c>
      <c r="B76" s="23" t="str">
        <f>IF(ISBLANK([1]PitScoutingInfo!B76),"",[1]PitScoutingInfo!B76)</f>
        <v/>
      </c>
      <c r="C76" s="23" t="str">
        <f>IF(ISBLANK([1]PitScoutingInfo!J76),"",[1]PitScoutingInfo!J76)</f>
        <v/>
      </c>
      <c r="D76" s="23" t="str">
        <f>IF(ISBLANK([1]PitScoutingInfo!M76),"",[1]PitScoutingInfo!M76)</f>
        <v/>
      </c>
      <c r="E76" s="23" t="str">
        <f>IF(ISBLANK([1]PitScoutingInfo!N76),"",[1]PitScoutingInfo!N76)</f>
        <v/>
      </c>
      <c r="F76" s="23" t="str">
        <f>IF(ISBLANK([1]PitScoutingInfo!V76),"",[1]PitScoutingInfo!V76)</f>
        <v/>
      </c>
      <c r="G76" s="23" t="str">
        <f>IF(ISBLANK([1]PitScoutingInfo!W76),"",[1]PitScoutingInfo!W76)</f>
        <v/>
      </c>
      <c r="H76" s="23" t="str">
        <f>IF(ISBLANK([1]PitScoutingInfo!Z76),"",[1]PitScoutingInfo!Z76)</f>
        <v/>
      </c>
    </row>
    <row r="77" spans="1:8" x14ac:dyDescent="0.45">
      <c r="A77" s="23" t="str">
        <f>IF(ISBLANK([1]PitScoutingInfo!A77),"",[1]PitScoutingInfo!A77)</f>
        <v/>
      </c>
      <c r="B77" s="23" t="str">
        <f>IF(ISBLANK([1]PitScoutingInfo!B77),"",[1]PitScoutingInfo!B77)</f>
        <v/>
      </c>
      <c r="C77" s="23" t="str">
        <f>IF(ISBLANK([1]PitScoutingInfo!J77),"",[1]PitScoutingInfo!J77)</f>
        <v/>
      </c>
      <c r="D77" s="23" t="str">
        <f>IF(ISBLANK([1]PitScoutingInfo!M77),"",[1]PitScoutingInfo!M77)</f>
        <v/>
      </c>
      <c r="E77" s="23" t="str">
        <f>IF(ISBLANK([1]PitScoutingInfo!N77),"",[1]PitScoutingInfo!N77)</f>
        <v/>
      </c>
      <c r="F77" s="23" t="str">
        <f>IF(ISBLANK([1]PitScoutingInfo!V77),"",[1]PitScoutingInfo!V77)</f>
        <v/>
      </c>
      <c r="G77" s="23" t="str">
        <f>IF(ISBLANK([1]PitScoutingInfo!W77),"",[1]PitScoutingInfo!W77)</f>
        <v/>
      </c>
      <c r="H77" s="23" t="str">
        <f>IF(ISBLANK([1]PitScoutingInfo!Z77),"",[1]PitScoutingInfo!Z77)</f>
        <v/>
      </c>
    </row>
    <row r="78" spans="1:8" x14ac:dyDescent="0.45">
      <c r="A78" s="23" t="str">
        <f>IF(ISBLANK([1]PitScoutingInfo!A78),"",[1]PitScoutingInfo!A78)</f>
        <v/>
      </c>
      <c r="B78" s="23" t="str">
        <f>IF(ISBLANK([1]PitScoutingInfo!B78),"",[1]PitScoutingInfo!B78)</f>
        <v/>
      </c>
      <c r="C78" s="23" t="str">
        <f>IF(ISBLANK([1]PitScoutingInfo!J78),"",[1]PitScoutingInfo!J78)</f>
        <v/>
      </c>
      <c r="D78" s="23" t="str">
        <f>IF(ISBLANK([1]PitScoutingInfo!M78),"",[1]PitScoutingInfo!M78)</f>
        <v/>
      </c>
      <c r="E78" s="23" t="str">
        <f>IF(ISBLANK([1]PitScoutingInfo!N78),"",[1]PitScoutingInfo!N78)</f>
        <v/>
      </c>
      <c r="F78" s="23" t="str">
        <f>IF(ISBLANK([1]PitScoutingInfo!V78),"",[1]PitScoutingInfo!V78)</f>
        <v/>
      </c>
      <c r="G78" s="23" t="str">
        <f>IF(ISBLANK([1]PitScoutingInfo!W78),"",[1]PitScoutingInfo!W78)</f>
        <v/>
      </c>
      <c r="H78" s="23" t="str">
        <f>IF(ISBLANK([1]PitScoutingInfo!Z78),"",[1]PitScoutingInfo!Z78)</f>
        <v/>
      </c>
    </row>
    <row r="79" spans="1:8" x14ac:dyDescent="0.45">
      <c r="A79" s="23" t="str">
        <f>IF(ISBLANK([1]PitScoutingInfo!A79),"",[1]PitScoutingInfo!A79)</f>
        <v/>
      </c>
      <c r="B79" s="23" t="str">
        <f>IF(ISBLANK([1]PitScoutingInfo!B79),"",[1]PitScoutingInfo!B79)</f>
        <v/>
      </c>
      <c r="C79" s="23" t="str">
        <f>IF(ISBLANK([1]PitScoutingInfo!J79),"",[1]PitScoutingInfo!J79)</f>
        <v/>
      </c>
      <c r="D79" s="23" t="str">
        <f>IF(ISBLANK([1]PitScoutingInfo!M79),"",[1]PitScoutingInfo!M79)</f>
        <v/>
      </c>
      <c r="E79" s="23" t="str">
        <f>IF(ISBLANK([1]PitScoutingInfo!N79),"",[1]PitScoutingInfo!N79)</f>
        <v/>
      </c>
      <c r="F79" s="23" t="str">
        <f>IF(ISBLANK([1]PitScoutingInfo!V79),"",[1]PitScoutingInfo!V79)</f>
        <v/>
      </c>
      <c r="G79" s="23" t="str">
        <f>IF(ISBLANK([1]PitScoutingInfo!W79),"",[1]PitScoutingInfo!W79)</f>
        <v/>
      </c>
      <c r="H79" s="23" t="str">
        <f>IF(ISBLANK([1]PitScoutingInfo!Z79),"",[1]PitScoutingInfo!Z79)</f>
        <v/>
      </c>
    </row>
    <row r="80" spans="1:8" x14ac:dyDescent="0.45">
      <c r="A80" s="23" t="str">
        <f>IF(ISBLANK([1]PitScoutingInfo!A80),"",[1]PitScoutingInfo!A80)</f>
        <v/>
      </c>
      <c r="B80" s="23" t="str">
        <f>IF(ISBLANK([1]PitScoutingInfo!B80),"",[1]PitScoutingInfo!B80)</f>
        <v/>
      </c>
      <c r="C80" s="23" t="str">
        <f>IF(ISBLANK([1]PitScoutingInfo!J80),"",[1]PitScoutingInfo!J80)</f>
        <v/>
      </c>
      <c r="D80" s="23" t="str">
        <f>IF(ISBLANK([1]PitScoutingInfo!M80),"",[1]PitScoutingInfo!M80)</f>
        <v/>
      </c>
      <c r="E80" s="23" t="str">
        <f>IF(ISBLANK([1]PitScoutingInfo!N80),"",[1]PitScoutingInfo!N80)</f>
        <v/>
      </c>
      <c r="F80" s="23" t="str">
        <f>IF(ISBLANK([1]PitScoutingInfo!V80),"",[1]PitScoutingInfo!V80)</f>
        <v/>
      </c>
      <c r="G80" s="23" t="str">
        <f>IF(ISBLANK([1]PitScoutingInfo!W80),"",[1]PitScoutingInfo!W80)</f>
        <v/>
      </c>
      <c r="H80" s="23" t="str">
        <f>IF(ISBLANK([1]PitScoutingInfo!Z80),"",[1]PitScoutingInfo!Z80)</f>
        <v/>
      </c>
    </row>
    <row r="81" spans="1:8" x14ac:dyDescent="0.45">
      <c r="A81" s="23" t="str">
        <f>IF(ISBLANK([1]PitScoutingInfo!A81),"",[1]PitScoutingInfo!A81)</f>
        <v/>
      </c>
      <c r="B81" s="23" t="str">
        <f>IF(ISBLANK([1]PitScoutingInfo!B81),"",[1]PitScoutingInfo!B81)</f>
        <v/>
      </c>
      <c r="C81" s="23" t="str">
        <f>IF(ISBLANK([1]PitScoutingInfo!J81),"",[1]PitScoutingInfo!J81)</f>
        <v/>
      </c>
      <c r="D81" s="23" t="str">
        <f>IF(ISBLANK([1]PitScoutingInfo!M81),"",[1]PitScoutingInfo!M81)</f>
        <v/>
      </c>
      <c r="E81" s="23" t="str">
        <f>IF(ISBLANK([1]PitScoutingInfo!N81),"",[1]PitScoutingInfo!N81)</f>
        <v/>
      </c>
      <c r="F81" s="23" t="str">
        <f>IF(ISBLANK([1]PitScoutingInfo!V81),"",[1]PitScoutingInfo!V81)</f>
        <v/>
      </c>
      <c r="G81" s="23" t="str">
        <f>IF(ISBLANK([1]PitScoutingInfo!W81),"",[1]PitScoutingInfo!W81)</f>
        <v/>
      </c>
      <c r="H81" s="23" t="str">
        <f>IF(ISBLANK([1]PitScoutingInfo!Z81),"",[1]PitScoutingInfo!Z81)</f>
        <v/>
      </c>
    </row>
    <row r="82" spans="1:8" x14ac:dyDescent="0.45">
      <c r="A82" s="23" t="str">
        <f>IF(ISBLANK([1]PitScoutingInfo!A82),"",[1]PitScoutingInfo!A82)</f>
        <v/>
      </c>
      <c r="B82" s="23" t="str">
        <f>IF(ISBLANK([1]PitScoutingInfo!B82),"",[1]PitScoutingInfo!B82)</f>
        <v/>
      </c>
      <c r="C82" s="23" t="str">
        <f>IF(ISBLANK([1]PitScoutingInfo!J82),"",[1]PitScoutingInfo!J82)</f>
        <v/>
      </c>
      <c r="D82" s="23" t="str">
        <f>IF(ISBLANK([1]PitScoutingInfo!M82),"",[1]PitScoutingInfo!M82)</f>
        <v/>
      </c>
      <c r="E82" s="23" t="str">
        <f>IF(ISBLANK([1]PitScoutingInfo!N82),"",[1]PitScoutingInfo!N82)</f>
        <v/>
      </c>
      <c r="F82" s="23" t="str">
        <f>IF(ISBLANK([1]PitScoutingInfo!V82),"",[1]PitScoutingInfo!V82)</f>
        <v/>
      </c>
      <c r="G82" s="23" t="str">
        <f>IF(ISBLANK([1]PitScoutingInfo!W82),"",[1]PitScoutingInfo!W82)</f>
        <v/>
      </c>
      <c r="H82" s="23" t="str">
        <f>IF(ISBLANK([1]PitScoutingInfo!Z82),"",[1]PitScoutingInfo!Z82)</f>
        <v/>
      </c>
    </row>
    <row r="83" spans="1:8" x14ac:dyDescent="0.45">
      <c r="A83" s="23" t="str">
        <f>IF(ISBLANK([1]PitScoutingInfo!A83),"",[1]PitScoutingInfo!A83)</f>
        <v/>
      </c>
      <c r="B83" s="23" t="str">
        <f>IF(ISBLANK([1]PitScoutingInfo!B83),"",[1]PitScoutingInfo!B83)</f>
        <v/>
      </c>
      <c r="C83" s="23" t="str">
        <f>IF(ISBLANK([1]PitScoutingInfo!J83),"",[1]PitScoutingInfo!J83)</f>
        <v/>
      </c>
      <c r="D83" s="23" t="str">
        <f>IF(ISBLANK([1]PitScoutingInfo!M83),"",[1]PitScoutingInfo!M83)</f>
        <v/>
      </c>
      <c r="E83" s="23" t="str">
        <f>IF(ISBLANK([1]PitScoutingInfo!N83),"",[1]PitScoutingInfo!N83)</f>
        <v/>
      </c>
      <c r="F83" s="23" t="str">
        <f>IF(ISBLANK([1]PitScoutingInfo!V83),"",[1]PitScoutingInfo!V83)</f>
        <v/>
      </c>
      <c r="G83" s="23" t="str">
        <f>IF(ISBLANK([1]PitScoutingInfo!W83),"",[1]PitScoutingInfo!W83)</f>
        <v/>
      </c>
      <c r="H83" s="23" t="str">
        <f>IF(ISBLANK([1]PitScoutingInfo!Z83),"",[1]PitScoutingInfo!Z83)</f>
        <v/>
      </c>
    </row>
    <row r="84" spans="1:8" x14ac:dyDescent="0.45">
      <c r="A84" s="23" t="str">
        <f>IF(ISBLANK([1]PitScoutingInfo!A84),"",[1]PitScoutingInfo!A84)</f>
        <v/>
      </c>
      <c r="B84" s="23" t="str">
        <f>IF(ISBLANK([1]PitScoutingInfo!B84),"",[1]PitScoutingInfo!B84)</f>
        <v/>
      </c>
      <c r="C84" s="23" t="str">
        <f>IF(ISBLANK([1]PitScoutingInfo!J84),"",[1]PitScoutingInfo!J84)</f>
        <v/>
      </c>
      <c r="D84" s="23" t="str">
        <f>IF(ISBLANK([1]PitScoutingInfo!M84),"",[1]PitScoutingInfo!M84)</f>
        <v/>
      </c>
      <c r="E84" s="23" t="str">
        <f>IF(ISBLANK([1]PitScoutingInfo!N84),"",[1]PitScoutingInfo!N84)</f>
        <v/>
      </c>
      <c r="F84" s="23" t="str">
        <f>IF(ISBLANK([1]PitScoutingInfo!V84),"",[1]PitScoutingInfo!V84)</f>
        <v/>
      </c>
      <c r="G84" s="23" t="str">
        <f>IF(ISBLANK([1]PitScoutingInfo!W84),"",[1]PitScoutingInfo!W84)</f>
        <v/>
      </c>
      <c r="H84" s="23" t="str">
        <f>IF(ISBLANK([1]PitScoutingInfo!Z84),"",[1]PitScoutingInfo!Z84)</f>
        <v/>
      </c>
    </row>
    <row r="85" spans="1:8" x14ac:dyDescent="0.45">
      <c r="A85" s="23" t="str">
        <f>IF(ISBLANK([1]PitScoutingInfo!A85),"",[1]PitScoutingInfo!A85)</f>
        <v/>
      </c>
      <c r="B85" s="23" t="str">
        <f>IF(ISBLANK([1]PitScoutingInfo!B85),"",[1]PitScoutingInfo!B85)</f>
        <v/>
      </c>
      <c r="C85" s="23" t="str">
        <f>IF(ISBLANK([1]PitScoutingInfo!J85),"",[1]PitScoutingInfo!J85)</f>
        <v/>
      </c>
      <c r="D85" s="23" t="str">
        <f>IF(ISBLANK([1]PitScoutingInfo!M85),"",[1]PitScoutingInfo!M85)</f>
        <v/>
      </c>
      <c r="E85" s="23" t="str">
        <f>IF(ISBLANK([1]PitScoutingInfo!N85),"",[1]PitScoutingInfo!N85)</f>
        <v/>
      </c>
      <c r="F85" s="23" t="str">
        <f>IF(ISBLANK([1]PitScoutingInfo!V85),"",[1]PitScoutingInfo!V85)</f>
        <v/>
      </c>
      <c r="G85" s="23" t="str">
        <f>IF(ISBLANK([1]PitScoutingInfo!W85),"",[1]PitScoutingInfo!W85)</f>
        <v/>
      </c>
      <c r="H85" s="23" t="str">
        <f>IF(ISBLANK([1]PitScoutingInfo!Z85),"",[1]PitScoutingInfo!Z85)</f>
        <v/>
      </c>
    </row>
    <row r="86" spans="1:8" x14ac:dyDescent="0.45">
      <c r="A86" s="23" t="str">
        <f>IF(ISBLANK([1]PitScoutingInfo!A86),"",[1]PitScoutingInfo!A86)</f>
        <v/>
      </c>
      <c r="B86" s="23" t="str">
        <f>IF(ISBLANK([1]PitScoutingInfo!B86),"",[1]PitScoutingInfo!B86)</f>
        <v/>
      </c>
      <c r="C86" s="23" t="str">
        <f>IF(ISBLANK([1]PitScoutingInfo!J86),"",[1]PitScoutingInfo!J86)</f>
        <v/>
      </c>
      <c r="D86" s="23" t="str">
        <f>IF(ISBLANK([1]PitScoutingInfo!M86),"",[1]PitScoutingInfo!M86)</f>
        <v/>
      </c>
      <c r="E86" s="23" t="str">
        <f>IF(ISBLANK([1]PitScoutingInfo!N86),"",[1]PitScoutingInfo!N86)</f>
        <v/>
      </c>
      <c r="F86" s="23" t="str">
        <f>IF(ISBLANK([1]PitScoutingInfo!V86),"",[1]PitScoutingInfo!V86)</f>
        <v/>
      </c>
      <c r="G86" s="23" t="str">
        <f>IF(ISBLANK([1]PitScoutingInfo!W86),"",[1]PitScoutingInfo!W86)</f>
        <v/>
      </c>
      <c r="H86" s="23" t="str">
        <f>IF(ISBLANK([1]PitScoutingInfo!Z86),"",[1]PitScoutingInfo!Z86)</f>
        <v/>
      </c>
    </row>
    <row r="87" spans="1:8" x14ac:dyDescent="0.45">
      <c r="A87" s="23" t="str">
        <f>IF(ISBLANK([1]PitScoutingInfo!A87),"",[1]PitScoutingInfo!A87)</f>
        <v/>
      </c>
      <c r="B87" s="23" t="str">
        <f>IF(ISBLANK([1]PitScoutingInfo!B87),"",[1]PitScoutingInfo!B87)</f>
        <v/>
      </c>
      <c r="C87" s="23" t="str">
        <f>IF(ISBLANK([1]PitScoutingInfo!J87),"",[1]PitScoutingInfo!J87)</f>
        <v/>
      </c>
      <c r="D87" s="23" t="str">
        <f>IF(ISBLANK([1]PitScoutingInfo!M87),"",[1]PitScoutingInfo!M87)</f>
        <v/>
      </c>
      <c r="E87" s="23" t="str">
        <f>IF(ISBLANK([1]PitScoutingInfo!N87),"",[1]PitScoutingInfo!N87)</f>
        <v/>
      </c>
      <c r="F87" s="23" t="str">
        <f>IF(ISBLANK([1]PitScoutingInfo!V87),"",[1]PitScoutingInfo!V87)</f>
        <v/>
      </c>
      <c r="G87" s="23" t="str">
        <f>IF(ISBLANK([1]PitScoutingInfo!W87),"",[1]PitScoutingInfo!W87)</f>
        <v/>
      </c>
      <c r="H87" s="23" t="str">
        <f>IF(ISBLANK([1]PitScoutingInfo!Z87),"",[1]PitScoutingInfo!Z87)</f>
        <v/>
      </c>
    </row>
    <row r="88" spans="1:8" x14ac:dyDescent="0.45">
      <c r="A88" s="23" t="str">
        <f>IF(ISBLANK([1]PitScoutingInfo!A88),"",[1]PitScoutingInfo!A88)</f>
        <v/>
      </c>
      <c r="B88" s="23" t="str">
        <f>IF(ISBLANK([1]PitScoutingInfo!B88),"",[1]PitScoutingInfo!B88)</f>
        <v/>
      </c>
      <c r="C88" s="23" t="str">
        <f>IF(ISBLANK([1]PitScoutingInfo!J88),"",[1]PitScoutingInfo!J88)</f>
        <v/>
      </c>
      <c r="D88" s="23" t="str">
        <f>IF(ISBLANK([1]PitScoutingInfo!M88),"",[1]PitScoutingInfo!M88)</f>
        <v/>
      </c>
      <c r="E88" s="23" t="str">
        <f>IF(ISBLANK([1]PitScoutingInfo!N88),"",[1]PitScoutingInfo!N88)</f>
        <v/>
      </c>
      <c r="F88" s="23" t="str">
        <f>IF(ISBLANK([1]PitScoutingInfo!V88),"",[1]PitScoutingInfo!V88)</f>
        <v/>
      </c>
      <c r="G88" s="23" t="str">
        <f>IF(ISBLANK([1]PitScoutingInfo!W88),"",[1]PitScoutingInfo!W88)</f>
        <v/>
      </c>
      <c r="H88" s="23" t="str">
        <f>IF(ISBLANK([1]PitScoutingInfo!Z88),"",[1]PitScoutingInfo!Z88)</f>
        <v/>
      </c>
    </row>
    <row r="89" spans="1:8" x14ac:dyDescent="0.45">
      <c r="A89" s="23" t="str">
        <f>IF(ISBLANK([1]PitScoutingInfo!A89),"",[1]PitScoutingInfo!A89)</f>
        <v/>
      </c>
      <c r="B89" s="23" t="str">
        <f>IF(ISBLANK([1]PitScoutingInfo!B89),"",[1]PitScoutingInfo!B89)</f>
        <v/>
      </c>
      <c r="C89" s="23" t="str">
        <f>IF(ISBLANK([1]PitScoutingInfo!J89),"",[1]PitScoutingInfo!J89)</f>
        <v/>
      </c>
      <c r="D89" s="23" t="str">
        <f>IF(ISBLANK([1]PitScoutingInfo!M89),"",[1]PitScoutingInfo!M89)</f>
        <v/>
      </c>
      <c r="E89" s="23" t="str">
        <f>IF(ISBLANK([1]PitScoutingInfo!N89),"",[1]PitScoutingInfo!N89)</f>
        <v/>
      </c>
      <c r="F89" s="23" t="str">
        <f>IF(ISBLANK([1]PitScoutingInfo!V89),"",[1]PitScoutingInfo!V89)</f>
        <v/>
      </c>
      <c r="G89" s="23" t="str">
        <f>IF(ISBLANK([1]PitScoutingInfo!W89),"",[1]PitScoutingInfo!W89)</f>
        <v/>
      </c>
      <c r="H89" s="23" t="str">
        <f>IF(ISBLANK([1]PitScoutingInfo!Z89),"",[1]PitScoutingInfo!Z89)</f>
        <v/>
      </c>
    </row>
    <row r="90" spans="1:8" x14ac:dyDescent="0.45">
      <c r="A90" s="23" t="str">
        <f>IF(ISBLANK([1]PitScoutingInfo!A90),"",[1]PitScoutingInfo!A90)</f>
        <v/>
      </c>
      <c r="B90" s="23" t="str">
        <f>IF(ISBLANK([1]PitScoutingInfo!B90),"",[1]PitScoutingInfo!B90)</f>
        <v/>
      </c>
      <c r="C90" s="23" t="str">
        <f>IF(ISBLANK([1]PitScoutingInfo!J90),"",[1]PitScoutingInfo!J90)</f>
        <v/>
      </c>
      <c r="D90" s="23" t="str">
        <f>IF(ISBLANK([1]PitScoutingInfo!M90),"",[1]PitScoutingInfo!M90)</f>
        <v/>
      </c>
      <c r="E90" s="23" t="str">
        <f>IF(ISBLANK([1]PitScoutingInfo!N90),"",[1]PitScoutingInfo!N90)</f>
        <v/>
      </c>
      <c r="F90" s="23" t="str">
        <f>IF(ISBLANK([1]PitScoutingInfo!V90),"",[1]PitScoutingInfo!V90)</f>
        <v/>
      </c>
      <c r="G90" s="23" t="str">
        <f>IF(ISBLANK([1]PitScoutingInfo!W90),"",[1]PitScoutingInfo!W90)</f>
        <v/>
      </c>
      <c r="H90" s="23" t="str">
        <f>IF(ISBLANK([1]PitScoutingInfo!Z90),"",[1]PitScoutingInfo!Z90)</f>
        <v/>
      </c>
    </row>
    <row r="91" spans="1:8" x14ac:dyDescent="0.45">
      <c r="A91" s="23" t="str">
        <f>IF(ISBLANK([1]PitScoutingInfo!A91),"",[1]PitScoutingInfo!A91)</f>
        <v/>
      </c>
      <c r="B91" s="23" t="str">
        <f>IF(ISBLANK([1]PitScoutingInfo!B91),"",[1]PitScoutingInfo!B91)</f>
        <v/>
      </c>
      <c r="C91" s="23" t="str">
        <f>IF(ISBLANK([1]PitScoutingInfo!J91),"",[1]PitScoutingInfo!J91)</f>
        <v/>
      </c>
      <c r="D91" s="23" t="str">
        <f>IF(ISBLANK([1]PitScoutingInfo!M91),"",[1]PitScoutingInfo!M91)</f>
        <v/>
      </c>
      <c r="E91" s="23" t="str">
        <f>IF(ISBLANK([1]PitScoutingInfo!N91),"",[1]PitScoutingInfo!N91)</f>
        <v/>
      </c>
      <c r="F91" s="23" t="str">
        <f>IF(ISBLANK([1]PitScoutingInfo!V91),"",[1]PitScoutingInfo!V91)</f>
        <v/>
      </c>
      <c r="G91" s="23" t="str">
        <f>IF(ISBLANK([1]PitScoutingInfo!W91),"",[1]PitScoutingInfo!W91)</f>
        <v/>
      </c>
      <c r="H91" s="23" t="str">
        <f>IF(ISBLANK([1]PitScoutingInfo!Z91),"",[1]PitScoutingInfo!Z91)</f>
        <v/>
      </c>
    </row>
    <row r="92" spans="1:8" x14ac:dyDescent="0.45">
      <c r="A92" s="23" t="str">
        <f>IF(ISBLANK([1]PitScoutingInfo!A92),"",[1]PitScoutingInfo!A92)</f>
        <v/>
      </c>
      <c r="B92" s="23" t="str">
        <f>IF(ISBLANK([1]PitScoutingInfo!B92),"",[1]PitScoutingInfo!B92)</f>
        <v/>
      </c>
      <c r="C92" s="23" t="str">
        <f>IF(ISBLANK([1]PitScoutingInfo!J92),"",[1]PitScoutingInfo!J92)</f>
        <v/>
      </c>
      <c r="D92" s="23" t="str">
        <f>IF(ISBLANK([1]PitScoutingInfo!M92),"",[1]PitScoutingInfo!M92)</f>
        <v/>
      </c>
      <c r="E92" s="23" t="str">
        <f>IF(ISBLANK([1]PitScoutingInfo!N92),"",[1]PitScoutingInfo!N92)</f>
        <v/>
      </c>
      <c r="F92" s="23" t="str">
        <f>IF(ISBLANK([1]PitScoutingInfo!V92),"",[1]PitScoutingInfo!V92)</f>
        <v/>
      </c>
      <c r="G92" s="23" t="str">
        <f>IF(ISBLANK([1]PitScoutingInfo!W92),"",[1]PitScoutingInfo!W92)</f>
        <v/>
      </c>
      <c r="H92" s="23" t="str">
        <f>IF(ISBLANK([1]PitScoutingInfo!Z92),"",[1]PitScoutingInfo!Z92)</f>
        <v/>
      </c>
    </row>
    <row r="93" spans="1:8" x14ac:dyDescent="0.45">
      <c r="A93" s="23" t="str">
        <f>IF(ISBLANK([1]PitScoutingInfo!A93),"",[1]PitScoutingInfo!A93)</f>
        <v/>
      </c>
      <c r="B93" s="23" t="str">
        <f>IF(ISBLANK([1]PitScoutingInfo!B93),"",[1]PitScoutingInfo!B93)</f>
        <v/>
      </c>
      <c r="C93" s="23" t="str">
        <f>IF(ISBLANK([1]PitScoutingInfo!J93),"",[1]PitScoutingInfo!J93)</f>
        <v/>
      </c>
      <c r="D93" s="23" t="str">
        <f>IF(ISBLANK([1]PitScoutingInfo!M93),"",[1]PitScoutingInfo!M93)</f>
        <v/>
      </c>
      <c r="E93" s="23" t="str">
        <f>IF(ISBLANK([1]PitScoutingInfo!N93),"",[1]PitScoutingInfo!N93)</f>
        <v/>
      </c>
      <c r="F93" s="23" t="str">
        <f>IF(ISBLANK([1]PitScoutingInfo!V93),"",[1]PitScoutingInfo!V93)</f>
        <v/>
      </c>
      <c r="G93" s="23" t="str">
        <f>IF(ISBLANK([1]PitScoutingInfo!W93),"",[1]PitScoutingInfo!W93)</f>
        <v/>
      </c>
      <c r="H93" s="23" t="str">
        <f>IF(ISBLANK([1]PitScoutingInfo!Z93),"",[1]PitScoutingInfo!Z93)</f>
        <v/>
      </c>
    </row>
    <row r="94" spans="1:8" x14ac:dyDescent="0.45">
      <c r="A94" s="23" t="str">
        <f>IF(ISBLANK([1]PitScoutingInfo!A94),"",[1]PitScoutingInfo!A94)</f>
        <v/>
      </c>
      <c r="B94" s="23" t="str">
        <f>IF(ISBLANK([1]PitScoutingInfo!B94),"",[1]PitScoutingInfo!B94)</f>
        <v/>
      </c>
      <c r="C94" s="23" t="str">
        <f>IF(ISBLANK([1]PitScoutingInfo!J94),"",[1]PitScoutingInfo!J94)</f>
        <v/>
      </c>
      <c r="D94" s="23" t="str">
        <f>IF(ISBLANK([1]PitScoutingInfo!M94),"",[1]PitScoutingInfo!M94)</f>
        <v/>
      </c>
      <c r="E94" s="23" t="str">
        <f>IF(ISBLANK([1]PitScoutingInfo!N94),"",[1]PitScoutingInfo!N94)</f>
        <v/>
      </c>
      <c r="F94" s="23" t="str">
        <f>IF(ISBLANK([1]PitScoutingInfo!V94),"",[1]PitScoutingInfo!V94)</f>
        <v/>
      </c>
      <c r="G94" s="23" t="str">
        <f>IF(ISBLANK([1]PitScoutingInfo!W94),"",[1]PitScoutingInfo!W94)</f>
        <v/>
      </c>
      <c r="H94" s="23" t="str">
        <f>IF(ISBLANK([1]PitScoutingInfo!Z94),"",[1]PitScoutingInfo!Z94)</f>
        <v/>
      </c>
    </row>
    <row r="95" spans="1:8" x14ac:dyDescent="0.45">
      <c r="A95" s="23" t="str">
        <f>IF(ISBLANK([1]PitScoutingInfo!A95),"",[1]PitScoutingInfo!A95)</f>
        <v/>
      </c>
      <c r="B95" s="23" t="str">
        <f>IF(ISBLANK([1]PitScoutingInfo!B95),"",[1]PitScoutingInfo!B95)</f>
        <v/>
      </c>
      <c r="C95" s="23" t="str">
        <f>IF(ISBLANK([1]PitScoutingInfo!J95),"",[1]PitScoutingInfo!J95)</f>
        <v/>
      </c>
      <c r="D95" s="23" t="str">
        <f>IF(ISBLANK([1]PitScoutingInfo!M95),"",[1]PitScoutingInfo!M95)</f>
        <v/>
      </c>
      <c r="E95" s="23" t="str">
        <f>IF(ISBLANK([1]PitScoutingInfo!N95),"",[1]PitScoutingInfo!N95)</f>
        <v/>
      </c>
      <c r="F95" s="23" t="str">
        <f>IF(ISBLANK([1]PitScoutingInfo!V95),"",[1]PitScoutingInfo!V95)</f>
        <v/>
      </c>
      <c r="G95" s="23" t="str">
        <f>IF(ISBLANK([1]PitScoutingInfo!W95),"",[1]PitScoutingInfo!W95)</f>
        <v/>
      </c>
      <c r="H95" s="23" t="str">
        <f>IF(ISBLANK([1]PitScoutingInfo!Z95),"",[1]PitScoutingInfo!Z95)</f>
        <v/>
      </c>
    </row>
    <row r="96" spans="1:8" x14ac:dyDescent="0.45">
      <c r="A96" s="23" t="str">
        <f>IF(ISBLANK([1]PitScoutingInfo!A96),"",[1]PitScoutingInfo!A96)</f>
        <v/>
      </c>
      <c r="B96" s="23" t="str">
        <f>IF(ISBLANK([1]PitScoutingInfo!B96),"",[1]PitScoutingInfo!B96)</f>
        <v/>
      </c>
      <c r="C96" s="23" t="str">
        <f>IF(ISBLANK([1]PitScoutingInfo!J96),"",[1]PitScoutingInfo!J96)</f>
        <v/>
      </c>
      <c r="D96" s="23" t="str">
        <f>IF(ISBLANK([1]PitScoutingInfo!M96),"",[1]PitScoutingInfo!M96)</f>
        <v/>
      </c>
      <c r="E96" s="23" t="str">
        <f>IF(ISBLANK([1]PitScoutingInfo!N96),"",[1]PitScoutingInfo!N96)</f>
        <v/>
      </c>
      <c r="F96" s="23" t="str">
        <f>IF(ISBLANK([1]PitScoutingInfo!V96),"",[1]PitScoutingInfo!V96)</f>
        <v/>
      </c>
      <c r="G96" s="23" t="str">
        <f>IF(ISBLANK([1]PitScoutingInfo!W96),"",[1]PitScoutingInfo!W96)</f>
        <v/>
      </c>
      <c r="H96" s="23" t="str">
        <f>IF(ISBLANK([1]PitScoutingInfo!Z96),"",[1]PitScoutingInfo!Z96)</f>
        <v/>
      </c>
    </row>
    <row r="97" spans="1:8" x14ac:dyDescent="0.45">
      <c r="A97" s="23" t="str">
        <f>IF(ISBLANK([1]PitScoutingInfo!A97),"",[1]PitScoutingInfo!A97)</f>
        <v/>
      </c>
      <c r="B97" s="23" t="str">
        <f>IF(ISBLANK([1]PitScoutingInfo!B97),"",[1]PitScoutingInfo!B97)</f>
        <v/>
      </c>
      <c r="C97" s="23" t="str">
        <f>IF(ISBLANK([1]PitScoutingInfo!J97),"",[1]PitScoutingInfo!J97)</f>
        <v/>
      </c>
      <c r="D97" s="23" t="str">
        <f>IF(ISBLANK([1]PitScoutingInfo!M97),"",[1]PitScoutingInfo!M97)</f>
        <v/>
      </c>
      <c r="E97" s="23" t="str">
        <f>IF(ISBLANK([1]PitScoutingInfo!N97),"",[1]PitScoutingInfo!N97)</f>
        <v/>
      </c>
      <c r="F97" s="23" t="str">
        <f>IF(ISBLANK([1]PitScoutingInfo!V97),"",[1]PitScoutingInfo!V97)</f>
        <v/>
      </c>
      <c r="G97" s="23" t="str">
        <f>IF(ISBLANK([1]PitScoutingInfo!W97),"",[1]PitScoutingInfo!W97)</f>
        <v/>
      </c>
      <c r="H97" s="23" t="str">
        <f>IF(ISBLANK([1]PitScoutingInfo!Z97),"",[1]PitScoutingInfo!Z97)</f>
        <v/>
      </c>
    </row>
    <row r="98" spans="1:8" x14ac:dyDescent="0.45">
      <c r="A98" s="23" t="str">
        <f>IF(ISBLANK([1]PitScoutingInfo!A98),"",[1]PitScoutingInfo!A98)</f>
        <v/>
      </c>
      <c r="B98" s="23" t="str">
        <f>IF(ISBLANK([1]PitScoutingInfo!B98),"",[1]PitScoutingInfo!B98)</f>
        <v/>
      </c>
      <c r="C98" s="23" t="str">
        <f>IF(ISBLANK([1]PitScoutingInfo!J98),"",[1]PitScoutingInfo!J98)</f>
        <v/>
      </c>
      <c r="D98" s="23" t="str">
        <f>IF(ISBLANK([1]PitScoutingInfo!M98),"",[1]PitScoutingInfo!M98)</f>
        <v/>
      </c>
      <c r="E98" s="23" t="str">
        <f>IF(ISBLANK([1]PitScoutingInfo!N98),"",[1]PitScoutingInfo!N98)</f>
        <v/>
      </c>
      <c r="F98" s="23" t="str">
        <f>IF(ISBLANK([1]PitScoutingInfo!V98),"",[1]PitScoutingInfo!V98)</f>
        <v/>
      </c>
      <c r="G98" s="23" t="str">
        <f>IF(ISBLANK([1]PitScoutingInfo!W98),"",[1]PitScoutingInfo!W98)</f>
        <v/>
      </c>
      <c r="H98" s="23" t="str">
        <f>IF(ISBLANK([1]PitScoutingInfo!Z98),"",[1]PitScoutingInfo!Z98)</f>
        <v/>
      </c>
    </row>
    <row r="99" spans="1:8" x14ac:dyDescent="0.45">
      <c r="A99" s="23" t="str">
        <f>IF(ISBLANK([1]PitScoutingInfo!A99),"",[1]PitScoutingInfo!A99)</f>
        <v/>
      </c>
      <c r="B99" s="23" t="str">
        <f>IF(ISBLANK([1]PitScoutingInfo!B99),"",[1]PitScoutingInfo!B99)</f>
        <v/>
      </c>
      <c r="C99" s="23" t="str">
        <f>IF(ISBLANK([1]PitScoutingInfo!J99),"",[1]PitScoutingInfo!J99)</f>
        <v/>
      </c>
      <c r="D99" s="23" t="str">
        <f>IF(ISBLANK([1]PitScoutingInfo!M99),"",[1]PitScoutingInfo!M99)</f>
        <v/>
      </c>
      <c r="E99" s="23" t="str">
        <f>IF(ISBLANK([1]PitScoutingInfo!N99),"",[1]PitScoutingInfo!N99)</f>
        <v/>
      </c>
      <c r="F99" s="23" t="str">
        <f>IF(ISBLANK([1]PitScoutingInfo!V99),"",[1]PitScoutingInfo!V99)</f>
        <v/>
      </c>
      <c r="G99" s="23" t="str">
        <f>IF(ISBLANK([1]PitScoutingInfo!W99),"",[1]PitScoutingInfo!W99)</f>
        <v/>
      </c>
      <c r="H99" s="23" t="str">
        <f>IF(ISBLANK([1]PitScoutingInfo!Z99),"",[1]PitScoutingInfo!Z99)</f>
        <v/>
      </c>
    </row>
    <row r="100" spans="1:8" x14ac:dyDescent="0.45">
      <c r="A100" s="23" t="str">
        <f>IF(ISBLANK([1]PitScoutingInfo!A100),"",[1]PitScoutingInfo!A100)</f>
        <v/>
      </c>
      <c r="B100" s="23" t="str">
        <f>IF(ISBLANK([1]PitScoutingInfo!B100),"",[1]PitScoutingInfo!B100)</f>
        <v/>
      </c>
      <c r="C100" s="23" t="str">
        <f>IF(ISBLANK([1]PitScoutingInfo!J100),"",[1]PitScoutingInfo!J100)</f>
        <v/>
      </c>
      <c r="D100" s="23" t="str">
        <f>IF(ISBLANK([1]PitScoutingInfo!M100),"",[1]PitScoutingInfo!M100)</f>
        <v/>
      </c>
      <c r="E100" s="23" t="str">
        <f>IF(ISBLANK([1]PitScoutingInfo!N100),"",[1]PitScoutingInfo!N100)</f>
        <v/>
      </c>
      <c r="F100" s="23" t="str">
        <f>IF(ISBLANK([1]PitScoutingInfo!V100),"",[1]PitScoutingInfo!V100)</f>
        <v/>
      </c>
      <c r="G100" s="23" t="str">
        <f>IF(ISBLANK([1]PitScoutingInfo!W100),"",[1]PitScoutingInfo!W100)</f>
        <v/>
      </c>
      <c r="H100" s="23" t="str">
        <f>IF(ISBLANK([1]PitScoutingInfo!Z100),"",[1]PitScoutingInfo!Z100)</f>
        <v/>
      </c>
    </row>
    <row r="101" spans="1:8" x14ac:dyDescent="0.45">
      <c r="A101" s="23" t="str">
        <f>IF(ISBLANK([1]PitScoutingInfo!A101),"",[1]PitScoutingInfo!A101)</f>
        <v/>
      </c>
      <c r="B101" s="23" t="str">
        <f>IF(ISBLANK([1]PitScoutingInfo!B101),"",[1]PitScoutingInfo!B101)</f>
        <v/>
      </c>
      <c r="C101" s="23" t="str">
        <f>IF(ISBLANK([1]PitScoutingInfo!J101),"",[1]PitScoutingInfo!J101)</f>
        <v/>
      </c>
      <c r="D101" s="23" t="str">
        <f>IF(ISBLANK([1]PitScoutingInfo!M101),"",[1]PitScoutingInfo!M101)</f>
        <v/>
      </c>
      <c r="E101" s="23" t="str">
        <f>IF(ISBLANK([1]PitScoutingInfo!N101),"",[1]PitScoutingInfo!N101)</f>
        <v/>
      </c>
      <c r="F101" s="23" t="str">
        <f>IF(ISBLANK([1]PitScoutingInfo!V101),"",[1]PitScoutingInfo!V101)</f>
        <v/>
      </c>
      <c r="G101" s="23" t="str">
        <f>IF(ISBLANK([1]PitScoutingInfo!W101),"",[1]PitScoutingInfo!W101)</f>
        <v/>
      </c>
      <c r="H101" s="23" t="str">
        <f>IF(ISBLANK([1]PitScoutingInfo!Z101),"",[1]PitScoutingInfo!Z101)</f>
        <v/>
      </c>
    </row>
    <row r="102" spans="1:8" x14ac:dyDescent="0.45">
      <c r="A102" s="23" t="str">
        <f>IF(ISBLANK([1]PitScoutingInfo!A102),"",[1]PitScoutingInfo!A102)</f>
        <v/>
      </c>
      <c r="B102" s="23" t="str">
        <f>IF(ISBLANK([1]PitScoutingInfo!B102),"",[1]PitScoutingInfo!B102)</f>
        <v/>
      </c>
      <c r="C102" s="23" t="str">
        <f>IF(ISBLANK([1]PitScoutingInfo!J102),"",[1]PitScoutingInfo!J102)</f>
        <v/>
      </c>
      <c r="D102" s="23" t="str">
        <f>IF(ISBLANK([1]PitScoutingInfo!M102),"",[1]PitScoutingInfo!M102)</f>
        <v/>
      </c>
      <c r="E102" s="23" t="str">
        <f>IF(ISBLANK([1]PitScoutingInfo!N102),"",[1]PitScoutingInfo!N102)</f>
        <v/>
      </c>
      <c r="F102" s="23" t="str">
        <f>IF(ISBLANK([1]PitScoutingInfo!V102),"",[1]PitScoutingInfo!V102)</f>
        <v/>
      </c>
      <c r="G102" s="23" t="str">
        <f>IF(ISBLANK([1]PitScoutingInfo!W102),"",[1]PitScoutingInfo!W102)</f>
        <v/>
      </c>
      <c r="H102" s="23" t="str">
        <f>IF(ISBLANK([1]PitScoutingInfo!Z102),"",[1]PitScoutingInfo!Z102)</f>
        <v/>
      </c>
    </row>
    <row r="103" spans="1:8" x14ac:dyDescent="0.45">
      <c r="A103" s="23" t="str">
        <f>IF(ISBLANK([1]PitScoutingInfo!A103),"",[1]PitScoutingInfo!A103)</f>
        <v/>
      </c>
      <c r="B103" s="23" t="str">
        <f>IF(ISBLANK([1]PitScoutingInfo!B103),"",[1]PitScoutingInfo!B103)</f>
        <v/>
      </c>
      <c r="C103" s="23" t="str">
        <f>IF(ISBLANK([1]PitScoutingInfo!J103),"",[1]PitScoutingInfo!J103)</f>
        <v/>
      </c>
      <c r="D103" s="23" t="str">
        <f>IF(ISBLANK([1]PitScoutingInfo!M103),"",[1]PitScoutingInfo!M103)</f>
        <v/>
      </c>
      <c r="E103" s="23" t="str">
        <f>IF(ISBLANK([1]PitScoutingInfo!N103),"",[1]PitScoutingInfo!N103)</f>
        <v/>
      </c>
      <c r="F103" s="23" t="str">
        <f>IF(ISBLANK([1]PitScoutingInfo!V103),"",[1]PitScoutingInfo!V103)</f>
        <v/>
      </c>
      <c r="G103" s="23" t="str">
        <f>IF(ISBLANK([1]PitScoutingInfo!W103),"",[1]PitScoutingInfo!W103)</f>
        <v/>
      </c>
      <c r="H103" s="23" t="str">
        <f>IF(ISBLANK([1]PitScoutingInfo!Z103),"",[1]PitScoutingInfo!Z103)</f>
        <v/>
      </c>
    </row>
    <row r="104" spans="1:8" x14ac:dyDescent="0.45">
      <c r="A104" s="23" t="str">
        <f>IF(ISBLANK([1]PitScoutingInfo!A104),"",[1]PitScoutingInfo!A104)</f>
        <v/>
      </c>
      <c r="B104" s="23" t="str">
        <f>IF(ISBLANK([1]PitScoutingInfo!B104),"",[1]PitScoutingInfo!B104)</f>
        <v/>
      </c>
      <c r="C104" s="23" t="str">
        <f>IF(ISBLANK([1]PitScoutingInfo!J104),"",[1]PitScoutingInfo!J104)</f>
        <v/>
      </c>
      <c r="D104" s="23" t="str">
        <f>IF(ISBLANK([1]PitScoutingInfo!M104),"",[1]PitScoutingInfo!M104)</f>
        <v/>
      </c>
      <c r="E104" s="23" t="str">
        <f>IF(ISBLANK([1]PitScoutingInfo!N104),"",[1]PitScoutingInfo!N104)</f>
        <v/>
      </c>
      <c r="F104" s="23" t="str">
        <f>IF(ISBLANK([1]PitScoutingInfo!V104),"",[1]PitScoutingInfo!V104)</f>
        <v/>
      </c>
      <c r="G104" s="23" t="str">
        <f>IF(ISBLANK([1]PitScoutingInfo!W104),"",[1]PitScoutingInfo!W104)</f>
        <v/>
      </c>
      <c r="H104" s="23" t="str">
        <f>IF(ISBLANK([1]PitScoutingInfo!Z104),"",[1]PitScoutingInfo!Z104)</f>
        <v/>
      </c>
    </row>
    <row r="105" spans="1:8" x14ac:dyDescent="0.45">
      <c r="A105" s="23" t="str">
        <f>IF(ISBLANK([1]PitScoutingInfo!A105),"",[1]PitScoutingInfo!A105)</f>
        <v/>
      </c>
      <c r="B105" s="23" t="str">
        <f>IF(ISBLANK([1]PitScoutingInfo!B105),"",[1]PitScoutingInfo!B105)</f>
        <v/>
      </c>
      <c r="C105" s="23" t="str">
        <f>IF(ISBLANK([1]PitScoutingInfo!J105),"",[1]PitScoutingInfo!J105)</f>
        <v/>
      </c>
      <c r="D105" s="23" t="str">
        <f>IF(ISBLANK([1]PitScoutingInfo!M105),"",[1]PitScoutingInfo!M105)</f>
        <v/>
      </c>
      <c r="E105" s="23" t="str">
        <f>IF(ISBLANK([1]PitScoutingInfo!N105),"",[1]PitScoutingInfo!N105)</f>
        <v/>
      </c>
      <c r="F105" s="23" t="str">
        <f>IF(ISBLANK([1]PitScoutingInfo!V105),"",[1]PitScoutingInfo!V105)</f>
        <v/>
      </c>
      <c r="G105" s="23" t="str">
        <f>IF(ISBLANK([1]PitScoutingInfo!W105),"",[1]PitScoutingInfo!W105)</f>
        <v/>
      </c>
      <c r="H105" s="23" t="str">
        <f>IF(ISBLANK([1]PitScoutingInfo!Z105),"",[1]PitScoutingInfo!Z105)</f>
        <v/>
      </c>
    </row>
    <row r="106" spans="1:8" x14ac:dyDescent="0.45">
      <c r="A106" s="23" t="str">
        <f>IF(ISBLANK([1]PitScoutingInfo!A106),"",[1]PitScoutingInfo!A106)</f>
        <v/>
      </c>
      <c r="B106" s="23" t="str">
        <f>IF(ISBLANK([1]PitScoutingInfo!B106),"",[1]PitScoutingInfo!B106)</f>
        <v/>
      </c>
      <c r="C106" s="23" t="str">
        <f>IF(ISBLANK([1]PitScoutingInfo!J106),"",[1]PitScoutingInfo!J106)</f>
        <v/>
      </c>
      <c r="D106" s="23" t="str">
        <f>IF(ISBLANK([1]PitScoutingInfo!M106),"",[1]PitScoutingInfo!M106)</f>
        <v/>
      </c>
      <c r="E106" s="23" t="str">
        <f>IF(ISBLANK([1]PitScoutingInfo!N106),"",[1]PitScoutingInfo!N106)</f>
        <v/>
      </c>
      <c r="F106" s="23" t="str">
        <f>IF(ISBLANK([1]PitScoutingInfo!V106),"",[1]PitScoutingInfo!V106)</f>
        <v/>
      </c>
      <c r="G106" s="23" t="str">
        <f>IF(ISBLANK([1]PitScoutingInfo!W106),"",[1]PitScoutingInfo!W106)</f>
        <v/>
      </c>
      <c r="H106" s="23" t="str">
        <f>IF(ISBLANK([1]PitScoutingInfo!Z106),"",[1]PitScoutingInfo!Z106)</f>
        <v/>
      </c>
    </row>
    <row r="107" spans="1:8" x14ac:dyDescent="0.45">
      <c r="A107" s="23" t="str">
        <f>IF(ISBLANK([1]PitScoutingInfo!A107),"",[1]PitScoutingInfo!A107)</f>
        <v/>
      </c>
      <c r="B107" s="23" t="str">
        <f>IF(ISBLANK([1]PitScoutingInfo!B107),"",[1]PitScoutingInfo!B107)</f>
        <v/>
      </c>
      <c r="C107" s="23" t="str">
        <f>IF(ISBLANK([1]PitScoutingInfo!J107),"",[1]PitScoutingInfo!J107)</f>
        <v/>
      </c>
      <c r="D107" s="23" t="str">
        <f>IF(ISBLANK([1]PitScoutingInfo!M107),"",[1]PitScoutingInfo!M107)</f>
        <v/>
      </c>
      <c r="E107" s="23" t="str">
        <f>IF(ISBLANK([1]PitScoutingInfo!N107),"",[1]PitScoutingInfo!N107)</f>
        <v/>
      </c>
      <c r="F107" s="23" t="str">
        <f>IF(ISBLANK([1]PitScoutingInfo!V107),"",[1]PitScoutingInfo!V107)</f>
        <v/>
      </c>
      <c r="G107" s="23" t="str">
        <f>IF(ISBLANK([1]PitScoutingInfo!W107),"",[1]PitScoutingInfo!W107)</f>
        <v/>
      </c>
      <c r="H107" s="23" t="str">
        <f>IF(ISBLANK([1]PitScoutingInfo!Z107),"",[1]PitScoutingInfo!Z107)</f>
        <v/>
      </c>
    </row>
    <row r="108" spans="1:8" x14ac:dyDescent="0.45">
      <c r="A108" s="23" t="str">
        <f>IF(ISBLANK([1]PitScoutingInfo!A108),"",[1]PitScoutingInfo!A108)</f>
        <v/>
      </c>
      <c r="B108" s="23" t="str">
        <f>IF(ISBLANK([1]PitScoutingInfo!B108),"",[1]PitScoutingInfo!B108)</f>
        <v/>
      </c>
      <c r="C108" s="23" t="str">
        <f>IF(ISBLANK([1]PitScoutingInfo!J108),"",[1]PitScoutingInfo!J108)</f>
        <v/>
      </c>
      <c r="D108" s="23" t="str">
        <f>IF(ISBLANK([1]PitScoutingInfo!M108),"",[1]PitScoutingInfo!M108)</f>
        <v/>
      </c>
      <c r="E108" s="23" t="str">
        <f>IF(ISBLANK([1]PitScoutingInfo!N108),"",[1]PitScoutingInfo!N108)</f>
        <v/>
      </c>
      <c r="F108" s="23" t="str">
        <f>IF(ISBLANK([1]PitScoutingInfo!V108),"",[1]PitScoutingInfo!V108)</f>
        <v/>
      </c>
      <c r="G108" s="23" t="str">
        <f>IF(ISBLANK([1]PitScoutingInfo!W108),"",[1]PitScoutingInfo!W108)</f>
        <v/>
      </c>
      <c r="H108" s="23" t="str">
        <f>IF(ISBLANK([1]PitScoutingInfo!Z108),"",[1]PitScoutingInfo!Z108)</f>
        <v/>
      </c>
    </row>
    <row r="109" spans="1:8" x14ac:dyDescent="0.45">
      <c r="A109" s="23" t="str">
        <f>IF(ISBLANK([1]PitScoutingInfo!A109),"",[1]PitScoutingInfo!A109)</f>
        <v/>
      </c>
      <c r="B109" s="23" t="str">
        <f>IF(ISBLANK([1]PitScoutingInfo!B109),"",[1]PitScoutingInfo!B109)</f>
        <v/>
      </c>
      <c r="C109" s="23" t="str">
        <f>IF(ISBLANK([1]PitScoutingInfo!J109),"",[1]PitScoutingInfo!J109)</f>
        <v/>
      </c>
      <c r="D109" s="23" t="str">
        <f>IF(ISBLANK([1]PitScoutingInfo!M109),"",[1]PitScoutingInfo!M109)</f>
        <v/>
      </c>
      <c r="E109" s="23" t="str">
        <f>IF(ISBLANK([1]PitScoutingInfo!N109),"",[1]PitScoutingInfo!N109)</f>
        <v/>
      </c>
      <c r="F109" s="23" t="str">
        <f>IF(ISBLANK([1]PitScoutingInfo!V109),"",[1]PitScoutingInfo!V109)</f>
        <v/>
      </c>
      <c r="G109" s="23" t="str">
        <f>IF(ISBLANK([1]PitScoutingInfo!W109),"",[1]PitScoutingInfo!W109)</f>
        <v/>
      </c>
      <c r="H109" s="23" t="str">
        <f>IF(ISBLANK([1]PitScoutingInfo!Z109),"",[1]PitScoutingInfo!Z109)</f>
        <v/>
      </c>
    </row>
    <row r="110" spans="1:8" x14ac:dyDescent="0.45">
      <c r="A110" s="23" t="str">
        <f>IF(ISBLANK([1]PitScoutingInfo!A110),"",[1]PitScoutingInfo!A110)</f>
        <v/>
      </c>
      <c r="B110" s="23" t="str">
        <f>IF(ISBLANK([1]PitScoutingInfo!B110),"",[1]PitScoutingInfo!B110)</f>
        <v/>
      </c>
      <c r="C110" s="23" t="str">
        <f>IF(ISBLANK([1]PitScoutingInfo!J110),"",[1]PitScoutingInfo!J110)</f>
        <v/>
      </c>
      <c r="D110" s="23" t="str">
        <f>IF(ISBLANK([1]PitScoutingInfo!M110),"",[1]PitScoutingInfo!M110)</f>
        <v/>
      </c>
      <c r="E110" s="23" t="str">
        <f>IF(ISBLANK([1]PitScoutingInfo!N110),"",[1]PitScoutingInfo!N110)</f>
        <v/>
      </c>
      <c r="F110" s="23" t="str">
        <f>IF(ISBLANK([1]PitScoutingInfo!V110),"",[1]PitScoutingInfo!V110)</f>
        <v/>
      </c>
      <c r="G110" s="23" t="str">
        <f>IF(ISBLANK([1]PitScoutingInfo!W110),"",[1]PitScoutingInfo!W110)</f>
        <v/>
      </c>
      <c r="H110" s="23" t="str">
        <f>IF(ISBLANK([1]PitScoutingInfo!Z110),"",[1]PitScoutingInfo!Z110)</f>
        <v/>
      </c>
    </row>
    <row r="111" spans="1:8" x14ac:dyDescent="0.45">
      <c r="A111" s="23" t="str">
        <f>IF(ISBLANK([1]PitScoutingInfo!A111),"",[1]PitScoutingInfo!A111)</f>
        <v/>
      </c>
      <c r="B111" s="23" t="str">
        <f>IF(ISBLANK([1]PitScoutingInfo!B111),"",[1]PitScoutingInfo!B111)</f>
        <v/>
      </c>
      <c r="C111" s="23" t="str">
        <f>IF(ISBLANK([1]PitScoutingInfo!J111),"",[1]PitScoutingInfo!J111)</f>
        <v/>
      </c>
      <c r="D111" s="23" t="str">
        <f>IF(ISBLANK([1]PitScoutingInfo!M111),"",[1]PitScoutingInfo!M111)</f>
        <v/>
      </c>
      <c r="E111" s="23" t="str">
        <f>IF(ISBLANK([1]PitScoutingInfo!N111),"",[1]PitScoutingInfo!N111)</f>
        <v/>
      </c>
      <c r="F111" s="23" t="str">
        <f>IF(ISBLANK([1]PitScoutingInfo!V111),"",[1]PitScoutingInfo!V111)</f>
        <v/>
      </c>
      <c r="G111" s="23" t="str">
        <f>IF(ISBLANK([1]PitScoutingInfo!W111),"",[1]PitScoutingInfo!W111)</f>
        <v/>
      </c>
      <c r="H111" s="23" t="str">
        <f>IF(ISBLANK([1]PitScoutingInfo!Z111),"",[1]PitScoutingInfo!Z111)</f>
        <v/>
      </c>
    </row>
    <row r="112" spans="1:8" x14ac:dyDescent="0.45">
      <c r="A112" s="23" t="str">
        <f>IF(ISBLANK([1]PitScoutingInfo!A112),"",[1]PitScoutingInfo!A112)</f>
        <v/>
      </c>
      <c r="B112" s="23" t="str">
        <f>IF(ISBLANK([1]PitScoutingInfo!B112),"",[1]PitScoutingInfo!B112)</f>
        <v/>
      </c>
      <c r="C112" s="23" t="str">
        <f>IF(ISBLANK([1]PitScoutingInfo!J112),"",[1]PitScoutingInfo!J112)</f>
        <v/>
      </c>
      <c r="D112" s="23" t="str">
        <f>IF(ISBLANK([1]PitScoutingInfo!M112),"",[1]PitScoutingInfo!M112)</f>
        <v/>
      </c>
      <c r="E112" s="23" t="str">
        <f>IF(ISBLANK([1]PitScoutingInfo!N112),"",[1]PitScoutingInfo!N112)</f>
        <v/>
      </c>
      <c r="F112" s="23" t="str">
        <f>IF(ISBLANK([1]PitScoutingInfo!V112),"",[1]PitScoutingInfo!V112)</f>
        <v/>
      </c>
      <c r="G112" s="23" t="str">
        <f>IF(ISBLANK([1]PitScoutingInfo!W112),"",[1]PitScoutingInfo!W112)</f>
        <v/>
      </c>
      <c r="H112" s="23" t="str">
        <f>IF(ISBLANK([1]PitScoutingInfo!Z112),"",[1]PitScoutingInfo!Z112)</f>
        <v/>
      </c>
    </row>
    <row r="113" spans="1:8" x14ac:dyDescent="0.45">
      <c r="A113" s="23" t="str">
        <f>IF(ISBLANK([1]PitScoutingInfo!A113),"",[1]PitScoutingInfo!A113)</f>
        <v/>
      </c>
      <c r="B113" s="23" t="str">
        <f>IF(ISBLANK([1]PitScoutingInfo!B113),"",[1]PitScoutingInfo!B113)</f>
        <v/>
      </c>
      <c r="C113" s="23" t="str">
        <f>IF(ISBLANK([1]PitScoutingInfo!J113),"",[1]PitScoutingInfo!J113)</f>
        <v/>
      </c>
      <c r="D113" s="23" t="str">
        <f>IF(ISBLANK([1]PitScoutingInfo!M113),"",[1]PitScoutingInfo!M113)</f>
        <v/>
      </c>
      <c r="E113" s="23" t="str">
        <f>IF(ISBLANK([1]PitScoutingInfo!N113),"",[1]PitScoutingInfo!N113)</f>
        <v/>
      </c>
      <c r="F113" s="23" t="str">
        <f>IF(ISBLANK([1]PitScoutingInfo!V113),"",[1]PitScoutingInfo!V113)</f>
        <v/>
      </c>
      <c r="G113" s="23" t="str">
        <f>IF(ISBLANK([1]PitScoutingInfo!W113),"",[1]PitScoutingInfo!W113)</f>
        <v/>
      </c>
      <c r="H113" s="23" t="str">
        <f>IF(ISBLANK([1]PitScoutingInfo!Z113),"",[1]PitScoutingInfo!Z113)</f>
        <v/>
      </c>
    </row>
    <row r="114" spans="1:8" x14ac:dyDescent="0.45">
      <c r="A114" s="23" t="str">
        <f>IF(ISBLANK([1]PitScoutingInfo!A114),"",[1]PitScoutingInfo!A114)</f>
        <v/>
      </c>
      <c r="B114" s="23" t="str">
        <f>IF(ISBLANK([1]PitScoutingInfo!B114),"",[1]PitScoutingInfo!B114)</f>
        <v/>
      </c>
      <c r="C114" s="23" t="str">
        <f>IF(ISBLANK([1]PitScoutingInfo!J114),"",[1]PitScoutingInfo!J114)</f>
        <v/>
      </c>
      <c r="D114" s="23" t="str">
        <f>IF(ISBLANK([1]PitScoutingInfo!M114),"",[1]PitScoutingInfo!M114)</f>
        <v/>
      </c>
      <c r="E114" s="23" t="str">
        <f>IF(ISBLANK([1]PitScoutingInfo!N114),"",[1]PitScoutingInfo!N114)</f>
        <v/>
      </c>
      <c r="F114" s="23" t="str">
        <f>IF(ISBLANK([1]PitScoutingInfo!V114),"",[1]PitScoutingInfo!V114)</f>
        <v/>
      </c>
      <c r="G114" s="23" t="str">
        <f>IF(ISBLANK([1]PitScoutingInfo!W114),"",[1]PitScoutingInfo!W114)</f>
        <v/>
      </c>
      <c r="H114" s="23" t="str">
        <f>IF(ISBLANK([1]PitScoutingInfo!Z114),"",[1]PitScoutingInfo!Z114)</f>
        <v/>
      </c>
    </row>
    <row r="115" spans="1:8" x14ac:dyDescent="0.45">
      <c r="A115" s="23" t="str">
        <f>IF(ISBLANK([1]PitScoutingInfo!A115),"",[1]PitScoutingInfo!A115)</f>
        <v/>
      </c>
      <c r="B115" s="23" t="str">
        <f>IF(ISBLANK([1]PitScoutingInfo!B115),"",[1]PitScoutingInfo!B115)</f>
        <v/>
      </c>
      <c r="C115" s="23" t="str">
        <f>IF(ISBLANK([1]PitScoutingInfo!J115),"",[1]PitScoutingInfo!J115)</f>
        <v/>
      </c>
      <c r="D115" s="23" t="str">
        <f>IF(ISBLANK([1]PitScoutingInfo!M115),"",[1]PitScoutingInfo!M115)</f>
        <v/>
      </c>
      <c r="E115" s="23" t="str">
        <f>IF(ISBLANK([1]PitScoutingInfo!N115),"",[1]PitScoutingInfo!N115)</f>
        <v/>
      </c>
      <c r="F115" s="23" t="str">
        <f>IF(ISBLANK([1]PitScoutingInfo!V115),"",[1]PitScoutingInfo!V115)</f>
        <v/>
      </c>
      <c r="G115" s="23" t="str">
        <f>IF(ISBLANK([1]PitScoutingInfo!W115),"",[1]PitScoutingInfo!W115)</f>
        <v/>
      </c>
      <c r="H115" s="23" t="str">
        <f>IF(ISBLANK([1]PitScoutingInfo!Z115),"",[1]PitScoutingInfo!Z115)</f>
        <v/>
      </c>
    </row>
    <row r="116" spans="1:8" x14ac:dyDescent="0.45">
      <c r="A116" s="23" t="str">
        <f>IF(ISBLANK([1]PitScoutingInfo!A116),"",[1]PitScoutingInfo!A116)</f>
        <v/>
      </c>
      <c r="B116" s="23" t="str">
        <f>IF(ISBLANK([1]PitScoutingInfo!B116),"",[1]PitScoutingInfo!B116)</f>
        <v/>
      </c>
      <c r="C116" s="23" t="str">
        <f>IF(ISBLANK([1]PitScoutingInfo!J116),"",[1]PitScoutingInfo!J116)</f>
        <v/>
      </c>
      <c r="D116" s="23" t="str">
        <f>IF(ISBLANK([1]PitScoutingInfo!M116),"",[1]PitScoutingInfo!M116)</f>
        <v/>
      </c>
      <c r="E116" s="23" t="str">
        <f>IF(ISBLANK([1]PitScoutingInfo!N116),"",[1]PitScoutingInfo!N116)</f>
        <v/>
      </c>
      <c r="F116" s="23" t="str">
        <f>IF(ISBLANK([1]PitScoutingInfo!V116),"",[1]PitScoutingInfo!V116)</f>
        <v/>
      </c>
      <c r="G116" s="23" t="str">
        <f>IF(ISBLANK([1]PitScoutingInfo!W116),"",[1]PitScoutingInfo!W116)</f>
        <v/>
      </c>
      <c r="H116" s="23" t="str">
        <f>IF(ISBLANK([1]PitScoutingInfo!Z116),"",[1]PitScoutingInfo!Z116)</f>
        <v/>
      </c>
    </row>
    <row r="117" spans="1:8" x14ac:dyDescent="0.45">
      <c r="A117" s="23" t="str">
        <f>IF(ISBLANK([1]PitScoutingInfo!A117),"",[1]PitScoutingInfo!A117)</f>
        <v/>
      </c>
      <c r="B117" s="23" t="str">
        <f>IF(ISBLANK([1]PitScoutingInfo!B117),"",[1]PitScoutingInfo!B117)</f>
        <v/>
      </c>
      <c r="C117" s="23" t="str">
        <f>IF(ISBLANK([1]PitScoutingInfo!J117),"",[1]PitScoutingInfo!J117)</f>
        <v/>
      </c>
      <c r="D117" s="23" t="str">
        <f>IF(ISBLANK([1]PitScoutingInfo!M117),"",[1]PitScoutingInfo!M117)</f>
        <v/>
      </c>
      <c r="E117" s="23" t="str">
        <f>IF(ISBLANK([1]PitScoutingInfo!N117),"",[1]PitScoutingInfo!N117)</f>
        <v/>
      </c>
      <c r="F117" s="23" t="str">
        <f>IF(ISBLANK([1]PitScoutingInfo!V117),"",[1]PitScoutingInfo!V117)</f>
        <v/>
      </c>
      <c r="G117" s="23" t="str">
        <f>IF(ISBLANK([1]PitScoutingInfo!W117),"",[1]PitScoutingInfo!W117)</f>
        <v/>
      </c>
      <c r="H117" s="23" t="str">
        <f>IF(ISBLANK([1]PitScoutingInfo!Z117),"",[1]PitScoutingInfo!Z117)</f>
        <v/>
      </c>
    </row>
    <row r="118" spans="1:8" x14ac:dyDescent="0.45">
      <c r="A118" s="23" t="str">
        <f>IF(ISBLANK([1]PitScoutingInfo!A118),"",[1]PitScoutingInfo!A118)</f>
        <v/>
      </c>
      <c r="B118" s="23" t="str">
        <f>IF(ISBLANK([1]PitScoutingInfo!B118),"",[1]PitScoutingInfo!B118)</f>
        <v/>
      </c>
      <c r="C118" s="23" t="str">
        <f>IF(ISBLANK([1]PitScoutingInfo!J118),"",[1]PitScoutingInfo!J118)</f>
        <v/>
      </c>
      <c r="D118" s="23" t="str">
        <f>IF(ISBLANK([1]PitScoutingInfo!M118),"",[1]PitScoutingInfo!M118)</f>
        <v/>
      </c>
      <c r="E118" s="23" t="str">
        <f>IF(ISBLANK([1]PitScoutingInfo!N118),"",[1]PitScoutingInfo!N118)</f>
        <v/>
      </c>
      <c r="F118" s="23" t="str">
        <f>IF(ISBLANK([1]PitScoutingInfo!V118),"",[1]PitScoutingInfo!V118)</f>
        <v/>
      </c>
      <c r="G118" s="23" t="str">
        <f>IF(ISBLANK([1]PitScoutingInfo!W118),"",[1]PitScoutingInfo!W118)</f>
        <v/>
      </c>
      <c r="H118" s="23" t="str">
        <f>IF(ISBLANK([1]PitScoutingInfo!Z118),"",[1]PitScoutingInfo!Z118)</f>
        <v/>
      </c>
    </row>
    <row r="119" spans="1:8" x14ac:dyDescent="0.45">
      <c r="A119" s="23" t="str">
        <f>IF(ISBLANK([1]PitScoutingInfo!A119),"",[1]PitScoutingInfo!A119)</f>
        <v/>
      </c>
      <c r="B119" s="23" t="str">
        <f>IF(ISBLANK([1]PitScoutingInfo!B119),"",[1]PitScoutingInfo!B119)</f>
        <v/>
      </c>
      <c r="C119" s="23" t="str">
        <f>IF(ISBLANK([1]PitScoutingInfo!J119),"",[1]PitScoutingInfo!J119)</f>
        <v/>
      </c>
      <c r="D119" s="23" t="str">
        <f>IF(ISBLANK([1]PitScoutingInfo!M119),"",[1]PitScoutingInfo!M119)</f>
        <v/>
      </c>
      <c r="E119" s="23" t="str">
        <f>IF(ISBLANK([1]PitScoutingInfo!N119),"",[1]PitScoutingInfo!N119)</f>
        <v/>
      </c>
      <c r="F119" s="23" t="str">
        <f>IF(ISBLANK([1]PitScoutingInfo!V119),"",[1]PitScoutingInfo!V119)</f>
        <v/>
      </c>
      <c r="G119" s="23" t="str">
        <f>IF(ISBLANK([1]PitScoutingInfo!W119),"",[1]PitScoutingInfo!W119)</f>
        <v/>
      </c>
      <c r="H119" s="23" t="str">
        <f>IF(ISBLANK([1]PitScoutingInfo!Z119),"",[1]PitScoutingInfo!Z119)</f>
        <v/>
      </c>
    </row>
    <row r="120" spans="1:8" x14ac:dyDescent="0.45">
      <c r="A120" s="23" t="str">
        <f>IF(ISBLANK([1]PitScoutingInfo!A120),"",[1]PitScoutingInfo!A120)</f>
        <v/>
      </c>
      <c r="B120" s="23" t="str">
        <f>IF(ISBLANK([1]PitScoutingInfo!B120),"",[1]PitScoutingInfo!B120)</f>
        <v/>
      </c>
      <c r="C120" s="23" t="str">
        <f>IF(ISBLANK([1]PitScoutingInfo!J120),"",[1]PitScoutingInfo!J120)</f>
        <v/>
      </c>
      <c r="D120" s="23" t="str">
        <f>IF(ISBLANK([1]PitScoutingInfo!M120),"",[1]PitScoutingInfo!M120)</f>
        <v/>
      </c>
      <c r="E120" s="23" t="str">
        <f>IF(ISBLANK([1]PitScoutingInfo!N120),"",[1]PitScoutingInfo!N120)</f>
        <v/>
      </c>
      <c r="F120" s="23" t="str">
        <f>IF(ISBLANK([1]PitScoutingInfo!V120),"",[1]PitScoutingInfo!V120)</f>
        <v/>
      </c>
      <c r="G120" s="23" t="str">
        <f>IF(ISBLANK([1]PitScoutingInfo!W120),"",[1]PitScoutingInfo!W120)</f>
        <v/>
      </c>
      <c r="H120" s="23" t="str">
        <f>IF(ISBLANK([1]PitScoutingInfo!Z120),"",[1]PitScoutingInfo!Z120)</f>
        <v/>
      </c>
    </row>
    <row r="121" spans="1:8" x14ac:dyDescent="0.45">
      <c r="A121" s="23" t="str">
        <f>IF(ISBLANK([1]PitScoutingInfo!A121),"",[1]PitScoutingInfo!A121)</f>
        <v/>
      </c>
      <c r="B121" s="23" t="str">
        <f>IF(ISBLANK([1]PitScoutingInfo!B121),"",[1]PitScoutingInfo!B121)</f>
        <v/>
      </c>
      <c r="C121" s="23" t="str">
        <f>IF(ISBLANK([1]PitScoutingInfo!J121),"",[1]PitScoutingInfo!J121)</f>
        <v/>
      </c>
      <c r="D121" s="23" t="str">
        <f>IF(ISBLANK([1]PitScoutingInfo!M121),"",[1]PitScoutingInfo!M121)</f>
        <v/>
      </c>
      <c r="E121" s="23" t="str">
        <f>IF(ISBLANK([1]PitScoutingInfo!N121),"",[1]PitScoutingInfo!N121)</f>
        <v/>
      </c>
      <c r="F121" s="23" t="str">
        <f>IF(ISBLANK([1]PitScoutingInfo!V121),"",[1]PitScoutingInfo!V121)</f>
        <v/>
      </c>
      <c r="G121" s="23" t="str">
        <f>IF(ISBLANK([1]PitScoutingInfo!W121),"",[1]PitScoutingInfo!W121)</f>
        <v/>
      </c>
      <c r="H121" s="23" t="str">
        <f>IF(ISBLANK([1]PitScoutingInfo!Z121),"",[1]PitScoutingInfo!Z121)</f>
        <v/>
      </c>
    </row>
    <row r="122" spans="1:8" x14ac:dyDescent="0.45">
      <c r="A122" s="23" t="str">
        <f>IF(ISBLANK([1]PitScoutingInfo!A122),"",[1]PitScoutingInfo!A122)</f>
        <v/>
      </c>
      <c r="B122" s="23" t="str">
        <f>IF(ISBLANK([1]PitScoutingInfo!B122),"",[1]PitScoutingInfo!B122)</f>
        <v/>
      </c>
      <c r="C122" s="23" t="str">
        <f>IF(ISBLANK([1]PitScoutingInfo!J122),"",[1]PitScoutingInfo!J122)</f>
        <v/>
      </c>
      <c r="D122" s="23" t="str">
        <f>IF(ISBLANK([1]PitScoutingInfo!M122),"",[1]PitScoutingInfo!M122)</f>
        <v/>
      </c>
      <c r="E122" s="23" t="str">
        <f>IF(ISBLANK([1]PitScoutingInfo!N122),"",[1]PitScoutingInfo!N122)</f>
        <v/>
      </c>
      <c r="F122" s="23" t="str">
        <f>IF(ISBLANK([1]PitScoutingInfo!V122),"",[1]PitScoutingInfo!V122)</f>
        <v/>
      </c>
      <c r="G122" s="23" t="str">
        <f>IF(ISBLANK([1]PitScoutingInfo!W122),"",[1]PitScoutingInfo!W122)</f>
        <v/>
      </c>
      <c r="H122" s="23" t="str">
        <f>IF(ISBLANK([1]PitScoutingInfo!Z122),"",[1]PitScoutingInfo!Z122)</f>
        <v/>
      </c>
    </row>
    <row r="123" spans="1:8" x14ac:dyDescent="0.45">
      <c r="A123" s="23" t="str">
        <f>IF(ISBLANK([1]PitScoutingInfo!A123),"",[1]PitScoutingInfo!A123)</f>
        <v/>
      </c>
      <c r="B123" s="23" t="str">
        <f>IF(ISBLANK([1]PitScoutingInfo!B123),"",[1]PitScoutingInfo!B123)</f>
        <v/>
      </c>
      <c r="C123" s="23" t="str">
        <f>IF(ISBLANK([1]PitScoutingInfo!J123),"",[1]PitScoutingInfo!J123)</f>
        <v/>
      </c>
      <c r="D123" s="23" t="str">
        <f>IF(ISBLANK([1]PitScoutingInfo!M123),"",[1]PitScoutingInfo!M123)</f>
        <v/>
      </c>
      <c r="E123" s="23" t="str">
        <f>IF(ISBLANK([1]PitScoutingInfo!N123),"",[1]PitScoutingInfo!N123)</f>
        <v/>
      </c>
      <c r="F123" s="23" t="str">
        <f>IF(ISBLANK([1]PitScoutingInfo!V123),"",[1]PitScoutingInfo!V123)</f>
        <v/>
      </c>
      <c r="G123" s="23" t="str">
        <f>IF(ISBLANK([1]PitScoutingInfo!W123),"",[1]PitScoutingInfo!W123)</f>
        <v/>
      </c>
      <c r="H123" s="23" t="str">
        <f>IF(ISBLANK([1]PitScoutingInfo!Z123),"",[1]PitScoutingInfo!Z123)</f>
        <v/>
      </c>
    </row>
    <row r="124" spans="1:8" x14ac:dyDescent="0.45">
      <c r="A124" s="23" t="str">
        <f>IF(ISBLANK([1]PitScoutingInfo!A124),"",[1]PitScoutingInfo!A124)</f>
        <v/>
      </c>
      <c r="B124" s="23" t="str">
        <f>IF(ISBLANK([1]PitScoutingInfo!B124),"",[1]PitScoutingInfo!B124)</f>
        <v/>
      </c>
      <c r="C124" s="23" t="str">
        <f>IF(ISBLANK([1]PitScoutingInfo!J124),"",[1]PitScoutingInfo!J124)</f>
        <v/>
      </c>
      <c r="D124" s="23" t="str">
        <f>IF(ISBLANK([1]PitScoutingInfo!M124),"",[1]PitScoutingInfo!M124)</f>
        <v/>
      </c>
      <c r="E124" s="23" t="str">
        <f>IF(ISBLANK([1]PitScoutingInfo!N124),"",[1]PitScoutingInfo!N124)</f>
        <v/>
      </c>
      <c r="F124" s="23" t="str">
        <f>IF(ISBLANK([1]PitScoutingInfo!V124),"",[1]PitScoutingInfo!V124)</f>
        <v/>
      </c>
      <c r="G124" s="23" t="str">
        <f>IF(ISBLANK([1]PitScoutingInfo!W124),"",[1]PitScoutingInfo!W124)</f>
        <v/>
      </c>
      <c r="H124" s="23" t="str">
        <f>IF(ISBLANK([1]PitScoutingInfo!Z124),"",[1]PitScoutingInfo!Z124)</f>
        <v/>
      </c>
    </row>
    <row r="125" spans="1:8" x14ac:dyDescent="0.45">
      <c r="A125" s="23" t="str">
        <f>IF(ISBLANK([1]PitScoutingInfo!A125),"",[1]PitScoutingInfo!A125)</f>
        <v/>
      </c>
      <c r="B125" s="23" t="str">
        <f>IF(ISBLANK([1]PitScoutingInfo!B125),"",[1]PitScoutingInfo!B125)</f>
        <v/>
      </c>
      <c r="C125" s="23" t="str">
        <f>IF(ISBLANK([1]PitScoutingInfo!J125),"",[1]PitScoutingInfo!J125)</f>
        <v/>
      </c>
      <c r="D125" s="23" t="str">
        <f>IF(ISBLANK([1]PitScoutingInfo!M125),"",[1]PitScoutingInfo!M125)</f>
        <v/>
      </c>
      <c r="E125" s="23" t="str">
        <f>IF(ISBLANK([1]PitScoutingInfo!N125),"",[1]PitScoutingInfo!N125)</f>
        <v/>
      </c>
      <c r="F125" s="23" t="str">
        <f>IF(ISBLANK([1]PitScoutingInfo!V125),"",[1]PitScoutingInfo!V125)</f>
        <v/>
      </c>
      <c r="G125" s="23" t="str">
        <f>IF(ISBLANK([1]PitScoutingInfo!W125),"",[1]PitScoutingInfo!W125)</f>
        <v/>
      </c>
      <c r="H125" s="23" t="str">
        <f>IF(ISBLANK([1]PitScoutingInfo!Z125),"",[1]PitScoutingInfo!Z125)</f>
        <v/>
      </c>
    </row>
    <row r="126" spans="1:8" x14ac:dyDescent="0.45">
      <c r="A126" s="23" t="str">
        <f>IF(ISBLANK([1]PitScoutingInfo!A126),"",[1]PitScoutingInfo!A126)</f>
        <v/>
      </c>
      <c r="B126" s="23" t="str">
        <f>IF(ISBLANK([1]PitScoutingInfo!B126),"",[1]PitScoutingInfo!B126)</f>
        <v/>
      </c>
      <c r="C126" s="23" t="str">
        <f>IF(ISBLANK([1]PitScoutingInfo!J126),"",[1]PitScoutingInfo!J126)</f>
        <v/>
      </c>
      <c r="D126" s="23" t="str">
        <f>IF(ISBLANK([1]PitScoutingInfo!M126),"",[1]PitScoutingInfo!M126)</f>
        <v/>
      </c>
      <c r="E126" s="23" t="str">
        <f>IF(ISBLANK([1]PitScoutingInfo!N126),"",[1]PitScoutingInfo!N126)</f>
        <v/>
      </c>
      <c r="F126" s="23" t="str">
        <f>IF(ISBLANK([1]PitScoutingInfo!V126),"",[1]PitScoutingInfo!V126)</f>
        <v/>
      </c>
      <c r="G126" s="23" t="str">
        <f>IF(ISBLANK([1]PitScoutingInfo!W126),"",[1]PitScoutingInfo!W126)</f>
        <v/>
      </c>
      <c r="H126" s="23" t="str">
        <f>IF(ISBLANK([1]PitScoutingInfo!Z126),"",[1]PitScoutingInfo!Z126)</f>
        <v/>
      </c>
    </row>
    <row r="127" spans="1:8" x14ac:dyDescent="0.45">
      <c r="A127" s="23" t="str">
        <f>IF(ISBLANK([1]PitScoutingInfo!A127),"",[1]PitScoutingInfo!A127)</f>
        <v/>
      </c>
      <c r="B127" s="23" t="str">
        <f>IF(ISBLANK([1]PitScoutingInfo!B127),"",[1]PitScoutingInfo!B127)</f>
        <v/>
      </c>
      <c r="C127" s="23" t="str">
        <f>IF(ISBLANK([1]PitScoutingInfo!J127),"",[1]PitScoutingInfo!J127)</f>
        <v/>
      </c>
      <c r="D127" s="23" t="str">
        <f>IF(ISBLANK([1]PitScoutingInfo!M127),"",[1]PitScoutingInfo!M127)</f>
        <v/>
      </c>
      <c r="E127" s="23" t="str">
        <f>IF(ISBLANK([1]PitScoutingInfo!N127),"",[1]PitScoutingInfo!N127)</f>
        <v/>
      </c>
      <c r="F127" s="23" t="str">
        <f>IF(ISBLANK([1]PitScoutingInfo!V127),"",[1]PitScoutingInfo!V127)</f>
        <v/>
      </c>
      <c r="G127" s="23" t="str">
        <f>IF(ISBLANK([1]PitScoutingInfo!W127),"",[1]PitScoutingInfo!W127)</f>
        <v/>
      </c>
      <c r="H127" s="23" t="str">
        <f>IF(ISBLANK([1]PitScoutingInfo!Z127),"",[1]PitScoutingInfo!Z127)</f>
        <v/>
      </c>
    </row>
    <row r="128" spans="1:8" x14ac:dyDescent="0.45">
      <c r="A128" s="23" t="str">
        <f>IF(ISBLANK([1]PitScoutingInfo!A128),"",[1]PitScoutingInfo!A128)</f>
        <v/>
      </c>
      <c r="B128" s="23" t="str">
        <f>IF(ISBLANK([1]PitScoutingInfo!B128),"",[1]PitScoutingInfo!B128)</f>
        <v/>
      </c>
      <c r="C128" s="23" t="str">
        <f>IF(ISBLANK([1]PitScoutingInfo!J128),"",[1]PitScoutingInfo!J128)</f>
        <v/>
      </c>
      <c r="D128" s="23" t="str">
        <f>IF(ISBLANK([1]PitScoutingInfo!M128),"",[1]PitScoutingInfo!M128)</f>
        <v/>
      </c>
      <c r="E128" s="23" t="str">
        <f>IF(ISBLANK([1]PitScoutingInfo!N128),"",[1]PitScoutingInfo!N128)</f>
        <v/>
      </c>
      <c r="F128" s="23" t="str">
        <f>IF(ISBLANK([1]PitScoutingInfo!V128),"",[1]PitScoutingInfo!V128)</f>
        <v/>
      </c>
      <c r="G128" s="23" t="str">
        <f>IF(ISBLANK([1]PitScoutingInfo!W128),"",[1]PitScoutingInfo!W128)</f>
        <v/>
      </c>
      <c r="H128" s="23" t="str">
        <f>IF(ISBLANK([1]PitScoutingInfo!Z128),"",[1]PitScoutingInfo!Z128)</f>
        <v/>
      </c>
    </row>
    <row r="129" spans="1:8" x14ac:dyDescent="0.45">
      <c r="A129" s="23" t="str">
        <f>IF(ISBLANK([1]PitScoutingInfo!A129),"",[1]PitScoutingInfo!A129)</f>
        <v/>
      </c>
      <c r="B129" s="23" t="str">
        <f>IF(ISBLANK([1]PitScoutingInfo!B129),"",[1]PitScoutingInfo!B129)</f>
        <v/>
      </c>
      <c r="C129" s="23" t="str">
        <f>IF(ISBLANK([1]PitScoutingInfo!J129),"",[1]PitScoutingInfo!J129)</f>
        <v/>
      </c>
      <c r="D129" s="23" t="str">
        <f>IF(ISBLANK([1]PitScoutingInfo!M129),"",[1]PitScoutingInfo!M129)</f>
        <v/>
      </c>
      <c r="E129" s="23" t="str">
        <f>IF(ISBLANK([1]PitScoutingInfo!N129),"",[1]PitScoutingInfo!N129)</f>
        <v/>
      </c>
      <c r="F129" s="23" t="str">
        <f>IF(ISBLANK([1]PitScoutingInfo!V129),"",[1]PitScoutingInfo!V129)</f>
        <v/>
      </c>
      <c r="G129" s="23" t="str">
        <f>IF(ISBLANK([1]PitScoutingInfo!W129),"",[1]PitScoutingInfo!W129)</f>
        <v/>
      </c>
      <c r="H129" s="23" t="str">
        <f>IF(ISBLANK([1]PitScoutingInfo!Z129),"",[1]PitScoutingInfo!Z129)</f>
        <v/>
      </c>
    </row>
    <row r="130" spans="1:8" x14ac:dyDescent="0.45">
      <c r="A130" s="23" t="str">
        <f>IF(ISBLANK([1]PitScoutingInfo!A130),"",[1]PitScoutingInfo!A130)</f>
        <v/>
      </c>
      <c r="B130" s="23" t="str">
        <f>IF(ISBLANK([1]PitScoutingInfo!B130),"",[1]PitScoutingInfo!B130)</f>
        <v/>
      </c>
      <c r="C130" s="23" t="str">
        <f>IF(ISBLANK([1]PitScoutingInfo!J130),"",[1]PitScoutingInfo!J130)</f>
        <v/>
      </c>
      <c r="D130" s="23" t="str">
        <f>IF(ISBLANK([1]PitScoutingInfo!M130),"",[1]PitScoutingInfo!M130)</f>
        <v/>
      </c>
      <c r="E130" s="23" t="str">
        <f>IF(ISBLANK([1]PitScoutingInfo!N130),"",[1]PitScoutingInfo!N130)</f>
        <v/>
      </c>
      <c r="F130" s="23" t="str">
        <f>IF(ISBLANK([1]PitScoutingInfo!V130),"",[1]PitScoutingInfo!V130)</f>
        <v/>
      </c>
      <c r="G130" s="23" t="str">
        <f>IF(ISBLANK([1]PitScoutingInfo!W130),"",[1]PitScoutingInfo!W130)</f>
        <v/>
      </c>
      <c r="H130" s="23" t="str">
        <f>IF(ISBLANK([1]PitScoutingInfo!Z130),"",[1]PitScoutingInfo!Z130)</f>
        <v/>
      </c>
    </row>
    <row r="131" spans="1:8" x14ac:dyDescent="0.45">
      <c r="A131" s="23" t="str">
        <f>IF(ISBLANK([1]PitScoutingInfo!A131),"",[1]PitScoutingInfo!A131)</f>
        <v/>
      </c>
      <c r="B131" s="23" t="str">
        <f>IF(ISBLANK([1]PitScoutingInfo!B131),"",[1]PitScoutingInfo!B131)</f>
        <v/>
      </c>
      <c r="C131" s="23" t="str">
        <f>IF(ISBLANK([1]PitScoutingInfo!J131),"",[1]PitScoutingInfo!J131)</f>
        <v/>
      </c>
      <c r="D131" s="23" t="str">
        <f>IF(ISBLANK([1]PitScoutingInfo!M131),"",[1]PitScoutingInfo!M131)</f>
        <v/>
      </c>
      <c r="E131" s="23" t="str">
        <f>IF(ISBLANK([1]PitScoutingInfo!N131),"",[1]PitScoutingInfo!N131)</f>
        <v/>
      </c>
      <c r="F131" s="23" t="str">
        <f>IF(ISBLANK([1]PitScoutingInfo!V131),"",[1]PitScoutingInfo!V131)</f>
        <v/>
      </c>
      <c r="G131" s="23" t="str">
        <f>IF(ISBLANK([1]PitScoutingInfo!W131),"",[1]PitScoutingInfo!W131)</f>
        <v/>
      </c>
      <c r="H131" s="23" t="str">
        <f>IF(ISBLANK([1]PitScoutingInfo!Z131),"",[1]PitScoutingInfo!Z131)</f>
        <v/>
      </c>
    </row>
    <row r="132" spans="1:8" x14ac:dyDescent="0.45">
      <c r="A132" s="23" t="str">
        <f>IF(ISBLANK([1]PitScoutingInfo!A132),"",[1]PitScoutingInfo!A132)</f>
        <v/>
      </c>
      <c r="B132" s="23" t="str">
        <f>IF(ISBLANK([1]PitScoutingInfo!B132),"",[1]PitScoutingInfo!B132)</f>
        <v/>
      </c>
      <c r="C132" s="23" t="str">
        <f>IF(ISBLANK([1]PitScoutingInfo!J132),"",[1]PitScoutingInfo!J132)</f>
        <v/>
      </c>
      <c r="D132" s="23" t="str">
        <f>IF(ISBLANK([1]PitScoutingInfo!M132),"",[1]PitScoutingInfo!M132)</f>
        <v/>
      </c>
      <c r="E132" s="23" t="str">
        <f>IF(ISBLANK([1]PitScoutingInfo!N132),"",[1]PitScoutingInfo!N132)</f>
        <v/>
      </c>
      <c r="F132" s="23" t="str">
        <f>IF(ISBLANK([1]PitScoutingInfo!V132),"",[1]PitScoutingInfo!V132)</f>
        <v/>
      </c>
      <c r="G132" s="23" t="str">
        <f>IF(ISBLANK([1]PitScoutingInfo!W132),"",[1]PitScoutingInfo!W132)</f>
        <v/>
      </c>
      <c r="H132" s="23" t="str">
        <f>IF(ISBLANK([1]PitScoutingInfo!Z132),"",[1]PitScoutingInfo!Z132)</f>
        <v/>
      </c>
    </row>
    <row r="133" spans="1:8" x14ac:dyDescent="0.45">
      <c r="A133" s="23" t="str">
        <f>IF(ISBLANK([1]PitScoutingInfo!A133),"",[1]PitScoutingInfo!A133)</f>
        <v/>
      </c>
      <c r="B133" s="23" t="str">
        <f>IF(ISBLANK([1]PitScoutingInfo!B133),"",[1]PitScoutingInfo!B133)</f>
        <v/>
      </c>
      <c r="C133" s="23" t="str">
        <f>IF(ISBLANK([1]PitScoutingInfo!J133),"",[1]PitScoutingInfo!J133)</f>
        <v/>
      </c>
      <c r="D133" s="23" t="str">
        <f>IF(ISBLANK([1]PitScoutingInfo!M133),"",[1]PitScoutingInfo!M133)</f>
        <v/>
      </c>
      <c r="E133" s="23" t="str">
        <f>IF(ISBLANK([1]PitScoutingInfo!N133),"",[1]PitScoutingInfo!N133)</f>
        <v/>
      </c>
      <c r="F133" s="23" t="str">
        <f>IF(ISBLANK([1]PitScoutingInfo!V133),"",[1]PitScoutingInfo!V133)</f>
        <v/>
      </c>
      <c r="G133" s="23" t="str">
        <f>IF(ISBLANK([1]PitScoutingInfo!W133),"",[1]PitScoutingInfo!W133)</f>
        <v/>
      </c>
      <c r="H133" s="23" t="str">
        <f>IF(ISBLANK([1]PitScoutingInfo!Z133),"",[1]PitScoutingInfo!Z133)</f>
        <v/>
      </c>
    </row>
    <row r="134" spans="1:8" x14ac:dyDescent="0.45">
      <c r="A134" s="23" t="str">
        <f>IF(ISBLANK([1]PitScoutingInfo!A134),"",[1]PitScoutingInfo!A134)</f>
        <v/>
      </c>
      <c r="B134" s="23" t="str">
        <f>IF(ISBLANK([1]PitScoutingInfo!B134),"",[1]PitScoutingInfo!B134)</f>
        <v/>
      </c>
      <c r="C134" s="23" t="str">
        <f>IF(ISBLANK([1]PitScoutingInfo!J134),"",[1]PitScoutingInfo!J134)</f>
        <v/>
      </c>
      <c r="D134" s="23" t="str">
        <f>IF(ISBLANK([1]PitScoutingInfo!M134),"",[1]PitScoutingInfo!M134)</f>
        <v/>
      </c>
      <c r="E134" s="23" t="str">
        <f>IF(ISBLANK([1]PitScoutingInfo!N134),"",[1]PitScoutingInfo!N134)</f>
        <v/>
      </c>
      <c r="F134" s="23" t="str">
        <f>IF(ISBLANK([1]PitScoutingInfo!V134),"",[1]PitScoutingInfo!V134)</f>
        <v/>
      </c>
      <c r="G134" s="23" t="str">
        <f>IF(ISBLANK([1]PitScoutingInfo!W134),"",[1]PitScoutingInfo!W134)</f>
        <v/>
      </c>
      <c r="H134" s="23" t="str">
        <f>IF(ISBLANK([1]PitScoutingInfo!Z134),"",[1]PitScoutingInfo!Z134)</f>
        <v/>
      </c>
    </row>
    <row r="135" spans="1:8" x14ac:dyDescent="0.45">
      <c r="A135" s="23" t="str">
        <f>IF(ISBLANK([1]PitScoutingInfo!A135),"",[1]PitScoutingInfo!A135)</f>
        <v/>
      </c>
      <c r="B135" s="23" t="str">
        <f>IF(ISBLANK([1]PitScoutingInfo!B135),"",[1]PitScoutingInfo!B135)</f>
        <v/>
      </c>
      <c r="C135" s="23" t="str">
        <f>IF(ISBLANK([1]PitScoutingInfo!J135),"",[1]PitScoutingInfo!J135)</f>
        <v/>
      </c>
      <c r="D135" s="23" t="str">
        <f>IF(ISBLANK([1]PitScoutingInfo!M135),"",[1]PitScoutingInfo!M135)</f>
        <v/>
      </c>
      <c r="E135" s="23" t="str">
        <f>IF(ISBLANK([1]PitScoutingInfo!N135),"",[1]PitScoutingInfo!N135)</f>
        <v/>
      </c>
      <c r="F135" s="23" t="str">
        <f>IF(ISBLANK([1]PitScoutingInfo!V135),"",[1]PitScoutingInfo!V135)</f>
        <v/>
      </c>
      <c r="G135" s="23" t="str">
        <f>IF(ISBLANK([1]PitScoutingInfo!W135),"",[1]PitScoutingInfo!W135)</f>
        <v/>
      </c>
      <c r="H135" s="23" t="str">
        <f>IF(ISBLANK([1]PitScoutingInfo!Z135),"",[1]PitScoutingInfo!Z135)</f>
        <v/>
      </c>
    </row>
    <row r="136" spans="1:8" x14ac:dyDescent="0.45">
      <c r="A136" s="23" t="str">
        <f>IF(ISBLANK([1]PitScoutingInfo!A136),"",[1]PitScoutingInfo!A136)</f>
        <v/>
      </c>
      <c r="B136" s="23" t="str">
        <f>IF(ISBLANK([1]PitScoutingInfo!B136),"",[1]PitScoutingInfo!B136)</f>
        <v/>
      </c>
      <c r="C136" s="23" t="str">
        <f>IF(ISBLANK([1]PitScoutingInfo!J136),"",[1]PitScoutingInfo!J136)</f>
        <v/>
      </c>
      <c r="D136" s="23" t="str">
        <f>IF(ISBLANK([1]PitScoutingInfo!M136),"",[1]PitScoutingInfo!M136)</f>
        <v/>
      </c>
      <c r="E136" s="23" t="str">
        <f>IF(ISBLANK([1]PitScoutingInfo!N136),"",[1]PitScoutingInfo!N136)</f>
        <v/>
      </c>
      <c r="F136" s="23" t="str">
        <f>IF(ISBLANK([1]PitScoutingInfo!V136),"",[1]PitScoutingInfo!V136)</f>
        <v/>
      </c>
      <c r="G136" s="23" t="str">
        <f>IF(ISBLANK([1]PitScoutingInfo!W136),"",[1]PitScoutingInfo!W136)</f>
        <v/>
      </c>
      <c r="H136" s="23" t="str">
        <f>IF(ISBLANK([1]PitScoutingInfo!Z136),"",[1]PitScoutingInfo!Z136)</f>
        <v/>
      </c>
    </row>
    <row r="137" spans="1:8" x14ac:dyDescent="0.45">
      <c r="A137" s="23" t="str">
        <f>IF(ISBLANK([1]PitScoutingInfo!A137),"",[1]PitScoutingInfo!A137)</f>
        <v/>
      </c>
      <c r="B137" s="23" t="str">
        <f>IF(ISBLANK([1]PitScoutingInfo!B137),"",[1]PitScoutingInfo!B137)</f>
        <v/>
      </c>
      <c r="C137" s="23" t="str">
        <f>IF(ISBLANK([1]PitScoutingInfo!J137),"",[1]PitScoutingInfo!J137)</f>
        <v/>
      </c>
      <c r="D137" s="23" t="str">
        <f>IF(ISBLANK([1]PitScoutingInfo!M137),"",[1]PitScoutingInfo!M137)</f>
        <v/>
      </c>
      <c r="E137" s="23" t="str">
        <f>IF(ISBLANK([1]PitScoutingInfo!N137),"",[1]PitScoutingInfo!N137)</f>
        <v/>
      </c>
      <c r="F137" s="23" t="str">
        <f>IF(ISBLANK([1]PitScoutingInfo!V137),"",[1]PitScoutingInfo!V137)</f>
        <v/>
      </c>
      <c r="G137" s="23" t="str">
        <f>IF(ISBLANK([1]PitScoutingInfo!W137),"",[1]PitScoutingInfo!W137)</f>
        <v/>
      </c>
      <c r="H137" s="23" t="str">
        <f>IF(ISBLANK([1]PitScoutingInfo!Z137),"",[1]PitScoutingInfo!Z137)</f>
        <v/>
      </c>
    </row>
    <row r="138" spans="1:8" x14ac:dyDescent="0.45">
      <c r="A138" s="23" t="str">
        <f>IF(ISBLANK([1]PitScoutingInfo!A138),"",[1]PitScoutingInfo!A138)</f>
        <v/>
      </c>
      <c r="B138" s="23" t="str">
        <f>IF(ISBLANK([1]PitScoutingInfo!B138),"",[1]PitScoutingInfo!B138)</f>
        <v/>
      </c>
      <c r="C138" s="23" t="str">
        <f>IF(ISBLANK([1]PitScoutingInfo!J138),"",[1]PitScoutingInfo!J138)</f>
        <v/>
      </c>
      <c r="D138" s="23" t="str">
        <f>IF(ISBLANK([1]PitScoutingInfo!M138),"",[1]PitScoutingInfo!M138)</f>
        <v/>
      </c>
      <c r="E138" s="23" t="str">
        <f>IF(ISBLANK([1]PitScoutingInfo!N138),"",[1]PitScoutingInfo!N138)</f>
        <v/>
      </c>
      <c r="F138" s="23" t="str">
        <f>IF(ISBLANK([1]PitScoutingInfo!V138),"",[1]PitScoutingInfo!V138)</f>
        <v/>
      </c>
      <c r="G138" s="23" t="str">
        <f>IF(ISBLANK([1]PitScoutingInfo!W138),"",[1]PitScoutingInfo!W138)</f>
        <v/>
      </c>
      <c r="H138" s="23" t="str">
        <f>IF(ISBLANK([1]PitScoutingInfo!Z138),"",[1]PitScoutingInfo!Z138)</f>
        <v/>
      </c>
    </row>
    <row r="139" spans="1:8" x14ac:dyDescent="0.45">
      <c r="A139" s="23" t="str">
        <f>IF(ISBLANK([1]PitScoutingInfo!A139),"",[1]PitScoutingInfo!A139)</f>
        <v/>
      </c>
      <c r="B139" s="23" t="str">
        <f>IF(ISBLANK([1]PitScoutingInfo!B139),"",[1]PitScoutingInfo!B139)</f>
        <v/>
      </c>
      <c r="C139" s="23" t="str">
        <f>IF(ISBLANK([1]PitScoutingInfo!J139),"",[1]PitScoutingInfo!J139)</f>
        <v/>
      </c>
      <c r="D139" s="23" t="str">
        <f>IF(ISBLANK([1]PitScoutingInfo!M139),"",[1]PitScoutingInfo!M139)</f>
        <v/>
      </c>
      <c r="E139" s="23" t="str">
        <f>IF(ISBLANK([1]PitScoutingInfo!N139),"",[1]PitScoutingInfo!N139)</f>
        <v/>
      </c>
      <c r="F139" s="23" t="str">
        <f>IF(ISBLANK([1]PitScoutingInfo!V139),"",[1]PitScoutingInfo!V139)</f>
        <v/>
      </c>
      <c r="G139" s="23" t="str">
        <f>IF(ISBLANK([1]PitScoutingInfo!W139),"",[1]PitScoutingInfo!W139)</f>
        <v/>
      </c>
      <c r="H139" s="23" t="str">
        <f>IF(ISBLANK([1]PitScoutingInfo!Z139),"",[1]PitScoutingInfo!Z139)</f>
        <v/>
      </c>
    </row>
    <row r="140" spans="1:8" x14ac:dyDescent="0.45">
      <c r="A140" s="23" t="str">
        <f>IF(ISBLANK([1]PitScoutingInfo!A140),"",[1]PitScoutingInfo!A140)</f>
        <v/>
      </c>
      <c r="B140" s="23" t="str">
        <f>IF(ISBLANK([1]PitScoutingInfo!B140),"",[1]PitScoutingInfo!B140)</f>
        <v/>
      </c>
      <c r="C140" s="23" t="str">
        <f>IF(ISBLANK([1]PitScoutingInfo!J140),"",[1]PitScoutingInfo!J140)</f>
        <v/>
      </c>
      <c r="D140" s="23" t="str">
        <f>IF(ISBLANK([1]PitScoutingInfo!M140),"",[1]PitScoutingInfo!M140)</f>
        <v/>
      </c>
      <c r="E140" s="23" t="str">
        <f>IF(ISBLANK([1]PitScoutingInfo!N140),"",[1]PitScoutingInfo!N140)</f>
        <v/>
      </c>
      <c r="F140" s="23" t="str">
        <f>IF(ISBLANK([1]PitScoutingInfo!V140),"",[1]PitScoutingInfo!V140)</f>
        <v/>
      </c>
      <c r="G140" s="23" t="str">
        <f>IF(ISBLANK([1]PitScoutingInfo!W140),"",[1]PitScoutingInfo!W140)</f>
        <v/>
      </c>
      <c r="H140" s="23" t="str">
        <f>IF(ISBLANK([1]PitScoutingInfo!Z140),"",[1]PitScoutingInfo!Z140)</f>
        <v/>
      </c>
    </row>
    <row r="141" spans="1:8" x14ac:dyDescent="0.45">
      <c r="A141" s="23" t="str">
        <f>IF(ISBLANK([1]PitScoutingInfo!A141),"",[1]PitScoutingInfo!A141)</f>
        <v/>
      </c>
      <c r="B141" s="23" t="str">
        <f>IF(ISBLANK([1]PitScoutingInfo!B141),"",[1]PitScoutingInfo!B141)</f>
        <v/>
      </c>
      <c r="C141" s="23" t="str">
        <f>IF(ISBLANK([1]PitScoutingInfo!J141),"",[1]PitScoutingInfo!J141)</f>
        <v/>
      </c>
      <c r="D141" s="23" t="str">
        <f>IF(ISBLANK([1]PitScoutingInfo!M141),"",[1]PitScoutingInfo!M141)</f>
        <v/>
      </c>
      <c r="E141" s="23" t="str">
        <f>IF(ISBLANK([1]PitScoutingInfo!N141),"",[1]PitScoutingInfo!N141)</f>
        <v/>
      </c>
      <c r="F141" s="23" t="str">
        <f>IF(ISBLANK([1]PitScoutingInfo!V141),"",[1]PitScoutingInfo!V141)</f>
        <v/>
      </c>
      <c r="G141" s="23" t="str">
        <f>IF(ISBLANK([1]PitScoutingInfo!W141),"",[1]PitScoutingInfo!W141)</f>
        <v/>
      </c>
      <c r="H141" s="23" t="str">
        <f>IF(ISBLANK([1]PitScoutingInfo!Z141),"",[1]PitScoutingInfo!Z141)</f>
        <v/>
      </c>
    </row>
    <row r="142" spans="1:8" x14ac:dyDescent="0.45">
      <c r="A142" s="23" t="str">
        <f>IF(ISBLANK([1]PitScoutingInfo!A142),"",[1]PitScoutingInfo!A142)</f>
        <v/>
      </c>
      <c r="B142" s="23" t="str">
        <f>IF(ISBLANK([1]PitScoutingInfo!B142),"",[1]PitScoutingInfo!B142)</f>
        <v/>
      </c>
      <c r="C142" s="23" t="str">
        <f>IF(ISBLANK([1]PitScoutingInfo!J142),"",[1]PitScoutingInfo!J142)</f>
        <v/>
      </c>
      <c r="D142" s="23" t="str">
        <f>IF(ISBLANK([1]PitScoutingInfo!M142),"",[1]PitScoutingInfo!M142)</f>
        <v/>
      </c>
      <c r="E142" s="23" t="str">
        <f>IF(ISBLANK([1]PitScoutingInfo!N142),"",[1]PitScoutingInfo!N142)</f>
        <v/>
      </c>
      <c r="F142" s="23" t="str">
        <f>IF(ISBLANK([1]PitScoutingInfo!V142),"",[1]PitScoutingInfo!V142)</f>
        <v/>
      </c>
      <c r="G142" s="23" t="str">
        <f>IF(ISBLANK([1]PitScoutingInfo!W142),"",[1]PitScoutingInfo!W142)</f>
        <v/>
      </c>
      <c r="H142" s="23" t="str">
        <f>IF(ISBLANK([1]PitScoutingInfo!Z142),"",[1]PitScoutingInfo!Z142)</f>
        <v/>
      </c>
    </row>
    <row r="143" spans="1:8" x14ac:dyDescent="0.45">
      <c r="A143" s="23" t="str">
        <f>IF(ISBLANK([1]PitScoutingInfo!A143),"",[1]PitScoutingInfo!A143)</f>
        <v/>
      </c>
      <c r="B143" s="23" t="str">
        <f>IF(ISBLANK([1]PitScoutingInfo!B143),"",[1]PitScoutingInfo!B143)</f>
        <v/>
      </c>
      <c r="C143" s="23" t="str">
        <f>IF(ISBLANK([1]PitScoutingInfo!J143),"",[1]PitScoutingInfo!J143)</f>
        <v/>
      </c>
      <c r="D143" s="23" t="str">
        <f>IF(ISBLANK([1]PitScoutingInfo!M143),"",[1]PitScoutingInfo!M143)</f>
        <v/>
      </c>
      <c r="E143" s="23" t="str">
        <f>IF(ISBLANK([1]PitScoutingInfo!N143),"",[1]PitScoutingInfo!N143)</f>
        <v/>
      </c>
      <c r="F143" s="23" t="str">
        <f>IF(ISBLANK([1]PitScoutingInfo!V143),"",[1]PitScoutingInfo!V143)</f>
        <v/>
      </c>
      <c r="G143" s="23" t="str">
        <f>IF(ISBLANK([1]PitScoutingInfo!W143),"",[1]PitScoutingInfo!W143)</f>
        <v/>
      </c>
      <c r="H143" s="23" t="str">
        <f>IF(ISBLANK([1]PitScoutingInfo!Z143),"",[1]PitScoutingInfo!Z143)</f>
        <v/>
      </c>
    </row>
    <row r="144" spans="1:8" x14ac:dyDescent="0.45">
      <c r="A144" s="23" t="str">
        <f>IF(ISBLANK([1]PitScoutingInfo!A144),"",[1]PitScoutingInfo!A144)</f>
        <v/>
      </c>
      <c r="B144" s="23" t="str">
        <f>IF(ISBLANK([1]PitScoutingInfo!B144),"",[1]PitScoutingInfo!B144)</f>
        <v/>
      </c>
      <c r="C144" s="23" t="str">
        <f>IF(ISBLANK([1]PitScoutingInfo!J144),"",[1]PitScoutingInfo!J144)</f>
        <v/>
      </c>
      <c r="D144" s="23" t="str">
        <f>IF(ISBLANK([1]PitScoutingInfo!M144),"",[1]PitScoutingInfo!M144)</f>
        <v/>
      </c>
      <c r="E144" s="23" t="str">
        <f>IF(ISBLANK([1]PitScoutingInfo!N144),"",[1]PitScoutingInfo!N144)</f>
        <v/>
      </c>
      <c r="F144" s="23" t="str">
        <f>IF(ISBLANK([1]PitScoutingInfo!V144),"",[1]PitScoutingInfo!V144)</f>
        <v/>
      </c>
      <c r="G144" s="23" t="str">
        <f>IF(ISBLANK([1]PitScoutingInfo!W144),"",[1]PitScoutingInfo!W144)</f>
        <v/>
      </c>
      <c r="H144" s="23" t="str">
        <f>IF(ISBLANK([1]PitScoutingInfo!Z144),"",[1]PitScoutingInfo!Z144)</f>
        <v/>
      </c>
    </row>
    <row r="145" spans="1:8" x14ac:dyDescent="0.45">
      <c r="A145" s="23" t="str">
        <f>IF(ISBLANK([1]PitScoutingInfo!A145),"",[1]PitScoutingInfo!A145)</f>
        <v/>
      </c>
      <c r="B145" s="23" t="str">
        <f>IF(ISBLANK([1]PitScoutingInfo!B145),"",[1]PitScoutingInfo!B145)</f>
        <v/>
      </c>
      <c r="C145" s="23" t="str">
        <f>IF(ISBLANK([1]PitScoutingInfo!J145),"",[1]PitScoutingInfo!J145)</f>
        <v/>
      </c>
      <c r="D145" s="23" t="str">
        <f>IF(ISBLANK([1]PitScoutingInfo!M145),"",[1]PitScoutingInfo!M145)</f>
        <v/>
      </c>
      <c r="E145" s="23" t="str">
        <f>IF(ISBLANK([1]PitScoutingInfo!N145),"",[1]PitScoutingInfo!N145)</f>
        <v/>
      </c>
      <c r="F145" s="23" t="str">
        <f>IF(ISBLANK([1]PitScoutingInfo!V145),"",[1]PitScoutingInfo!V145)</f>
        <v/>
      </c>
      <c r="G145" s="23" t="str">
        <f>IF(ISBLANK([1]PitScoutingInfo!W145),"",[1]PitScoutingInfo!W145)</f>
        <v/>
      </c>
      <c r="H145" s="23" t="str">
        <f>IF(ISBLANK([1]PitScoutingInfo!Z145),"",[1]PitScoutingInfo!Z145)</f>
        <v/>
      </c>
    </row>
    <row r="146" spans="1:8" x14ac:dyDescent="0.45">
      <c r="A146" s="23" t="str">
        <f>IF(ISBLANK([1]PitScoutingInfo!A146),"",[1]PitScoutingInfo!A146)</f>
        <v/>
      </c>
      <c r="B146" s="23" t="str">
        <f>IF(ISBLANK([1]PitScoutingInfo!B146),"",[1]PitScoutingInfo!B146)</f>
        <v/>
      </c>
      <c r="C146" s="23" t="str">
        <f>IF(ISBLANK([1]PitScoutingInfo!J146),"",[1]PitScoutingInfo!J146)</f>
        <v/>
      </c>
      <c r="D146" s="23" t="str">
        <f>IF(ISBLANK([1]PitScoutingInfo!M146),"",[1]PitScoutingInfo!M146)</f>
        <v/>
      </c>
      <c r="E146" s="23" t="str">
        <f>IF(ISBLANK([1]PitScoutingInfo!N146),"",[1]PitScoutingInfo!N146)</f>
        <v/>
      </c>
      <c r="F146" s="23" t="str">
        <f>IF(ISBLANK([1]PitScoutingInfo!V146),"",[1]PitScoutingInfo!V146)</f>
        <v/>
      </c>
      <c r="G146" s="23" t="str">
        <f>IF(ISBLANK([1]PitScoutingInfo!W146),"",[1]PitScoutingInfo!W146)</f>
        <v/>
      </c>
      <c r="H146" s="23" t="str">
        <f>IF(ISBLANK([1]PitScoutingInfo!Z146),"",[1]PitScoutingInfo!Z146)</f>
        <v/>
      </c>
    </row>
    <row r="147" spans="1:8" x14ac:dyDescent="0.45">
      <c r="A147" s="23" t="str">
        <f>IF(ISBLANK([1]PitScoutingInfo!A147),"",[1]PitScoutingInfo!A147)</f>
        <v/>
      </c>
      <c r="B147" s="23" t="str">
        <f>IF(ISBLANK([1]PitScoutingInfo!B147),"",[1]PitScoutingInfo!B147)</f>
        <v/>
      </c>
      <c r="C147" s="23" t="str">
        <f>IF(ISBLANK([1]PitScoutingInfo!J147),"",[1]PitScoutingInfo!J147)</f>
        <v/>
      </c>
      <c r="D147" s="23" t="str">
        <f>IF(ISBLANK([1]PitScoutingInfo!M147),"",[1]PitScoutingInfo!M147)</f>
        <v/>
      </c>
      <c r="E147" s="23" t="str">
        <f>IF(ISBLANK([1]PitScoutingInfo!N147),"",[1]PitScoutingInfo!N147)</f>
        <v/>
      </c>
      <c r="F147" s="23" t="str">
        <f>IF(ISBLANK([1]PitScoutingInfo!V147),"",[1]PitScoutingInfo!V147)</f>
        <v/>
      </c>
      <c r="G147" s="23" t="str">
        <f>IF(ISBLANK([1]PitScoutingInfo!W147),"",[1]PitScoutingInfo!W147)</f>
        <v/>
      </c>
      <c r="H147" s="23" t="str">
        <f>IF(ISBLANK([1]PitScoutingInfo!Z147),"",[1]PitScoutingInfo!Z147)</f>
        <v/>
      </c>
    </row>
    <row r="148" spans="1:8" x14ac:dyDescent="0.45">
      <c r="A148" s="23" t="str">
        <f>IF(ISBLANK([1]PitScoutingInfo!A148),"",[1]PitScoutingInfo!A148)</f>
        <v/>
      </c>
      <c r="B148" s="23" t="str">
        <f>IF(ISBLANK([1]PitScoutingInfo!B148),"",[1]PitScoutingInfo!B148)</f>
        <v/>
      </c>
      <c r="C148" s="23" t="str">
        <f>IF(ISBLANK([1]PitScoutingInfo!J148),"",[1]PitScoutingInfo!J148)</f>
        <v/>
      </c>
      <c r="D148" s="23" t="str">
        <f>IF(ISBLANK([1]PitScoutingInfo!M148),"",[1]PitScoutingInfo!M148)</f>
        <v/>
      </c>
      <c r="E148" s="23" t="str">
        <f>IF(ISBLANK([1]PitScoutingInfo!N148),"",[1]PitScoutingInfo!N148)</f>
        <v/>
      </c>
      <c r="F148" s="23" t="str">
        <f>IF(ISBLANK([1]PitScoutingInfo!V148),"",[1]PitScoutingInfo!V148)</f>
        <v/>
      </c>
      <c r="G148" s="23" t="str">
        <f>IF(ISBLANK([1]PitScoutingInfo!W148),"",[1]PitScoutingInfo!W148)</f>
        <v/>
      </c>
      <c r="H148" s="23" t="str">
        <f>IF(ISBLANK([1]PitScoutingInfo!Z148),"",[1]PitScoutingInfo!Z148)</f>
        <v/>
      </c>
    </row>
    <row r="149" spans="1:8" x14ac:dyDescent="0.45">
      <c r="A149" s="23" t="str">
        <f>IF(ISBLANK([1]PitScoutingInfo!A149),"",[1]PitScoutingInfo!A149)</f>
        <v/>
      </c>
      <c r="B149" s="23" t="str">
        <f>IF(ISBLANK([1]PitScoutingInfo!B149),"",[1]PitScoutingInfo!B149)</f>
        <v/>
      </c>
      <c r="C149" s="23" t="str">
        <f>IF(ISBLANK([1]PitScoutingInfo!J149),"",[1]PitScoutingInfo!J149)</f>
        <v/>
      </c>
      <c r="D149" s="23" t="str">
        <f>IF(ISBLANK([1]PitScoutingInfo!M149),"",[1]PitScoutingInfo!M149)</f>
        <v/>
      </c>
      <c r="E149" s="23" t="str">
        <f>IF(ISBLANK([1]PitScoutingInfo!N149),"",[1]PitScoutingInfo!N149)</f>
        <v/>
      </c>
      <c r="F149" s="23" t="str">
        <f>IF(ISBLANK([1]PitScoutingInfo!V149),"",[1]PitScoutingInfo!V149)</f>
        <v/>
      </c>
      <c r="G149" s="23" t="str">
        <f>IF(ISBLANK([1]PitScoutingInfo!W149),"",[1]PitScoutingInfo!W149)</f>
        <v/>
      </c>
      <c r="H149" s="23" t="str">
        <f>IF(ISBLANK([1]PitScoutingInfo!Z149),"",[1]PitScoutingInfo!Z149)</f>
        <v/>
      </c>
    </row>
    <row r="150" spans="1:8" x14ac:dyDescent="0.45">
      <c r="A150" s="23" t="str">
        <f>IF(ISBLANK([1]PitScoutingInfo!A150),"",[1]PitScoutingInfo!A150)</f>
        <v/>
      </c>
      <c r="B150" s="23" t="str">
        <f>IF(ISBLANK([1]PitScoutingInfo!B150),"",[1]PitScoutingInfo!B150)</f>
        <v/>
      </c>
      <c r="C150" s="23" t="str">
        <f>IF(ISBLANK([1]PitScoutingInfo!J150),"",[1]PitScoutingInfo!J150)</f>
        <v/>
      </c>
      <c r="D150" s="23" t="str">
        <f>IF(ISBLANK([1]PitScoutingInfo!M150),"",[1]PitScoutingInfo!M150)</f>
        <v/>
      </c>
      <c r="E150" s="23" t="str">
        <f>IF(ISBLANK([1]PitScoutingInfo!N150),"",[1]PitScoutingInfo!N150)</f>
        <v/>
      </c>
      <c r="F150" s="23" t="str">
        <f>IF(ISBLANK([1]PitScoutingInfo!V150),"",[1]PitScoutingInfo!V150)</f>
        <v/>
      </c>
      <c r="G150" s="23" t="str">
        <f>IF(ISBLANK([1]PitScoutingInfo!W150),"",[1]PitScoutingInfo!W150)</f>
        <v/>
      </c>
      <c r="H150" s="23" t="str">
        <f>IF(ISBLANK([1]PitScoutingInfo!Z150),"",[1]PitScoutingInfo!Z150)</f>
        <v/>
      </c>
    </row>
    <row r="151" spans="1:8" x14ac:dyDescent="0.45">
      <c r="A151" s="23" t="str">
        <f>IF(ISBLANK([1]PitScoutingInfo!A151),"",[1]PitScoutingInfo!A151)</f>
        <v/>
      </c>
      <c r="B151" s="23" t="str">
        <f>IF(ISBLANK([1]PitScoutingInfo!B151),"",[1]PitScoutingInfo!B151)</f>
        <v/>
      </c>
      <c r="C151" s="23" t="str">
        <f>IF(ISBLANK([1]PitScoutingInfo!J151),"",[1]PitScoutingInfo!J151)</f>
        <v/>
      </c>
      <c r="D151" s="23" t="str">
        <f>IF(ISBLANK([1]PitScoutingInfo!M151),"",[1]PitScoutingInfo!M151)</f>
        <v/>
      </c>
      <c r="E151" s="23" t="str">
        <f>IF(ISBLANK([1]PitScoutingInfo!N151),"",[1]PitScoutingInfo!N151)</f>
        <v/>
      </c>
      <c r="F151" s="23" t="str">
        <f>IF(ISBLANK([1]PitScoutingInfo!V151),"",[1]PitScoutingInfo!V151)</f>
        <v/>
      </c>
      <c r="G151" s="23" t="str">
        <f>IF(ISBLANK([1]PitScoutingInfo!W151),"",[1]PitScoutingInfo!W151)</f>
        <v/>
      </c>
      <c r="H151" s="23" t="str">
        <f>IF(ISBLANK([1]PitScoutingInfo!Z151),"",[1]PitScoutingInfo!Z151)</f>
        <v/>
      </c>
    </row>
    <row r="152" spans="1:8" x14ac:dyDescent="0.45">
      <c r="A152" s="23" t="str">
        <f>IF(ISBLANK([1]PitScoutingInfo!A152),"",[1]PitScoutingInfo!A152)</f>
        <v/>
      </c>
      <c r="B152" s="23" t="str">
        <f>IF(ISBLANK([1]PitScoutingInfo!B152),"",[1]PitScoutingInfo!B152)</f>
        <v/>
      </c>
      <c r="C152" s="23" t="str">
        <f>IF(ISBLANK([1]PitScoutingInfo!J152),"",[1]PitScoutingInfo!J152)</f>
        <v/>
      </c>
      <c r="D152" s="23" t="str">
        <f>IF(ISBLANK([1]PitScoutingInfo!M152),"",[1]PitScoutingInfo!M152)</f>
        <v/>
      </c>
      <c r="E152" s="23" t="str">
        <f>IF(ISBLANK([1]PitScoutingInfo!N152),"",[1]PitScoutingInfo!N152)</f>
        <v/>
      </c>
      <c r="F152" s="23" t="str">
        <f>IF(ISBLANK([1]PitScoutingInfo!V152),"",[1]PitScoutingInfo!V152)</f>
        <v/>
      </c>
      <c r="G152" s="23" t="str">
        <f>IF(ISBLANK([1]PitScoutingInfo!W152),"",[1]PitScoutingInfo!W152)</f>
        <v/>
      </c>
      <c r="H152" s="23" t="str">
        <f>IF(ISBLANK([1]PitScoutingInfo!Z152),"",[1]PitScoutingInfo!Z152)</f>
        <v/>
      </c>
    </row>
    <row r="153" spans="1:8" x14ac:dyDescent="0.45">
      <c r="A153" s="23" t="str">
        <f>IF(ISBLANK([1]PitScoutingInfo!A153),"",[1]PitScoutingInfo!A153)</f>
        <v/>
      </c>
      <c r="B153" s="23" t="str">
        <f>IF(ISBLANK([1]PitScoutingInfo!B153),"",[1]PitScoutingInfo!B153)</f>
        <v/>
      </c>
      <c r="C153" s="23" t="str">
        <f>IF(ISBLANK([1]PitScoutingInfo!J153),"",[1]PitScoutingInfo!J153)</f>
        <v/>
      </c>
      <c r="D153" s="23" t="str">
        <f>IF(ISBLANK([1]PitScoutingInfo!M153),"",[1]PitScoutingInfo!M153)</f>
        <v/>
      </c>
      <c r="E153" s="23" t="str">
        <f>IF(ISBLANK([1]PitScoutingInfo!N153),"",[1]PitScoutingInfo!N153)</f>
        <v/>
      </c>
      <c r="F153" s="23" t="str">
        <f>IF(ISBLANK([1]PitScoutingInfo!V153),"",[1]PitScoutingInfo!V153)</f>
        <v/>
      </c>
      <c r="G153" s="23" t="str">
        <f>IF(ISBLANK([1]PitScoutingInfo!W153),"",[1]PitScoutingInfo!W153)</f>
        <v/>
      </c>
      <c r="H153" s="23" t="str">
        <f>IF(ISBLANK([1]PitScoutingInfo!Z153),"",[1]PitScoutingInfo!Z153)</f>
        <v/>
      </c>
    </row>
    <row r="154" spans="1:8" x14ac:dyDescent="0.45">
      <c r="A154" s="23" t="str">
        <f>IF(ISBLANK([1]PitScoutingInfo!A154),"",[1]PitScoutingInfo!A154)</f>
        <v/>
      </c>
      <c r="B154" s="23" t="str">
        <f>IF(ISBLANK([1]PitScoutingInfo!B154),"",[1]PitScoutingInfo!B154)</f>
        <v/>
      </c>
      <c r="C154" s="23" t="str">
        <f>IF(ISBLANK([1]PitScoutingInfo!J154),"",[1]PitScoutingInfo!J154)</f>
        <v/>
      </c>
      <c r="D154" s="23" t="str">
        <f>IF(ISBLANK([1]PitScoutingInfo!M154),"",[1]PitScoutingInfo!M154)</f>
        <v/>
      </c>
      <c r="E154" s="23" t="str">
        <f>IF(ISBLANK([1]PitScoutingInfo!N154),"",[1]PitScoutingInfo!N154)</f>
        <v/>
      </c>
      <c r="F154" s="23" t="str">
        <f>IF(ISBLANK([1]PitScoutingInfo!V154),"",[1]PitScoutingInfo!V154)</f>
        <v/>
      </c>
      <c r="G154" s="23" t="str">
        <f>IF(ISBLANK([1]PitScoutingInfo!W154),"",[1]PitScoutingInfo!W154)</f>
        <v/>
      </c>
      <c r="H154" s="23" t="str">
        <f>IF(ISBLANK([1]PitScoutingInfo!Z154),"",[1]PitScoutingInfo!Z154)</f>
        <v/>
      </c>
    </row>
    <row r="155" spans="1:8" x14ac:dyDescent="0.45">
      <c r="A155" s="23" t="str">
        <f>IF(ISBLANK([1]PitScoutingInfo!A155),"",[1]PitScoutingInfo!A155)</f>
        <v/>
      </c>
      <c r="B155" s="23" t="str">
        <f>IF(ISBLANK([1]PitScoutingInfo!B155),"",[1]PitScoutingInfo!B155)</f>
        <v/>
      </c>
      <c r="C155" s="23" t="str">
        <f>IF(ISBLANK([1]PitScoutingInfo!J155),"",[1]PitScoutingInfo!J155)</f>
        <v/>
      </c>
      <c r="D155" s="23" t="str">
        <f>IF(ISBLANK([1]PitScoutingInfo!M155),"",[1]PitScoutingInfo!M155)</f>
        <v/>
      </c>
      <c r="E155" s="23" t="str">
        <f>IF(ISBLANK([1]PitScoutingInfo!N155),"",[1]PitScoutingInfo!N155)</f>
        <v/>
      </c>
      <c r="F155" s="23" t="str">
        <f>IF(ISBLANK([1]PitScoutingInfo!V155),"",[1]PitScoutingInfo!V155)</f>
        <v/>
      </c>
      <c r="G155" s="23" t="str">
        <f>IF(ISBLANK([1]PitScoutingInfo!W155),"",[1]PitScoutingInfo!W155)</f>
        <v/>
      </c>
      <c r="H155" s="23" t="str">
        <f>IF(ISBLANK([1]PitScoutingInfo!Z155),"",[1]PitScoutingInfo!Z155)</f>
        <v/>
      </c>
    </row>
    <row r="156" spans="1:8" x14ac:dyDescent="0.45">
      <c r="A156" s="23" t="str">
        <f>IF(ISBLANK([1]PitScoutingInfo!A156),"",[1]PitScoutingInfo!A156)</f>
        <v/>
      </c>
      <c r="B156" s="23" t="str">
        <f>IF(ISBLANK([1]PitScoutingInfo!B156),"",[1]PitScoutingInfo!B156)</f>
        <v/>
      </c>
      <c r="C156" s="23" t="str">
        <f>IF(ISBLANK([1]PitScoutingInfo!J156),"",[1]PitScoutingInfo!J156)</f>
        <v/>
      </c>
      <c r="D156" s="23" t="str">
        <f>IF(ISBLANK([1]PitScoutingInfo!M156),"",[1]PitScoutingInfo!M156)</f>
        <v/>
      </c>
      <c r="E156" s="23" t="str">
        <f>IF(ISBLANK([1]PitScoutingInfo!N156),"",[1]PitScoutingInfo!N156)</f>
        <v/>
      </c>
      <c r="F156" s="23" t="str">
        <f>IF(ISBLANK([1]PitScoutingInfo!V156),"",[1]PitScoutingInfo!V156)</f>
        <v/>
      </c>
      <c r="G156" s="23" t="str">
        <f>IF(ISBLANK([1]PitScoutingInfo!W156),"",[1]PitScoutingInfo!W156)</f>
        <v/>
      </c>
      <c r="H156" s="23" t="str">
        <f>IF(ISBLANK([1]PitScoutingInfo!Z156),"",[1]PitScoutingInfo!Z156)</f>
        <v/>
      </c>
    </row>
    <row r="157" spans="1:8" x14ac:dyDescent="0.45">
      <c r="A157" s="23" t="str">
        <f>IF(ISBLANK([1]PitScoutingInfo!A157),"",[1]PitScoutingInfo!A157)</f>
        <v/>
      </c>
      <c r="B157" s="23" t="str">
        <f>IF(ISBLANK([1]PitScoutingInfo!B157),"",[1]PitScoutingInfo!B157)</f>
        <v/>
      </c>
      <c r="C157" s="23" t="str">
        <f>IF(ISBLANK([1]PitScoutingInfo!J157),"",[1]PitScoutingInfo!J157)</f>
        <v/>
      </c>
      <c r="D157" s="23" t="str">
        <f>IF(ISBLANK([1]PitScoutingInfo!M157),"",[1]PitScoutingInfo!M157)</f>
        <v/>
      </c>
      <c r="E157" s="23" t="str">
        <f>IF(ISBLANK([1]PitScoutingInfo!N157),"",[1]PitScoutingInfo!N157)</f>
        <v/>
      </c>
      <c r="F157" s="23" t="str">
        <f>IF(ISBLANK([1]PitScoutingInfo!V157),"",[1]PitScoutingInfo!V157)</f>
        <v/>
      </c>
      <c r="G157" s="23" t="str">
        <f>IF(ISBLANK([1]PitScoutingInfo!W157),"",[1]PitScoutingInfo!W157)</f>
        <v/>
      </c>
      <c r="H157" s="23" t="str">
        <f>IF(ISBLANK([1]PitScoutingInfo!Z157),"",[1]PitScoutingInfo!Z157)</f>
        <v/>
      </c>
    </row>
    <row r="158" spans="1:8" x14ac:dyDescent="0.45">
      <c r="A158" s="23" t="str">
        <f>IF(ISBLANK([1]PitScoutingInfo!A158),"",[1]PitScoutingInfo!A158)</f>
        <v/>
      </c>
      <c r="B158" s="23" t="str">
        <f>IF(ISBLANK([1]PitScoutingInfo!B158),"",[1]PitScoutingInfo!B158)</f>
        <v/>
      </c>
      <c r="C158" s="23" t="str">
        <f>IF(ISBLANK([1]PitScoutingInfo!J158),"",[1]PitScoutingInfo!J158)</f>
        <v/>
      </c>
      <c r="D158" s="23" t="str">
        <f>IF(ISBLANK([1]PitScoutingInfo!M158),"",[1]PitScoutingInfo!M158)</f>
        <v/>
      </c>
      <c r="E158" s="23" t="str">
        <f>IF(ISBLANK([1]PitScoutingInfo!N158),"",[1]PitScoutingInfo!N158)</f>
        <v/>
      </c>
      <c r="F158" s="23" t="str">
        <f>IF(ISBLANK([1]PitScoutingInfo!V158),"",[1]PitScoutingInfo!V158)</f>
        <v/>
      </c>
      <c r="G158" s="23" t="str">
        <f>IF(ISBLANK([1]PitScoutingInfo!W158),"",[1]PitScoutingInfo!W158)</f>
        <v/>
      </c>
      <c r="H158" s="23" t="str">
        <f>IF(ISBLANK([1]PitScoutingInfo!Z158),"",[1]PitScoutingInfo!Z158)</f>
        <v/>
      </c>
    </row>
    <row r="159" spans="1:8" x14ac:dyDescent="0.45">
      <c r="A159" s="23" t="str">
        <f>IF(ISBLANK([1]PitScoutingInfo!A159),"",[1]PitScoutingInfo!A159)</f>
        <v/>
      </c>
      <c r="B159" s="23" t="str">
        <f>IF(ISBLANK([1]PitScoutingInfo!B159),"",[1]PitScoutingInfo!B159)</f>
        <v/>
      </c>
      <c r="C159" s="23" t="str">
        <f>IF(ISBLANK([1]PitScoutingInfo!J159),"",[1]PitScoutingInfo!J159)</f>
        <v/>
      </c>
      <c r="D159" s="23" t="str">
        <f>IF(ISBLANK([1]PitScoutingInfo!M159),"",[1]PitScoutingInfo!M159)</f>
        <v/>
      </c>
      <c r="E159" s="23" t="str">
        <f>IF(ISBLANK([1]PitScoutingInfo!N159),"",[1]PitScoutingInfo!N159)</f>
        <v/>
      </c>
      <c r="F159" s="23" t="str">
        <f>IF(ISBLANK([1]PitScoutingInfo!V159),"",[1]PitScoutingInfo!V159)</f>
        <v/>
      </c>
      <c r="G159" s="23" t="str">
        <f>IF(ISBLANK([1]PitScoutingInfo!W159),"",[1]PitScoutingInfo!W159)</f>
        <v/>
      </c>
      <c r="H159" s="23" t="str">
        <f>IF(ISBLANK([1]PitScoutingInfo!Z159),"",[1]PitScoutingInfo!Z159)</f>
        <v/>
      </c>
    </row>
    <row r="160" spans="1:8" x14ac:dyDescent="0.45">
      <c r="A160" s="23" t="str">
        <f>IF(ISBLANK([1]PitScoutingInfo!A160),"",[1]PitScoutingInfo!A160)</f>
        <v/>
      </c>
      <c r="B160" s="23" t="str">
        <f>IF(ISBLANK([1]PitScoutingInfo!B160),"",[1]PitScoutingInfo!B160)</f>
        <v/>
      </c>
      <c r="C160" s="23" t="str">
        <f>IF(ISBLANK([1]PitScoutingInfo!J160),"",[1]PitScoutingInfo!J160)</f>
        <v/>
      </c>
      <c r="D160" s="23" t="str">
        <f>IF(ISBLANK([1]PitScoutingInfo!M160),"",[1]PitScoutingInfo!M160)</f>
        <v/>
      </c>
      <c r="E160" s="23" t="str">
        <f>IF(ISBLANK([1]PitScoutingInfo!N160),"",[1]PitScoutingInfo!N160)</f>
        <v/>
      </c>
      <c r="F160" s="23" t="str">
        <f>IF(ISBLANK([1]PitScoutingInfo!V160),"",[1]PitScoutingInfo!V160)</f>
        <v/>
      </c>
      <c r="G160" s="23" t="str">
        <f>IF(ISBLANK([1]PitScoutingInfo!W160),"",[1]PitScoutingInfo!W160)</f>
        <v/>
      </c>
      <c r="H160" s="23" t="str">
        <f>IF(ISBLANK([1]PitScoutingInfo!Z160),"",[1]PitScoutingInfo!Z160)</f>
        <v/>
      </c>
    </row>
    <row r="161" spans="1:8" x14ac:dyDescent="0.45">
      <c r="A161" s="23" t="str">
        <f>IF(ISBLANK([1]PitScoutingInfo!A161),"",[1]PitScoutingInfo!A161)</f>
        <v/>
      </c>
      <c r="B161" s="23" t="str">
        <f>IF(ISBLANK([1]PitScoutingInfo!B161),"",[1]PitScoutingInfo!B161)</f>
        <v/>
      </c>
      <c r="C161" s="23" t="str">
        <f>IF(ISBLANK([1]PitScoutingInfo!J161),"",[1]PitScoutingInfo!J161)</f>
        <v/>
      </c>
      <c r="D161" s="23" t="str">
        <f>IF(ISBLANK([1]PitScoutingInfo!M161),"",[1]PitScoutingInfo!M161)</f>
        <v/>
      </c>
      <c r="E161" s="23" t="str">
        <f>IF(ISBLANK([1]PitScoutingInfo!N161),"",[1]PitScoutingInfo!N161)</f>
        <v/>
      </c>
      <c r="F161" s="23" t="str">
        <f>IF(ISBLANK([1]PitScoutingInfo!V161),"",[1]PitScoutingInfo!V161)</f>
        <v/>
      </c>
      <c r="G161" s="23" t="str">
        <f>IF(ISBLANK([1]PitScoutingInfo!W161),"",[1]PitScoutingInfo!W161)</f>
        <v/>
      </c>
      <c r="H161" s="23" t="str">
        <f>IF(ISBLANK([1]PitScoutingInfo!Z161),"",[1]PitScoutingInfo!Z161)</f>
        <v/>
      </c>
    </row>
    <row r="162" spans="1:8" x14ac:dyDescent="0.45">
      <c r="A162" s="23" t="str">
        <f>IF(ISBLANK([1]PitScoutingInfo!A162),"",[1]PitScoutingInfo!A162)</f>
        <v/>
      </c>
      <c r="B162" s="23" t="str">
        <f>IF(ISBLANK([1]PitScoutingInfo!B162),"",[1]PitScoutingInfo!B162)</f>
        <v/>
      </c>
      <c r="C162" s="23" t="str">
        <f>IF(ISBLANK([1]PitScoutingInfo!J162),"",[1]PitScoutingInfo!J162)</f>
        <v/>
      </c>
      <c r="D162" s="23" t="str">
        <f>IF(ISBLANK([1]PitScoutingInfo!M162),"",[1]PitScoutingInfo!M162)</f>
        <v/>
      </c>
      <c r="E162" s="23" t="str">
        <f>IF(ISBLANK([1]PitScoutingInfo!N162),"",[1]PitScoutingInfo!N162)</f>
        <v/>
      </c>
      <c r="F162" s="23" t="str">
        <f>IF(ISBLANK([1]PitScoutingInfo!V162),"",[1]PitScoutingInfo!V162)</f>
        <v/>
      </c>
      <c r="G162" s="23" t="str">
        <f>IF(ISBLANK([1]PitScoutingInfo!W162),"",[1]PitScoutingInfo!W162)</f>
        <v/>
      </c>
      <c r="H162" s="23" t="str">
        <f>IF(ISBLANK([1]PitScoutingInfo!Z162),"",[1]PitScoutingInfo!Z162)</f>
        <v/>
      </c>
    </row>
    <row r="163" spans="1:8" x14ac:dyDescent="0.45">
      <c r="A163" s="23" t="str">
        <f>IF(ISBLANK([1]PitScoutingInfo!A163),"",[1]PitScoutingInfo!A163)</f>
        <v/>
      </c>
      <c r="B163" s="23" t="str">
        <f>IF(ISBLANK([1]PitScoutingInfo!B163),"",[1]PitScoutingInfo!B163)</f>
        <v/>
      </c>
      <c r="C163" s="23" t="str">
        <f>IF(ISBLANK([1]PitScoutingInfo!J163),"",[1]PitScoutingInfo!J163)</f>
        <v/>
      </c>
      <c r="D163" s="23" t="str">
        <f>IF(ISBLANK([1]PitScoutingInfo!M163),"",[1]PitScoutingInfo!M163)</f>
        <v/>
      </c>
      <c r="E163" s="23" t="str">
        <f>IF(ISBLANK([1]PitScoutingInfo!N163),"",[1]PitScoutingInfo!N163)</f>
        <v/>
      </c>
      <c r="F163" s="23" t="str">
        <f>IF(ISBLANK([1]PitScoutingInfo!V163),"",[1]PitScoutingInfo!V163)</f>
        <v/>
      </c>
      <c r="G163" s="23" t="str">
        <f>IF(ISBLANK([1]PitScoutingInfo!W163),"",[1]PitScoutingInfo!W163)</f>
        <v/>
      </c>
      <c r="H163" s="23" t="str">
        <f>IF(ISBLANK([1]PitScoutingInfo!Z163),"",[1]PitScoutingInfo!Z163)</f>
        <v/>
      </c>
    </row>
    <row r="164" spans="1:8" x14ac:dyDescent="0.45">
      <c r="A164" s="23" t="str">
        <f>IF(ISBLANK([1]PitScoutingInfo!A164),"",[1]PitScoutingInfo!A164)</f>
        <v/>
      </c>
      <c r="B164" s="23" t="str">
        <f>IF(ISBLANK([1]PitScoutingInfo!B164),"",[1]PitScoutingInfo!B164)</f>
        <v/>
      </c>
      <c r="C164" s="23" t="str">
        <f>IF(ISBLANK([1]PitScoutingInfo!J164),"",[1]PitScoutingInfo!J164)</f>
        <v/>
      </c>
      <c r="D164" s="23" t="str">
        <f>IF(ISBLANK([1]PitScoutingInfo!M164),"",[1]PitScoutingInfo!M164)</f>
        <v/>
      </c>
      <c r="E164" s="23" t="str">
        <f>IF(ISBLANK([1]PitScoutingInfo!N164),"",[1]PitScoutingInfo!N164)</f>
        <v/>
      </c>
      <c r="F164" s="23" t="str">
        <f>IF(ISBLANK([1]PitScoutingInfo!V164),"",[1]PitScoutingInfo!V164)</f>
        <v/>
      </c>
      <c r="G164" s="23" t="str">
        <f>IF(ISBLANK([1]PitScoutingInfo!W164),"",[1]PitScoutingInfo!W164)</f>
        <v/>
      </c>
      <c r="H164" s="23" t="str">
        <f>IF(ISBLANK([1]PitScoutingInfo!Z164),"",[1]PitScoutingInfo!Z164)</f>
        <v/>
      </c>
    </row>
    <row r="165" spans="1:8" x14ac:dyDescent="0.45">
      <c r="A165" s="23" t="str">
        <f>IF(ISBLANK([1]PitScoutingInfo!A165),"",[1]PitScoutingInfo!A165)</f>
        <v/>
      </c>
      <c r="B165" s="23" t="str">
        <f>IF(ISBLANK([1]PitScoutingInfo!B165),"",[1]PitScoutingInfo!B165)</f>
        <v/>
      </c>
      <c r="C165" s="23" t="str">
        <f>IF(ISBLANK([1]PitScoutingInfo!J165),"",[1]PitScoutingInfo!J165)</f>
        <v/>
      </c>
      <c r="D165" s="23" t="str">
        <f>IF(ISBLANK([1]PitScoutingInfo!M165),"",[1]PitScoutingInfo!M165)</f>
        <v/>
      </c>
      <c r="E165" s="23" t="str">
        <f>IF(ISBLANK([1]PitScoutingInfo!N165),"",[1]PitScoutingInfo!N165)</f>
        <v/>
      </c>
      <c r="F165" s="23" t="str">
        <f>IF(ISBLANK([1]PitScoutingInfo!V165),"",[1]PitScoutingInfo!V165)</f>
        <v/>
      </c>
      <c r="G165" s="23" t="str">
        <f>IF(ISBLANK([1]PitScoutingInfo!W165),"",[1]PitScoutingInfo!W165)</f>
        <v/>
      </c>
      <c r="H165" s="23" t="str">
        <f>IF(ISBLANK([1]PitScoutingInfo!Z165),"",[1]PitScoutingInfo!Z165)</f>
        <v/>
      </c>
    </row>
    <row r="166" spans="1:8" x14ac:dyDescent="0.45">
      <c r="A166" s="23" t="str">
        <f>IF(ISBLANK([1]PitScoutingInfo!A166),"",[1]PitScoutingInfo!A166)</f>
        <v/>
      </c>
      <c r="B166" s="23" t="str">
        <f>IF(ISBLANK([1]PitScoutingInfo!B166),"",[1]PitScoutingInfo!B166)</f>
        <v/>
      </c>
      <c r="C166" s="23" t="str">
        <f>IF(ISBLANK([1]PitScoutingInfo!J166),"",[1]PitScoutingInfo!J166)</f>
        <v/>
      </c>
      <c r="D166" s="23" t="str">
        <f>IF(ISBLANK([1]PitScoutingInfo!M166),"",[1]PitScoutingInfo!M166)</f>
        <v/>
      </c>
      <c r="E166" s="23" t="str">
        <f>IF(ISBLANK([1]PitScoutingInfo!N166),"",[1]PitScoutingInfo!N166)</f>
        <v/>
      </c>
      <c r="F166" s="23" t="str">
        <f>IF(ISBLANK([1]PitScoutingInfo!V166),"",[1]PitScoutingInfo!V166)</f>
        <v/>
      </c>
      <c r="G166" s="23" t="str">
        <f>IF(ISBLANK([1]PitScoutingInfo!W166),"",[1]PitScoutingInfo!W166)</f>
        <v/>
      </c>
      <c r="H166" s="23" t="str">
        <f>IF(ISBLANK([1]PitScoutingInfo!Z166),"",[1]PitScoutingInfo!Z166)</f>
        <v/>
      </c>
    </row>
    <row r="167" spans="1:8" x14ac:dyDescent="0.45">
      <c r="A167" s="23" t="str">
        <f>IF(ISBLANK([1]PitScoutingInfo!A167),"",[1]PitScoutingInfo!A167)</f>
        <v/>
      </c>
      <c r="B167" s="23" t="str">
        <f>IF(ISBLANK([1]PitScoutingInfo!B167),"",[1]PitScoutingInfo!B167)</f>
        <v/>
      </c>
      <c r="C167" s="23" t="str">
        <f>IF(ISBLANK([1]PitScoutingInfo!J167),"",[1]PitScoutingInfo!J167)</f>
        <v/>
      </c>
      <c r="D167" s="23" t="str">
        <f>IF(ISBLANK([1]PitScoutingInfo!M167),"",[1]PitScoutingInfo!M167)</f>
        <v/>
      </c>
      <c r="E167" s="23" t="str">
        <f>IF(ISBLANK([1]PitScoutingInfo!N167),"",[1]PitScoutingInfo!N167)</f>
        <v/>
      </c>
      <c r="F167" s="23" t="str">
        <f>IF(ISBLANK([1]PitScoutingInfo!V167),"",[1]PitScoutingInfo!V167)</f>
        <v/>
      </c>
      <c r="G167" s="23" t="str">
        <f>IF(ISBLANK([1]PitScoutingInfo!W167),"",[1]PitScoutingInfo!W167)</f>
        <v/>
      </c>
      <c r="H167" s="23" t="str">
        <f>IF(ISBLANK([1]PitScoutingInfo!Z167),"",[1]PitScoutingInfo!Z167)</f>
        <v/>
      </c>
    </row>
    <row r="168" spans="1:8" x14ac:dyDescent="0.45">
      <c r="A168" s="23" t="str">
        <f>IF(ISBLANK([1]PitScoutingInfo!A168),"",[1]PitScoutingInfo!A168)</f>
        <v/>
      </c>
      <c r="B168" s="23" t="str">
        <f>IF(ISBLANK([1]PitScoutingInfo!B168),"",[1]PitScoutingInfo!B168)</f>
        <v/>
      </c>
      <c r="C168" s="23" t="str">
        <f>IF(ISBLANK([1]PitScoutingInfo!J168),"",[1]PitScoutingInfo!J168)</f>
        <v/>
      </c>
      <c r="D168" s="23" t="str">
        <f>IF(ISBLANK([1]PitScoutingInfo!M168),"",[1]PitScoutingInfo!M168)</f>
        <v/>
      </c>
      <c r="E168" s="23" t="str">
        <f>IF(ISBLANK([1]PitScoutingInfo!N168),"",[1]PitScoutingInfo!N168)</f>
        <v/>
      </c>
      <c r="F168" s="23" t="str">
        <f>IF(ISBLANK([1]PitScoutingInfo!V168),"",[1]PitScoutingInfo!V168)</f>
        <v/>
      </c>
      <c r="G168" s="23" t="str">
        <f>IF(ISBLANK([1]PitScoutingInfo!W168),"",[1]PitScoutingInfo!W168)</f>
        <v/>
      </c>
      <c r="H168" s="23" t="str">
        <f>IF(ISBLANK([1]PitScoutingInfo!Z168),"",[1]PitScoutingInfo!Z168)</f>
        <v/>
      </c>
    </row>
    <row r="169" spans="1:8" x14ac:dyDescent="0.45">
      <c r="A169" s="23" t="str">
        <f>IF(ISBLANK([1]PitScoutingInfo!A169),"",[1]PitScoutingInfo!A169)</f>
        <v/>
      </c>
      <c r="B169" s="23" t="str">
        <f>IF(ISBLANK([1]PitScoutingInfo!B169),"",[1]PitScoutingInfo!B169)</f>
        <v/>
      </c>
      <c r="C169" s="23" t="str">
        <f>IF(ISBLANK([1]PitScoutingInfo!J169),"",[1]PitScoutingInfo!J169)</f>
        <v/>
      </c>
      <c r="D169" s="23" t="str">
        <f>IF(ISBLANK([1]PitScoutingInfo!M169),"",[1]PitScoutingInfo!M169)</f>
        <v/>
      </c>
      <c r="E169" s="23" t="str">
        <f>IF(ISBLANK([1]PitScoutingInfo!N169),"",[1]PitScoutingInfo!N169)</f>
        <v/>
      </c>
      <c r="F169" s="23" t="str">
        <f>IF(ISBLANK([1]PitScoutingInfo!V169),"",[1]PitScoutingInfo!V169)</f>
        <v/>
      </c>
      <c r="G169" s="23" t="str">
        <f>IF(ISBLANK([1]PitScoutingInfo!W169),"",[1]PitScoutingInfo!W169)</f>
        <v/>
      </c>
      <c r="H169" s="23" t="str">
        <f>IF(ISBLANK([1]PitScoutingInfo!Z169),"",[1]PitScoutingInfo!Z169)</f>
        <v/>
      </c>
    </row>
    <row r="170" spans="1:8" x14ac:dyDescent="0.45">
      <c r="A170" s="23" t="str">
        <f>IF(ISBLANK([1]PitScoutingInfo!A170),"",[1]PitScoutingInfo!A170)</f>
        <v/>
      </c>
      <c r="B170" s="23" t="str">
        <f>IF(ISBLANK([1]PitScoutingInfo!B170),"",[1]PitScoutingInfo!B170)</f>
        <v/>
      </c>
      <c r="C170" s="23" t="str">
        <f>IF(ISBLANK([1]PitScoutingInfo!J170),"",[1]PitScoutingInfo!J170)</f>
        <v/>
      </c>
      <c r="D170" s="23" t="str">
        <f>IF(ISBLANK([1]PitScoutingInfo!M170),"",[1]PitScoutingInfo!M170)</f>
        <v/>
      </c>
      <c r="E170" s="23" t="str">
        <f>IF(ISBLANK([1]PitScoutingInfo!N170),"",[1]PitScoutingInfo!N170)</f>
        <v/>
      </c>
      <c r="F170" s="23" t="str">
        <f>IF(ISBLANK([1]PitScoutingInfo!V170),"",[1]PitScoutingInfo!V170)</f>
        <v/>
      </c>
      <c r="G170" s="23" t="str">
        <f>IF(ISBLANK([1]PitScoutingInfo!W170),"",[1]PitScoutingInfo!W170)</f>
        <v/>
      </c>
      <c r="H170" s="23" t="str">
        <f>IF(ISBLANK([1]PitScoutingInfo!Z170),"",[1]PitScoutingInfo!Z170)</f>
        <v/>
      </c>
    </row>
    <row r="171" spans="1:8" x14ac:dyDescent="0.45">
      <c r="A171" s="23" t="str">
        <f>IF(ISBLANK([1]PitScoutingInfo!A171),"",[1]PitScoutingInfo!A171)</f>
        <v/>
      </c>
      <c r="B171" s="23" t="str">
        <f>IF(ISBLANK([1]PitScoutingInfo!B171),"",[1]PitScoutingInfo!B171)</f>
        <v/>
      </c>
      <c r="C171" s="23" t="str">
        <f>IF(ISBLANK([1]PitScoutingInfo!J171),"",[1]PitScoutingInfo!J171)</f>
        <v/>
      </c>
      <c r="D171" s="23" t="str">
        <f>IF(ISBLANK([1]PitScoutingInfo!M171),"",[1]PitScoutingInfo!M171)</f>
        <v/>
      </c>
      <c r="E171" s="23" t="str">
        <f>IF(ISBLANK([1]PitScoutingInfo!N171),"",[1]PitScoutingInfo!N171)</f>
        <v/>
      </c>
      <c r="F171" s="23" t="str">
        <f>IF(ISBLANK([1]PitScoutingInfo!V171),"",[1]PitScoutingInfo!V171)</f>
        <v/>
      </c>
      <c r="G171" s="23" t="str">
        <f>IF(ISBLANK([1]PitScoutingInfo!W171),"",[1]PitScoutingInfo!W171)</f>
        <v/>
      </c>
      <c r="H171" s="23" t="str">
        <f>IF(ISBLANK([1]PitScoutingInfo!Z171),"",[1]PitScoutingInfo!Z171)</f>
        <v/>
      </c>
    </row>
    <row r="172" spans="1:8" x14ac:dyDescent="0.45">
      <c r="A172" s="23" t="str">
        <f>IF(ISBLANK([1]PitScoutingInfo!A172),"",[1]PitScoutingInfo!A172)</f>
        <v/>
      </c>
      <c r="B172" s="23" t="str">
        <f>IF(ISBLANK([1]PitScoutingInfo!B172),"",[1]PitScoutingInfo!B172)</f>
        <v/>
      </c>
      <c r="C172" s="23" t="str">
        <f>IF(ISBLANK([1]PitScoutingInfo!J172),"",[1]PitScoutingInfo!J172)</f>
        <v/>
      </c>
      <c r="D172" s="23" t="str">
        <f>IF(ISBLANK([1]PitScoutingInfo!M172),"",[1]PitScoutingInfo!M172)</f>
        <v/>
      </c>
      <c r="E172" s="23" t="str">
        <f>IF(ISBLANK([1]PitScoutingInfo!N172),"",[1]PitScoutingInfo!N172)</f>
        <v/>
      </c>
      <c r="F172" s="23" t="str">
        <f>IF(ISBLANK([1]PitScoutingInfo!V172),"",[1]PitScoutingInfo!V172)</f>
        <v/>
      </c>
      <c r="G172" s="23" t="str">
        <f>IF(ISBLANK([1]PitScoutingInfo!W172),"",[1]PitScoutingInfo!W172)</f>
        <v/>
      </c>
      <c r="H172" s="23" t="str">
        <f>IF(ISBLANK([1]PitScoutingInfo!Z172),"",[1]PitScoutingInfo!Z172)</f>
        <v/>
      </c>
    </row>
    <row r="173" spans="1:8" x14ac:dyDescent="0.45">
      <c r="A173" s="23" t="str">
        <f>IF(ISBLANK([1]PitScoutingInfo!A173),"",[1]PitScoutingInfo!A173)</f>
        <v/>
      </c>
      <c r="B173" s="23" t="str">
        <f>IF(ISBLANK([1]PitScoutingInfo!B173),"",[1]PitScoutingInfo!B173)</f>
        <v/>
      </c>
      <c r="C173" s="23" t="str">
        <f>IF(ISBLANK([1]PitScoutingInfo!J173),"",[1]PitScoutingInfo!J173)</f>
        <v/>
      </c>
      <c r="D173" s="23" t="str">
        <f>IF(ISBLANK([1]PitScoutingInfo!M173),"",[1]PitScoutingInfo!M173)</f>
        <v/>
      </c>
      <c r="E173" s="23" t="str">
        <f>IF(ISBLANK([1]PitScoutingInfo!N173),"",[1]PitScoutingInfo!N173)</f>
        <v/>
      </c>
      <c r="F173" s="23" t="str">
        <f>IF(ISBLANK([1]PitScoutingInfo!V173),"",[1]PitScoutingInfo!V173)</f>
        <v/>
      </c>
      <c r="G173" s="23" t="str">
        <f>IF(ISBLANK([1]PitScoutingInfo!W173),"",[1]PitScoutingInfo!W173)</f>
        <v/>
      </c>
      <c r="H173" s="23" t="str">
        <f>IF(ISBLANK([1]PitScoutingInfo!Z173),"",[1]PitScoutingInfo!Z173)</f>
        <v/>
      </c>
    </row>
    <row r="174" spans="1:8" x14ac:dyDescent="0.45">
      <c r="A174" s="23" t="str">
        <f>IF(ISBLANK([1]PitScoutingInfo!A174),"",[1]PitScoutingInfo!A174)</f>
        <v/>
      </c>
      <c r="B174" s="23" t="str">
        <f>IF(ISBLANK([1]PitScoutingInfo!B174),"",[1]PitScoutingInfo!B174)</f>
        <v/>
      </c>
      <c r="C174" s="23" t="str">
        <f>IF(ISBLANK([1]PitScoutingInfo!J174),"",[1]PitScoutingInfo!J174)</f>
        <v/>
      </c>
      <c r="D174" s="23" t="str">
        <f>IF(ISBLANK([1]PitScoutingInfo!M174),"",[1]PitScoutingInfo!M174)</f>
        <v/>
      </c>
      <c r="E174" s="23" t="str">
        <f>IF(ISBLANK([1]PitScoutingInfo!N174),"",[1]PitScoutingInfo!N174)</f>
        <v/>
      </c>
      <c r="F174" s="23" t="str">
        <f>IF(ISBLANK([1]PitScoutingInfo!V174),"",[1]PitScoutingInfo!V174)</f>
        <v/>
      </c>
      <c r="G174" s="23" t="str">
        <f>IF(ISBLANK([1]PitScoutingInfo!W174),"",[1]PitScoutingInfo!W174)</f>
        <v/>
      </c>
      <c r="H174" s="23" t="str">
        <f>IF(ISBLANK([1]PitScoutingInfo!Z174),"",[1]PitScoutingInfo!Z174)</f>
        <v/>
      </c>
    </row>
    <row r="175" spans="1:8" x14ac:dyDescent="0.45">
      <c r="A175" s="23" t="str">
        <f>IF(ISBLANK([1]PitScoutingInfo!A175),"",[1]PitScoutingInfo!A175)</f>
        <v/>
      </c>
      <c r="B175" s="23" t="str">
        <f>IF(ISBLANK([1]PitScoutingInfo!B175),"",[1]PitScoutingInfo!B175)</f>
        <v/>
      </c>
      <c r="C175" s="23" t="str">
        <f>IF(ISBLANK([1]PitScoutingInfo!J175),"",[1]PitScoutingInfo!J175)</f>
        <v/>
      </c>
      <c r="D175" s="23" t="str">
        <f>IF(ISBLANK([1]PitScoutingInfo!M175),"",[1]PitScoutingInfo!M175)</f>
        <v/>
      </c>
      <c r="E175" s="23" t="str">
        <f>IF(ISBLANK([1]PitScoutingInfo!N175),"",[1]PitScoutingInfo!N175)</f>
        <v/>
      </c>
      <c r="F175" s="23" t="str">
        <f>IF(ISBLANK([1]PitScoutingInfo!V175),"",[1]PitScoutingInfo!V175)</f>
        <v/>
      </c>
      <c r="G175" s="23" t="str">
        <f>IF(ISBLANK([1]PitScoutingInfo!W175),"",[1]PitScoutingInfo!W175)</f>
        <v/>
      </c>
      <c r="H175" s="23" t="str">
        <f>IF(ISBLANK([1]PitScoutingInfo!Z175),"",[1]PitScoutingInfo!Z175)</f>
        <v/>
      </c>
    </row>
    <row r="176" spans="1:8" x14ac:dyDescent="0.45">
      <c r="A176" s="23" t="str">
        <f>IF(ISBLANK([1]PitScoutingInfo!A176),"",[1]PitScoutingInfo!A176)</f>
        <v/>
      </c>
      <c r="B176" s="23" t="str">
        <f>IF(ISBLANK([1]PitScoutingInfo!B176),"",[1]PitScoutingInfo!B176)</f>
        <v/>
      </c>
      <c r="C176" s="23" t="str">
        <f>IF(ISBLANK([1]PitScoutingInfo!J176),"",[1]PitScoutingInfo!J176)</f>
        <v/>
      </c>
      <c r="D176" s="23" t="str">
        <f>IF(ISBLANK([1]PitScoutingInfo!M176),"",[1]PitScoutingInfo!M176)</f>
        <v/>
      </c>
      <c r="E176" s="23" t="str">
        <f>IF(ISBLANK([1]PitScoutingInfo!N176),"",[1]PitScoutingInfo!N176)</f>
        <v/>
      </c>
      <c r="F176" s="23" t="str">
        <f>IF(ISBLANK([1]PitScoutingInfo!V176),"",[1]PitScoutingInfo!V176)</f>
        <v/>
      </c>
      <c r="G176" s="23" t="str">
        <f>IF(ISBLANK([1]PitScoutingInfo!W176),"",[1]PitScoutingInfo!W176)</f>
        <v/>
      </c>
      <c r="H176" s="23" t="str">
        <f>IF(ISBLANK([1]PitScoutingInfo!Z176),"",[1]PitScoutingInfo!Z176)</f>
        <v/>
      </c>
    </row>
    <row r="177" spans="1:8" x14ac:dyDescent="0.45">
      <c r="A177" s="23" t="str">
        <f>IF(ISBLANK([1]PitScoutingInfo!A177),"",[1]PitScoutingInfo!A177)</f>
        <v/>
      </c>
      <c r="B177" s="23" t="str">
        <f>IF(ISBLANK([1]PitScoutingInfo!B177),"",[1]PitScoutingInfo!B177)</f>
        <v/>
      </c>
      <c r="C177" s="23" t="str">
        <f>IF(ISBLANK([1]PitScoutingInfo!J177),"",[1]PitScoutingInfo!J177)</f>
        <v/>
      </c>
      <c r="D177" s="23" t="str">
        <f>IF(ISBLANK([1]PitScoutingInfo!M177),"",[1]PitScoutingInfo!M177)</f>
        <v/>
      </c>
      <c r="E177" s="23" t="str">
        <f>IF(ISBLANK([1]PitScoutingInfo!N177),"",[1]PitScoutingInfo!N177)</f>
        <v/>
      </c>
      <c r="F177" s="23" t="str">
        <f>IF(ISBLANK([1]PitScoutingInfo!V177),"",[1]PitScoutingInfo!V177)</f>
        <v/>
      </c>
      <c r="G177" s="23" t="str">
        <f>IF(ISBLANK([1]PitScoutingInfo!W177),"",[1]PitScoutingInfo!W177)</f>
        <v/>
      </c>
      <c r="H177" s="23" t="str">
        <f>IF(ISBLANK([1]PitScoutingInfo!Z177),"",[1]PitScoutingInfo!Z177)</f>
        <v/>
      </c>
    </row>
    <row r="178" spans="1:8" x14ac:dyDescent="0.45">
      <c r="A178" s="23" t="str">
        <f>IF(ISBLANK([1]PitScoutingInfo!A178),"",[1]PitScoutingInfo!A178)</f>
        <v/>
      </c>
      <c r="B178" s="23" t="str">
        <f>IF(ISBLANK([1]PitScoutingInfo!B178),"",[1]PitScoutingInfo!B178)</f>
        <v/>
      </c>
      <c r="C178" s="23" t="str">
        <f>IF(ISBLANK([1]PitScoutingInfo!J178),"",[1]PitScoutingInfo!J178)</f>
        <v/>
      </c>
      <c r="D178" s="23" t="str">
        <f>IF(ISBLANK([1]PitScoutingInfo!M178),"",[1]PitScoutingInfo!M178)</f>
        <v/>
      </c>
      <c r="E178" s="23" t="str">
        <f>IF(ISBLANK([1]PitScoutingInfo!N178),"",[1]PitScoutingInfo!N178)</f>
        <v/>
      </c>
      <c r="F178" s="23" t="str">
        <f>IF(ISBLANK([1]PitScoutingInfo!V178),"",[1]PitScoutingInfo!V178)</f>
        <v/>
      </c>
      <c r="G178" s="23" t="str">
        <f>IF(ISBLANK([1]PitScoutingInfo!W178),"",[1]PitScoutingInfo!W178)</f>
        <v/>
      </c>
      <c r="H178" s="23" t="str">
        <f>IF(ISBLANK([1]PitScoutingInfo!Z178),"",[1]PitScoutingInfo!Z178)</f>
        <v/>
      </c>
    </row>
    <row r="179" spans="1:8" x14ac:dyDescent="0.45">
      <c r="A179" s="23" t="str">
        <f>IF(ISBLANK([1]PitScoutingInfo!A179),"",[1]PitScoutingInfo!A179)</f>
        <v/>
      </c>
      <c r="B179" s="23" t="str">
        <f>IF(ISBLANK([1]PitScoutingInfo!B179),"",[1]PitScoutingInfo!B179)</f>
        <v/>
      </c>
      <c r="C179" s="23" t="str">
        <f>IF(ISBLANK([1]PitScoutingInfo!J179),"",[1]PitScoutingInfo!J179)</f>
        <v/>
      </c>
      <c r="D179" s="23" t="str">
        <f>IF(ISBLANK([1]PitScoutingInfo!M179),"",[1]PitScoutingInfo!M179)</f>
        <v/>
      </c>
      <c r="E179" s="23" t="str">
        <f>IF(ISBLANK([1]PitScoutingInfo!N179),"",[1]PitScoutingInfo!N179)</f>
        <v/>
      </c>
      <c r="F179" s="23" t="str">
        <f>IF(ISBLANK([1]PitScoutingInfo!V179),"",[1]PitScoutingInfo!V179)</f>
        <v/>
      </c>
      <c r="G179" s="23" t="str">
        <f>IF(ISBLANK([1]PitScoutingInfo!W179),"",[1]PitScoutingInfo!W179)</f>
        <v/>
      </c>
      <c r="H179" s="23" t="str">
        <f>IF(ISBLANK([1]PitScoutingInfo!Z179),"",[1]PitScoutingInfo!Z179)</f>
        <v/>
      </c>
    </row>
    <row r="180" spans="1:8" x14ac:dyDescent="0.45">
      <c r="A180" s="23" t="str">
        <f>IF(ISBLANK([1]PitScoutingInfo!A180),"",[1]PitScoutingInfo!A180)</f>
        <v/>
      </c>
      <c r="B180" s="23" t="str">
        <f>IF(ISBLANK([1]PitScoutingInfo!B180),"",[1]PitScoutingInfo!B180)</f>
        <v/>
      </c>
      <c r="C180" s="23" t="str">
        <f>IF(ISBLANK([1]PitScoutingInfo!J180),"",[1]PitScoutingInfo!J180)</f>
        <v/>
      </c>
      <c r="D180" s="23" t="str">
        <f>IF(ISBLANK([1]PitScoutingInfo!M180),"",[1]PitScoutingInfo!M180)</f>
        <v/>
      </c>
      <c r="E180" s="23" t="str">
        <f>IF(ISBLANK([1]PitScoutingInfo!N180),"",[1]PitScoutingInfo!N180)</f>
        <v/>
      </c>
      <c r="F180" s="23" t="str">
        <f>IF(ISBLANK([1]PitScoutingInfo!V180),"",[1]PitScoutingInfo!V180)</f>
        <v/>
      </c>
      <c r="G180" s="23" t="str">
        <f>IF(ISBLANK([1]PitScoutingInfo!W180),"",[1]PitScoutingInfo!W180)</f>
        <v/>
      </c>
      <c r="H180" s="23" t="str">
        <f>IF(ISBLANK([1]PitScoutingInfo!Z180),"",[1]PitScoutingInfo!Z180)</f>
        <v/>
      </c>
    </row>
    <row r="181" spans="1:8" x14ac:dyDescent="0.45">
      <c r="A181" s="23" t="str">
        <f>IF(ISBLANK([1]PitScoutingInfo!A181),"",[1]PitScoutingInfo!A181)</f>
        <v/>
      </c>
      <c r="B181" s="23" t="str">
        <f>IF(ISBLANK([1]PitScoutingInfo!B181),"",[1]PitScoutingInfo!B181)</f>
        <v/>
      </c>
      <c r="C181" s="23" t="str">
        <f>IF(ISBLANK([1]PitScoutingInfo!J181),"",[1]PitScoutingInfo!J181)</f>
        <v/>
      </c>
      <c r="D181" s="23" t="str">
        <f>IF(ISBLANK([1]PitScoutingInfo!M181),"",[1]PitScoutingInfo!M181)</f>
        <v/>
      </c>
      <c r="E181" s="23" t="str">
        <f>IF(ISBLANK([1]PitScoutingInfo!N181),"",[1]PitScoutingInfo!N181)</f>
        <v/>
      </c>
      <c r="F181" s="23" t="str">
        <f>IF(ISBLANK([1]PitScoutingInfo!V181),"",[1]PitScoutingInfo!V181)</f>
        <v/>
      </c>
      <c r="G181" s="23" t="str">
        <f>IF(ISBLANK([1]PitScoutingInfo!W181),"",[1]PitScoutingInfo!W181)</f>
        <v/>
      </c>
      <c r="H181" s="23" t="str">
        <f>IF(ISBLANK([1]PitScoutingInfo!Z181),"",[1]PitScoutingInfo!Z181)</f>
        <v/>
      </c>
    </row>
    <row r="182" spans="1:8" x14ac:dyDescent="0.45">
      <c r="A182" s="23" t="str">
        <f>IF(ISBLANK([1]PitScoutingInfo!A182),"",[1]PitScoutingInfo!A182)</f>
        <v/>
      </c>
      <c r="B182" s="23" t="str">
        <f>IF(ISBLANK([1]PitScoutingInfo!B182),"",[1]PitScoutingInfo!B182)</f>
        <v/>
      </c>
      <c r="C182" s="23" t="str">
        <f>IF(ISBLANK([1]PitScoutingInfo!J182),"",[1]PitScoutingInfo!J182)</f>
        <v/>
      </c>
      <c r="D182" s="23" t="str">
        <f>IF(ISBLANK([1]PitScoutingInfo!M182),"",[1]PitScoutingInfo!M182)</f>
        <v/>
      </c>
      <c r="E182" s="23" t="str">
        <f>IF(ISBLANK([1]PitScoutingInfo!N182),"",[1]PitScoutingInfo!N182)</f>
        <v/>
      </c>
      <c r="F182" s="23" t="str">
        <f>IF(ISBLANK([1]PitScoutingInfo!V182),"",[1]PitScoutingInfo!V182)</f>
        <v/>
      </c>
      <c r="G182" s="23" t="str">
        <f>IF(ISBLANK([1]PitScoutingInfo!W182),"",[1]PitScoutingInfo!W182)</f>
        <v/>
      </c>
      <c r="H182" s="23" t="str">
        <f>IF(ISBLANK([1]PitScoutingInfo!Z182),"",[1]PitScoutingInfo!Z182)</f>
        <v/>
      </c>
    </row>
    <row r="183" spans="1:8" x14ac:dyDescent="0.45">
      <c r="A183" s="23" t="str">
        <f>IF(ISBLANK([1]PitScoutingInfo!A183),"",[1]PitScoutingInfo!A183)</f>
        <v/>
      </c>
      <c r="B183" s="23" t="str">
        <f>IF(ISBLANK([1]PitScoutingInfo!B183),"",[1]PitScoutingInfo!B183)</f>
        <v/>
      </c>
      <c r="C183" s="23" t="str">
        <f>IF(ISBLANK([1]PitScoutingInfo!J183),"",[1]PitScoutingInfo!J183)</f>
        <v/>
      </c>
      <c r="D183" s="23" t="str">
        <f>IF(ISBLANK([1]PitScoutingInfo!M183),"",[1]PitScoutingInfo!M183)</f>
        <v/>
      </c>
      <c r="E183" s="23" t="str">
        <f>IF(ISBLANK([1]PitScoutingInfo!N183),"",[1]PitScoutingInfo!N183)</f>
        <v/>
      </c>
      <c r="F183" s="23" t="str">
        <f>IF(ISBLANK([1]PitScoutingInfo!V183),"",[1]PitScoutingInfo!V183)</f>
        <v/>
      </c>
      <c r="G183" s="23" t="str">
        <f>IF(ISBLANK([1]PitScoutingInfo!W183),"",[1]PitScoutingInfo!W183)</f>
        <v/>
      </c>
      <c r="H183" s="23" t="str">
        <f>IF(ISBLANK([1]PitScoutingInfo!Z183),"",[1]PitScoutingInfo!Z183)</f>
        <v/>
      </c>
    </row>
    <row r="184" spans="1:8" x14ac:dyDescent="0.45">
      <c r="A184" s="23" t="str">
        <f>IF(ISBLANK([1]PitScoutingInfo!A184),"",[1]PitScoutingInfo!A184)</f>
        <v/>
      </c>
      <c r="B184" s="23" t="str">
        <f>IF(ISBLANK([1]PitScoutingInfo!B184),"",[1]PitScoutingInfo!B184)</f>
        <v/>
      </c>
      <c r="C184" s="23" t="str">
        <f>IF(ISBLANK([1]PitScoutingInfo!J184),"",[1]PitScoutingInfo!J184)</f>
        <v/>
      </c>
      <c r="D184" s="23" t="str">
        <f>IF(ISBLANK([1]PitScoutingInfo!M184),"",[1]PitScoutingInfo!M184)</f>
        <v/>
      </c>
      <c r="E184" s="23" t="str">
        <f>IF(ISBLANK([1]PitScoutingInfo!N184),"",[1]PitScoutingInfo!N184)</f>
        <v/>
      </c>
      <c r="F184" s="23" t="str">
        <f>IF(ISBLANK([1]PitScoutingInfo!V184),"",[1]PitScoutingInfo!V184)</f>
        <v/>
      </c>
      <c r="G184" s="23" t="str">
        <f>IF(ISBLANK([1]PitScoutingInfo!W184),"",[1]PitScoutingInfo!W184)</f>
        <v/>
      </c>
      <c r="H184" s="23" t="str">
        <f>IF(ISBLANK([1]PitScoutingInfo!Z184),"",[1]PitScoutingInfo!Z184)</f>
        <v/>
      </c>
    </row>
    <row r="185" spans="1:8" x14ac:dyDescent="0.45">
      <c r="A185" s="23" t="str">
        <f>IF(ISBLANK([1]PitScoutingInfo!A185),"",[1]PitScoutingInfo!A185)</f>
        <v/>
      </c>
      <c r="B185" s="23" t="str">
        <f>IF(ISBLANK([1]PitScoutingInfo!B185),"",[1]PitScoutingInfo!B185)</f>
        <v/>
      </c>
      <c r="C185" s="23" t="str">
        <f>IF(ISBLANK([1]PitScoutingInfo!J185),"",[1]PitScoutingInfo!J185)</f>
        <v/>
      </c>
      <c r="D185" s="23" t="str">
        <f>IF(ISBLANK([1]PitScoutingInfo!M185),"",[1]PitScoutingInfo!M185)</f>
        <v/>
      </c>
      <c r="E185" s="23" t="str">
        <f>IF(ISBLANK([1]PitScoutingInfo!N185),"",[1]PitScoutingInfo!N185)</f>
        <v/>
      </c>
      <c r="F185" s="23" t="str">
        <f>IF(ISBLANK([1]PitScoutingInfo!V185),"",[1]PitScoutingInfo!V185)</f>
        <v/>
      </c>
      <c r="G185" s="23" t="str">
        <f>IF(ISBLANK([1]PitScoutingInfo!W185),"",[1]PitScoutingInfo!W185)</f>
        <v/>
      </c>
      <c r="H185" s="23" t="str">
        <f>IF(ISBLANK([1]PitScoutingInfo!Z185),"",[1]PitScoutingInfo!Z185)</f>
        <v/>
      </c>
    </row>
    <row r="186" spans="1:8" x14ac:dyDescent="0.45">
      <c r="A186" s="23" t="str">
        <f>IF(ISBLANK([1]PitScoutingInfo!A186),"",[1]PitScoutingInfo!A186)</f>
        <v/>
      </c>
      <c r="B186" s="23" t="str">
        <f>IF(ISBLANK([1]PitScoutingInfo!B186),"",[1]PitScoutingInfo!B186)</f>
        <v/>
      </c>
      <c r="C186" s="23" t="str">
        <f>IF(ISBLANK([1]PitScoutingInfo!J186),"",[1]PitScoutingInfo!J186)</f>
        <v/>
      </c>
      <c r="D186" s="23" t="str">
        <f>IF(ISBLANK([1]PitScoutingInfo!M186),"",[1]PitScoutingInfo!M186)</f>
        <v/>
      </c>
      <c r="E186" s="23" t="str">
        <f>IF(ISBLANK([1]PitScoutingInfo!N186),"",[1]PitScoutingInfo!N186)</f>
        <v/>
      </c>
      <c r="F186" s="23" t="str">
        <f>IF(ISBLANK([1]PitScoutingInfo!V186),"",[1]PitScoutingInfo!V186)</f>
        <v/>
      </c>
      <c r="G186" s="23" t="str">
        <f>IF(ISBLANK([1]PitScoutingInfo!W186),"",[1]PitScoutingInfo!W186)</f>
        <v/>
      </c>
      <c r="H186" s="23" t="str">
        <f>IF(ISBLANK([1]PitScoutingInfo!Z186),"",[1]PitScoutingInfo!Z186)</f>
        <v/>
      </c>
    </row>
    <row r="187" spans="1:8" x14ac:dyDescent="0.45">
      <c r="A187" s="23" t="str">
        <f>IF(ISBLANK([1]PitScoutingInfo!A187),"",[1]PitScoutingInfo!A187)</f>
        <v/>
      </c>
      <c r="B187" s="23" t="str">
        <f>IF(ISBLANK([1]PitScoutingInfo!B187),"",[1]PitScoutingInfo!B187)</f>
        <v/>
      </c>
      <c r="C187" s="23" t="str">
        <f>IF(ISBLANK([1]PitScoutingInfo!J187),"",[1]PitScoutingInfo!J187)</f>
        <v/>
      </c>
      <c r="D187" s="23" t="str">
        <f>IF(ISBLANK([1]PitScoutingInfo!M187),"",[1]PitScoutingInfo!M187)</f>
        <v/>
      </c>
      <c r="E187" s="23" t="str">
        <f>IF(ISBLANK([1]PitScoutingInfo!N187),"",[1]PitScoutingInfo!N187)</f>
        <v/>
      </c>
      <c r="F187" s="23" t="str">
        <f>IF(ISBLANK([1]PitScoutingInfo!V187),"",[1]PitScoutingInfo!V187)</f>
        <v/>
      </c>
      <c r="G187" s="23" t="str">
        <f>IF(ISBLANK([1]PitScoutingInfo!W187),"",[1]PitScoutingInfo!W187)</f>
        <v/>
      </c>
      <c r="H187" s="23" t="str">
        <f>IF(ISBLANK([1]PitScoutingInfo!Z187),"",[1]PitScoutingInfo!Z187)</f>
        <v/>
      </c>
    </row>
    <row r="188" spans="1:8" x14ac:dyDescent="0.45">
      <c r="A188" s="23" t="str">
        <f>IF(ISBLANK([1]PitScoutingInfo!A188),"",[1]PitScoutingInfo!A188)</f>
        <v/>
      </c>
      <c r="B188" s="23" t="str">
        <f>IF(ISBLANK([1]PitScoutingInfo!B188),"",[1]PitScoutingInfo!B188)</f>
        <v/>
      </c>
      <c r="C188" s="23" t="str">
        <f>IF(ISBLANK([1]PitScoutingInfo!J188),"",[1]PitScoutingInfo!J188)</f>
        <v/>
      </c>
      <c r="D188" s="23" t="str">
        <f>IF(ISBLANK([1]PitScoutingInfo!M188),"",[1]PitScoutingInfo!M188)</f>
        <v/>
      </c>
      <c r="E188" s="23" t="str">
        <f>IF(ISBLANK([1]PitScoutingInfo!N188),"",[1]PitScoutingInfo!N188)</f>
        <v/>
      </c>
      <c r="F188" s="23" t="str">
        <f>IF(ISBLANK([1]PitScoutingInfo!V188),"",[1]PitScoutingInfo!V188)</f>
        <v/>
      </c>
      <c r="G188" s="23" t="str">
        <f>IF(ISBLANK([1]PitScoutingInfo!W188),"",[1]PitScoutingInfo!W188)</f>
        <v/>
      </c>
      <c r="H188" s="23" t="str">
        <f>IF(ISBLANK([1]PitScoutingInfo!Z188),"",[1]PitScoutingInfo!Z188)</f>
        <v/>
      </c>
    </row>
    <row r="189" spans="1:8" x14ac:dyDescent="0.45">
      <c r="A189" s="23" t="str">
        <f>IF(ISBLANK([1]PitScoutingInfo!A189),"",[1]PitScoutingInfo!A189)</f>
        <v/>
      </c>
      <c r="B189" s="23" t="str">
        <f>IF(ISBLANK([1]PitScoutingInfo!B189),"",[1]PitScoutingInfo!B189)</f>
        <v/>
      </c>
      <c r="C189" s="23" t="str">
        <f>IF(ISBLANK([1]PitScoutingInfo!J189),"",[1]PitScoutingInfo!J189)</f>
        <v/>
      </c>
      <c r="D189" s="23" t="str">
        <f>IF(ISBLANK([1]PitScoutingInfo!M189),"",[1]PitScoutingInfo!M189)</f>
        <v/>
      </c>
      <c r="E189" s="23" t="str">
        <f>IF(ISBLANK([1]PitScoutingInfo!N189),"",[1]PitScoutingInfo!N189)</f>
        <v/>
      </c>
      <c r="F189" s="23" t="str">
        <f>IF(ISBLANK([1]PitScoutingInfo!V189),"",[1]PitScoutingInfo!V189)</f>
        <v/>
      </c>
      <c r="G189" s="23" t="str">
        <f>IF(ISBLANK([1]PitScoutingInfo!W189),"",[1]PitScoutingInfo!W189)</f>
        <v/>
      </c>
      <c r="H189" s="23" t="str">
        <f>IF(ISBLANK([1]PitScoutingInfo!Z189),"",[1]PitScoutingInfo!Z189)</f>
        <v/>
      </c>
    </row>
    <row r="190" spans="1:8" x14ac:dyDescent="0.45">
      <c r="A190" s="23" t="str">
        <f>IF(ISBLANK([1]PitScoutingInfo!A190),"",[1]PitScoutingInfo!A190)</f>
        <v/>
      </c>
      <c r="B190" s="23" t="str">
        <f>IF(ISBLANK([1]PitScoutingInfo!B190),"",[1]PitScoutingInfo!B190)</f>
        <v/>
      </c>
      <c r="C190" s="23" t="str">
        <f>IF(ISBLANK([1]PitScoutingInfo!J190),"",[1]PitScoutingInfo!J190)</f>
        <v/>
      </c>
      <c r="D190" s="23" t="str">
        <f>IF(ISBLANK([1]PitScoutingInfo!M190),"",[1]PitScoutingInfo!M190)</f>
        <v/>
      </c>
      <c r="E190" s="23" t="str">
        <f>IF(ISBLANK([1]PitScoutingInfo!N190),"",[1]PitScoutingInfo!N190)</f>
        <v/>
      </c>
      <c r="F190" s="23" t="str">
        <f>IF(ISBLANK([1]PitScoutingInfo!V190),"",[1]PitScoutingInfo!V190)</f>
        <v/>
      </c>
      <c r="G190" s="23" t="str">
        <f>IF(ISBLANK([1]PitScoutingInfo!W190),"",[1]PitScoutingInfo!W190)</f>
        <v/>
      </c>
      <c r="H190" s="23" t="str">
        <f>IF(ISBLANK([1]PitScoutingInfo!Z190),"",[1]PitScoutingInfo!Z190)</f>
        <v/>
      </c>
    </row>
    <row r="191" spans="1:8" x14ac:dyDescent="0.45">
      <c r="A191" s="23" t="str">
        <f>IF(ISBLANK([1]PitScoutingInfo!A191),"",[1]PitScoutingInfo!A191)</f>
        <v/>
      </c>
      <c r="B191" s="23" t="str">
        <f>IF(ISBLANK([1]PitScoutingInfo!B191),"",[1]PitScoutingInfo!B191)</f>
        <v/>
      </c>
      <c r="C191" s="23" t="str">
        <f>IF(ISBLANK([1]PitScoutingInfo!J191),"",[1]PitScoutingInfo!J191)</f>
        <v/>
      </c>
      <c r="D191" s="23" t="str">
        <f>IF(ISBLANK([1]PitScoutingInfo!M191),"",[1]PitScoutingInfo!M191)</f>
        <v/>
      </c>
      <c r="E191" s="23" t="str">
        <f>IF(ISBLANK([1]PitScoutingInfo!N191),"",[1]PitScoutingInfo!N191)</f>
        <v/>
      </c>
      <c r="F191" s="23" t="str">
        <f>IF(ISBLANK([1]PitScoutingInfo!V191),"",[1]PitScoutingInfo!V191)</f>
        <v/>
      </c>
      <c r="G191" s="23" t="str">
        <f>IF(ISBLANK([1]PitScoutingInfo!W191),"",[1]PitScoutingInfo!W191)</f>
        <v/>
      </c>
      <c r="H191" s="23" t="str">
        <f>IF(ISBLANK([1]PitScoutingInfo!Z191),"",[1]PitScoutingInfo!Z191)</f>
        <v/>
      </c>
    </row>
    <row r="192" spans="1:8" x14ac:dyDescent="0.45">
      <c r="A192" s="23" t="str">
        <f>IF(ISBLANK([1]PitScoutingInfo!A192),"",[1]PitScoutingInfo!A192)</f>
        <v/>
      </c>
      <c r="B192" s="23" t="str">
        <f>IF(ISBLANK([1]PitScoutingInfo!B192),"",[1]PitScoutingInfo!B192)</f>
        <v/>
      </c>
      <c r="C192" s="23" t="str">
        <f>IF(ISBLANK([1]PitScoutingInfo!J192),"",[1]PitScoutingInfo!J192)</f>
        <v/>
      </c>
      <c r="D192" s="23" t="str">
        <f>IF(ISBLANK([1]PitScoutingInfo!M192),"",[1]PitScoutingInfo!M192)</f>
        <v/>
      </c>
      <c r="E192" s="23" t="str">
        <f>IF(ISBLANK([1]PitScoutingInfo!N192),"",[1]PitScoutingInfo!N192)</f>
        <v/>
      </c>
      <c r="F192" s="23" t="str">
        <f>IF(ISBLANK([1]PitScoutingInfo!V192),"",[1]PitScoutingInfo!V192)</f>
        <v/>
      </c>
      <c r="G192" s="23" t="str">
        <f>IF(ISBLANK([1]PitScoutingInfo!W192),"",[1]PitScoutingInfo!W192)</f>
        <v/>
      </c>
      <c r="H192" s="23" t="str">
        <f>IF(ISBLANK([1]PitScoutingInfo!Z192),"",[1]PitScoutingInfo!Z192)</f>
        <v/>
      </c>
    </row>
    <row r="193" spans="1:8" x14ac:dyDescent="0.45">
      <c r="A193" s="23" t="str">
        <f>IF(ISBLANK([1]PitScoutingInfo!A193),"",[1]PitScoutingInfo!A193)</f>
        <v/>
      </c>
      <c r="B193" s="23" t="str">
        <f>IF(ISBLANK([1]PitScoutingInfo!B193),"",[1]PitScoutingInfo!B193)</f>
        <v/>
      </c>
      <c r="C193" s="23" t="str">
        <f>IF(ISBLANK([1]PitScoutingInfo!J193),"",[1]PitScoutingInfo!J193)</f>
        <v/>
      </c>
      <c r="D193" s="23" t="str">
        <f>IF(ISBLANK([1]PitScoutingInfo!M193),"",[1]PitScoutingInfo!M193)</f>
        <v/>
      </c>
      <c r="E193" s="23" t="str">
        <f>IF(ISBLANK([1]PitScoutingInfo!N193),"",[1]PitScoutingInfo!N193)</f>
        <v/>
      </c>
      <c r="F193" s="23" t="str">
        <f>IF(ISBLANK([1]PitScoutingInfo!V193),"",[1]PitScoutingInfo!V193)</f>
        <v/>
      </c>
      <c r="G193" s="23" t="str">
        <f>IF(ISBLANK([1]PitScoutingInfo!W193),"",[1]PitScoutingInfo!W193)</f>
        <v/>
      </c>
      <c r="H193" s="23" t="str">
        <f>IF(ISBLANK([1]PitScoutingInfo!Z193),"",[1]PitScoutingInfo!Z193)</f>
        <v/>
      </c>
    </row>
    <row r="194" spans="1:8" x14ac:dyDescent="0.45">
      <c r="A194" s="23" t="str">
        <f>IF(ISBLANK([1]PitScoutingInfo!A194),"",[1]PitScoutingInfo!A194)</f>
        <v/>
      </c>
      <c r="B194" s="23" t="str">
        <f>IF(ISBLANK([1]PitScoutingInfo!B194),"",[1]PitScoutingInfo!B194)</f>
        <v/>
      </c>
      <c r="C194" s="23" t="str">
        <f>IF(ISBLANK([1]PitScoutingInfo!J194),"",[1]PitScoutingInfo!J194)</f>
        <v/>
      </c>
      <c r="D194" s="23" t="str">
        <f>IF(ISBLANK([1]PitScoutingInfo!M194),"",[1]PitScoutingInfo!M194)</f>
        <v/>
      </c>
      <c r="E194" s="23" t="str">
        <f>IF(ISBLANK([1]PitScoutingInfo!N194),"",[1]PitScoutingInfo!N194)</f>
        <v/>
      </c>
      <c r="F194" s="23" t="str">
        <f>IF(ISBLANK([1]PitScoutingInfo!V194),"",[1]PitScoutingInfo!V194)</f>
        <v/>
      </c>
      <c r="G194" s="23" t="str">
        <f>IF(ISBLANK([1]PitScoutingInfo!W194),"",[1]PitScoutingInfo!W194)</f>
        <v/>
      </c>
      <c r="H194" s="23" t="str">
        <f>IF(ISBLANK([1]PitScoutingInfo!Z194),"",[1]PitScoutingInfo!Z194)</f>
        <v/>
      </c>
    </row>
    <row r="195" spans="1:8" x14ac:dyDescent="0.45">
      <c r="A195" s="23" t="str">
        <f>IF(ISBLANK([1]PitScoutingInfo!A195),"",[1]PitScoutingInfo!A195)</f>
        <v/>
      </c>
      <c r="B195" s="23" t="str">
        <f>IF(ISBLANK([1]PitScoutingInfo!B195),"",[1]PitScoutingInfo!B195)</f>
        <v/>
      </c>
      <c r="C195" s="23" t="str">
        <f>IF(ISBLANK([1]PitScoutingInfo!J195),"",[1]PitScoutingInfo!J195)</f>
        <v/>
      </c>
      <c r="D195" s="23" t="str">
        <f>IF(ISBLANK([1]PitScoutingInfo!M195),"",[1]PitScoutingInfo!M195)</f>
        <v/>
      </c>
      <c r="E195" s="23" t="str">
        <f>IF(ISBLANK([1]PitScoutingInfo!N195),"",[1]PitScoutingInfo!N195)</f>
        <v/>
      </c>
      <c r="F195" s="23" t="str">
        <f>IF(ISBLANK([1]PitScoutingInfo!V195),"",[1]PitScoutingInfo!V195)</f>
        <v/>
      </c>
      <c r="G195" s="23" t="str">
        <f>IF(ISBLANK([1]PitScoutingInfo!W195),"",[1]PitScoutingInfo!W195)</f>
        <v/>
      </c>
      <c r="H195" s="23" t="str">
        <f>IF(ISBLANK([1]PitScoutingInfo!Z195),"",[1]PitScoutingInfo!Z195)</f>
        <v/>
      </c>
    </row>
    <row r="196" spans="1:8" x14ac:dyDescent="0.45">
      <c r="A196" s="23" t="str">
        <f>IF(ISBLANK([1]PitScoutingInfo!A196),"",[1]PitScoutingInfo!A196)</f>
        <v/>
      </c>
      <c r="B196" s="23" t="str">
        <f>IF(ISBLANK([1]PitScoutingInfo!B196),"",[1]PitScoutingInfo!B196)</f>
        <v/>
      </c>
      <c r="C196" s="23" t="str">
        <f>IF(ISBLANK([1]PitScoutingInfo!J196),"",[1]PitScoutingInfo!J196)</f>
        <v/>
      </c>
      <c r="D196" s="23" t="str">
        <f>IF(ISBLANK([1]PitScoutingInfo!M196),"",[1]PitScoutingInfo!M196)</f>
        <v/>
      </c>
      <c r="E196" s="23" t="str">
        <f>IF(ISBLANK([1]PitScoutingInfo!N196),"",[1]PitScoutingInfo!N196)</f>
        <v/>
      </c>
      <c r="F196" s="23" t="str">
        <f>IF(ISBLANK([1]PitScoutingInfo!V196),"",[1]PitScoutingInfo!V196)</f>
        <v/>
      </c>
      <c r="G196" s="23" t="str">
        <f>IF(ISBLANK([1]PitScoutingInfo!W196),"",[1]PitScoutingInfo!W196)</f>
        <v/>
      </c>
      <c r="H196" s="23" t="str">
        <f>IF(ISBLANK([1]PitScoutingInfo!Z196),"",[1]PitScoutingInfo!Z196)</f>
        <v/>
      </c>
    </row>
    <row r="197" spans="1:8" x14ac:dyDescent="0.45">
      <c r="A197" s="23" t="str">
        <f>IF(ISBLANK([1]PitScoutingInfo!A197),"",[1]PitScoutingInfo!A197)</f>
        <v/>
      </c>
      <c r="B197" s="23" t="str">
        <f>IF(ISBLANK([1]PitScoutingInfo!B197),"",[1]PitScoutingInfo!B197)</f>
        <v/>
      </c>
      <c r="C197" s="23" t="str">
        <f>IF(ISBLANK([1]PitScoutingInfo!J197),"",[1]PitScoutingInfo!J197)</f>
        <v/>
      </c>
      <c r="D197" s="23" t="str">
        <f>IF(ISBLANK([1]PitScoutingInfo!M197),"",[1]PitScoutingInfo!M197)</f>
        <v/>
      </c>
      <c r="E197" s="23" t="str">
        <f>IF(ISBLANK([1]PitScoutingInfo!N197),"",[1]PitScoutingInfo!N197)</f>
        <v/>
      </c>
      <c r="F197" s="23" t="str">
        <f>IF(ISBLANK([1]PitScoutingInfo!V197),"",[1]PitScoutingInfo!V197)</f>
        <v/>
      </c>
      <c r="G197" s="23" t="str">
        <f>IF(ISBLANK([1]PitScoutingInfo!W197),"",[1]PitScoutingInfo!W197)</f>
        <v/>
      </c>
      <c r="H197" s="23" t="str">
        <f>IF(ISBLANK([1]PitScoutingInfo!Z197),"",[1]PitScoutingInfo!Z197)</f>
        <v/>
      </c>
    </row>
    <row r="198" spans="1:8" x14ac:dyDescent="0.45">
      <c r="A198" s="23" t="str">
        <f>IF(ISBLANK([1]PitScoutingInfo!A198),"",[1]PitScoutingInfo!A198)</f>
        <v/>
      </c>
      <c r="B198" s="23" t="str">
        <f>IF(ISBLANK([1]PitScoutingInfo!B198),"",[1]PitScoutingInfo!B198)</f>
        <v/>
      </c>
      <c r="C198" s="23" t="str">
        <f>IF(ISBLANK([1]PitScoutingInfo!J198),"",[1]PitScoutingInfo!J198)</f>
        <v/>
      </c>
      <c r="D198" s="23" t="str">
        <f>IF(ISBLANK([1]PitScoutingInfo!M198),"",[1]PitScoutingInfo!M198)</f>
        <v/>
      </c>
      <c r="E198" s="23" t="str">
        <f>IF(ISBLANK([1]PitScoutingInfo!N198),"",[1]PitScoutingInfo!N198)</f>
        <v/>
      </c>
      <c r="F198" s="23" t="str">
        <f>IF(ISBLANK([1]PitScoutingInfo!V198),"",[1]PitScoutingInfo!V198)</f>
        <v/>
      </c>
      <c r="G198" s="23" t="str">
        <f>IF(ISBLANK([1]PitScoutingInfo!W198),"",[1]PitScoutingInfo!W198)</f>
        <v/>
      </c>
      <c r="H198" s="23" t="str">
        <f>IF(ISBLANK([1]PitScoutingInfo!Z198),"",[1]PitScoutingInfo!Z198)</f>
        <v/>
      </c>
    </row>
    <row r="199" spans="1:8" x14ac:dyDescent="0.45">
      <c r="A199" s="23" t="str">
        <f>IF(ISBLANK([1]PitScoutingInfo!A199),"",[1]PitScoutingInfo!A199)</f>
        <v/>
      </c>
      <c r="B199" s="23" t="str">
        <f>IF(ISBLANK([1]PitScoutingInfo!B199),"",[1]PitScoutingInfo!B199)</f>
        <v/>
      </c>
      <c r="C199" s="23" t="str">
        <f>IF(ISBLANK([1]PitScoutingInfo!J199),"",[1]PitScoutingInfo!J199)</f>
        <v/>
      </c>
      <c r="D199" s="23" t="str">
        <f>IF(ISBLANK([1]PitScoutingInfo!M199),"",[1]PitScoutingInfo!M199)</f>
        <v/>
      </c>
      <c r="E199" s="23" t="str">
        <f>IF(ISBLANK([1]PitScoutingInfo!N199),"",[1]PitScoutingInfo!N199)</f>
        <v/>
      </c>
      <c r="F199" s="23" t="str">
        <f>IF(ISBLANK([1]PitScoutingInfo!V199),"",[1]PitScoutingInfo!V199)</f>
        <v/>
      </c>
      <c r="G199" s="23" t="str">
        <f>IF(ISBLANK([1]PitScoutingInfo!W199),"",[1]PitScoutingInfo!W199)</f>
        <v/>
      </c>
      <c r="H199" s="23" t="str">
        <f>IF(ISBLANK([1]PitScoutingInfo!Z199),"",[1]PitScoutingInfo!Z199)</f>
        <v/>
      </c>
    </row>
    <row r="200" spans="1:8" x14ac:dyDescent="0.45">
      <c r="A200" s="23" t="str">
        <f>IF(ISBLANK([1]PitScoutingInfo!A200),"",[1]PitScoutingInfo!A200)</f>
        <v/>
      </c>
      <c r="B200" s="23" t="str">
        <f>IF(ISBLANK([1]PitScoutingInfo!B200),"",[1]PitScoutingInfo!B200)</f>
        <v/>
      </c>
      <c r="C200" s="23" t="str">
        <f>IF(ISBLANK([1]PitScoutingInfo!J200),"",[1]PitScoutingInfo!J200)</f>
        <v/>
      </c>
      <c r="D200" s="23" t="str">
        <f>IF(ISBLANK([1]PitScoutingInfo!M200),"",[1]PitScoutingInfo!M200)</f>
        <v/>
      </c>
      <c r="E200" s="23" t="str">
        <f>IF(ISBLANK([1]PitScoutingInfo!N200),"",[1]PitScoutingInfo!N200)</f>
        <v/>
      </c>
      <c r="F200" s="23" t="str">
        <f>IF(ISBLANK([1]PitScoutingInfo!V200),"",[1]PitScoutingInfo!V200)</f>
        <v/>
      </c>
      <c r="G200" s="23" t="str">
        <f>IF(ISBLANK([1]PitScoutingInfo!W200),"",[1]PitScoutingInfo!W200)</f>
        <v/>
      </c>
      <c r="H200" s="23" t="str">
        <f>IF(ISBLANK([1]PitScoutingInfo!Z200),"",[1]PitScoutingInfo!Z200)</f>
        <v/>
      </c>
    </row>
    <row r="201" spans="1:8" x14ac:dyDescent="0.45">
      <c r="A201" s="23" t="str">
        <f>IF(ISBLANK([1]PitScoutingInfo!A201),"",[1]PitScoutingInfo!A201)</f>
        <v/>
      </c>
      <c r="B201" s="23" t="str">
        <f>IF(ISBLANK([1]PitScoutingInfo!B201),"",[1]PitScoutingInfo!B201)</f>
        <v/>
      </c>
      <c r="C201" s="23" t="str">
        <f>IF(ISBLANK([1]PitScoutingInfo!J201),"",[1]PitScoutingInfo!J201)</f>
        <v/>
      </c>
      <c r="D201" s="23" t="str">
        <f>IF(ISBLANK([1]PitScoutingInfo!M201),"",[1]PitScoutingInfo!M201)</f>
        <v/>
      </c>
      <c r="E201" s="23" t="str">
        <f>IF(ISBLANK([1]PitScoutingInfo!N201),"",[1]PitScoutingInfo!N201)</f>
        <v/>
      </c>
      <c r="F201" s="23" t="str">
        <f>IF(ISBLANK([1]PitScoutingInfo!V201),"",[1]PitScoutingInfo!V201)</f>
        <v/>
      </c>
      <c r="G201" s="23" t="str">
        <f>IF(ISBLANK([1]PitScoutingInfo!W201),"",[1]PitScoutingInfo!W201)</f>
        <v/>
      </c>
      <c r="H201" s="23" t="str">
        <f>IF(ISBLANK([1]PitScoutingInfo!Z201),"",[1]PitScoutingInfo!Z201)</f>
        <v/>
      </c>
    </row>
    <row r="202" spans="1:8" x14ac:dyDescent="0.45">
      <c r="A202" s="23" t="str">
        <f>IF(ISBLANK([1]PitScoutingInfo!A202),"",[1]PitScoutingInfo!A202)</f>
        <v/>
      </c>
      <c r="B202" s="23" t="str">
        <f>IF(ISBLANK([1]PitScoutingInfo!B202),"",[1]PitScoutingInfo!B202)</f>
        <v/>
      </c>
      <c r="C202" s="23" t="str">
        <f>IF(ISBLANK([1]PitScoutingInfo!J202),"",[1]PitScoutingInfo!J202)</f>
        <v/>
      </c>
      <c r="D202" s="23" t="str">
        <f>IF(ISBLANK([1]PitScoutingInfo!M202),"",[1]PitScoutingInfo!M202)</f>
        <v/>
      </c>
      <c r="E202" s="23" t="str">
        <f>IF(ISBLANK([1]PitScoutingInfo!N202),"",[1]PitScoutingInfo!N202)</f>
        <v/>
      </c>
      <c r="F202" s="23" t="str">
        <f>IF(ISBLANK([1]PitScoutingInfo!V202),"",[1]PitScoutingInfo!V202)</f>
        <v/>
      </c>
      <c r="G202" s="23" t="str">
        <f>IF(ISBLANK([1]PitScoutingInfo!W202),"",[1]PitScoutingInfo!W202)</f>
        <v/>
      </c>
      <c r="H202" s="23" t="str">
        <f>IF(ISBLANK([1]PitScoutingInfo!Z202),"",[1]PitScoutingInfo!Z202)</f>
        <v/>
      </c>
    </row>
    <row r="203" spans="1:8" x14ac:dyDescent="0.45">
      <c r="A203" s="23" t="str">
        <f>IF(ISBLANK([1]PitScoutingInfo!A203),"",[1]PitScoutingInfo!A203)</f>
        <v/>
      </c>
      <c r="B203" s="23" t="str">
        <f>IF(ISBLANK([1]PitScoutingInfo!B203),"",[1]PitScoutingInfo!B203)</f>
        <v/>
      </c>
      <c r="C203" s="23" t="str">
        <f>IF(ISBLANK([1]PitScoutingInfo!J203),"",[1]PitScoutingInfo!J203)</f>
        <v/>
      </c>
      <c r="D203" s="23" t="str">
        <f>IF(ISBLANK([1]PitScoutingInfo!M203),"",[1]PitScoutingInfo!M203)</f>
        <v/>
      </c>
      <c r="E203" s="23" t="str">
        <f>IF(ISBLANK([1]PitScoutingInfo!N203),"",[1]PitScoutingInfo!N203)</f>
        <v/>
      </c>
      <c r="F203" s="23" t="str">
        <f>IF(ISBLANK([1]PitScoutingInfo!V203),"",[1]PitScoutingInfo!V203)</f>
        <v/>
      </c>
      <c r="G203" s="23" t="str">
        <f>IF(ISBLANK([1]PitScoutingInfo!W203),"",[1]PitScoutingInfo!W203)</f>
        <v/>
      </c>
      <c r="H203" s="23" t="str">
        <f>IF(ISBLANK([1]PitScoutingInfo!Z203),"",[1]PitScoutingInfo!Z203)</f>
        <v/>
      </c>
    </row>
    <row r="204" spans="1:8" x14ac:dyDescent="0.45">
      <c r="A204" s="23" t="str">
        <f>IF(ISBLANK([1]PitScoutingInfo!A204),"",[1]PitScoutingInfo!A204)</f>
        <v/>
      </c>
      <c r="B204" s="23" t="str">
        <f>IF(ISBLANK([1]PitScoutingInfo!B204),"",[1]PitScoutingInfo!B204)</f>
        <v/>
      </c>
      <c r="C204" s="23" t="str">
        <f>IF(ISBLANK([1]PitScoutingInfo!J204),"",[1]PitScoutingInfo!J204)</f>
        <v/>
      </c>
      <c r="D204" s="23" t="str">
        <f>IF(ISBLANK([1]PitScoutingInfo!M204),"",[1]PitScoutingInfo!M204)</f>
        <v/>
      </c>
      <c r="E204" s="23" t="str">
        <f>IF(ISBLANK([1]PitScoutingInfo!N204),"",[1]PitScoutingInfo!N204)</f>
        <v/>
      </c>
      <c r="F204" s="23" t="str">
        <f>IF(ISBLANK([1]PitScoutingInfo!V204),"",[1]PitScoutingInfo!V204)</f>
        <v/>
      </c>
      <c r="G204" s="23" t="str">
        <f>IF(ISBLANK([1]PitScoutingInfo!W204),"",[1]PitScoutingInfo!W204)</f>
        <v/>
      </c>
      <c r="H204" s="23" t="str">
        <f>IF(ISBLANK([1]PitScoutingInfo!Z204),"",[1]PitScoutingInfo!Z204)</f>
        <v/>
      </c>
    </row>
    <row r="205" spans="1:8" x14ac:dyDescent="0.45">
      <c r="A205" s="23" t="str">
        <f>IF(ISBLANK([1]PitScoutingInfo!A205),"",[1]PitScoutingInfo!A205)</f>
        <v/>
      </c>
      <c r="B205" s="23" t="str">
        <f>IF(ISBLANK([1]PitScoutingInfo!B205),"",[1]PitScoutingInfo!B205)</f>
        <v/>
      </c>
      <c r="C205" s="23" t="str">
        <f>IF(ISBLANK([1]PitScoutingInfo!J205),"",[1]PitScoutingInfo!J205)</f>
        <v/>
      </c>
      <c r="D205" s="23" t="str">
        <f>IF(ISBLANK([1]PitScoutingInfo!M205),"",[1]PitScoutingInfo!M205)</f>
        <v/>
      </c>
      <c r="E205" s="23" t="str">
        <f>IF(ISBLANK([1]PitScoutingInfo!N205),"",[1]PitScoutingInfo!N205)</f>
        <v/>
      </c>
      <c r="F205" s="23" t="str">
        <f>IF(ISBLANK([1]PitScoutingInfo!V205),"",[1]PitScoutingInfo!V205)</f>
        <v/>
      </c>
      <c r="G205" s="23" t="str">
        <f>IF(ISBLANK([1]PitScoutingInfo!W205),"",[1]PitScoutingInfo!W205)</f>
        <v/>
      </c>
      <c r="H205" s="23" t="str">
        <f>IF(ISBLANK([1]PitScoutingInfo!Z205),"",[1]PitScoutingInfo!Z205)</f>
        <v/>
      </c>
    </row>
    <row r="206" spans="1:8" x14ac:dyDescent="0.45">
      <c r="A206" s="23" t="str">
        <f>IF(ISBLANK([1]PitScoutingInfo!A206),"",[1]PitScoutingInfo!A206)</f>
        <v/>
      </c>
      <c r="B206" s="23" t="str">
        <f>IF(ISBLANK([1]PitScoutingInfo!B206),"",[1]PitScoutingInfo!B206)</f>
        <v/>
      </c>
      <c r="C206" s="23" t="str">
        <f>IF(ISBLANK([1]PitScoutingInfo!J206),"",[1]PitScoutingInfo!J206)</f>
        <v/>
      </c>
      <c r="D206" s="23" t="str">
        <f>IF(ISBLANK([1]PitScoutingInfo!M206),"",[1]PitScoutingInfo!M206)</f>
        <v/>
      </c>
      <c r="E206" s="23" t="str">
        <f>IF(ISBLANK([1]PitScoutingInfo!N206),"",[1]PitScoutingInfo!N206)</f>
        <v/>
      </c>
      <c r="F206" s="23" t="str">
        <f>IF(ISBLANK([1]PitScoutingInfo!V206),"",[1]PitScoutingInfo!V206)</f>
        <v/>
      </c>
      <c r="G206" s="23" t="str">
        <f>IF(ISBLANK([1]PitScoutingInfo!W206),"",[1]PitScoutingInfo!W206)</f>
        <v/>
      </c>
      <c r="H206" s="23" t="str">
        <f>IF(ISBLANK([1]PitScoutingInfo!Z206),"",[1]PitScoutingInfo!Z206)</f>
        <v/>
      </c>
    </row>
    <row r="207" spans="1:8" x14ac:dyDescent="0.45">
      <c r="A207" s="23" t="str">
        <f>IF(ISBLANK([1]PitScoutingInfo!A207),"",[1]PitScoutingInfo!A207)</f>
        <v/>
      </c>
      <c r="B207" s="23" t="str">
        <f>IF(ISBLANK([1]PitScoutingInfo!B207),"",[1]PitScoutingInfo!B207)</f>
        <v/>
      </c>
      <c r="C207" s="23" t="str">
        <f>IF(ISBLANK([1]PitScoutingInfo!J207),"",[1]PitScoutingInfo!J207)</f>
        <v/>
      </c>
      <c r="D207" s="23" t="str">
        <f>IF(ISBLANK([1]PitScoutingInfo!M207),"",[1]PitScoutingInfo!M207)</f>
        <v/>
      </c>
      <c r="E207" s="23" t="str">
        <f>IF(ISBLANK([1]PitScoutingInfo!N207),"",[1]PitScoutingInfo!N207)</f>
        <v/>
      </c>
      <c r="F207" s="23" t="str">
        <f>IF(ISBLANK([1]PitScoutingInfo!V207),"",[1]PitScoutingInfo!V207)</f>
        <v/>
      </c>
      <c r="G207" s="23" t="str">
        <f>IF(ISBLANK([1]PitScoutingInfo!W207),"",[1]PitScoutingInfo!W207)</f>
        <v/>
      </c>
      <c r="H207" s="23" t="str">
        <f>IF(ISBLANK([1]PitScoutingInfo!Z207),"",[1]PitScoutingInfo!Z207)</f>
        <v/>
      </c>
    </row>
    <row r="208" spans="1:8" x14ac:dyDescent="0.45">
      <c r="A208" s="23" t="str">
        <f>IF(ISBLANK([1]PitScoutingInfo!A208),"",[1]PitScoutingInfo!A208)</f>
        <v/>
      </c>
      <c r="B208" s="23" t="str">
        <f>IF(ISBLANK([1]PitScoutingInfo!B208),"",[1]PitScoutingInfo!B208)</f>
        <v/>
      </c>
      <c r="C208" s="23" t="str">
        <f>IF(ISBLANK([1]PitScoutingInfo!J208),"",[1]PitScoutingInfo!J208)</f>
        <v/>
      </c>
      <c r="D208" s="23" t="str">
        <f>IF(ISBLANK([1]PitScoutingInfo!M208),"",[1]PitScoutingInfo!M208)</f>
        <v/>
      </c>
      <c r="E208" s="23" t="str">
        <f>IF(ISBLANK([1]PitScoutingInfo!N208),"",[1]PitScoutingInfo!N208)</f>
        <v/>
      </c>
      <c r="F208" s="23" t="str">
        <f>IF(ISBLANK([1]PitScoutingInfo!V208),"",[1]PitScoutingInfo!V208)</f>
        <v/>
      </c>
      <c r="G208" s="23" t="str">
        <f>IF(ISBLANK([1]PitScoutingInfo!W208),"",[1]PitScoutingInfo!W208)</f>
        <v/>
      </c>
      <c r="H208" s="23" t="str">
        <f>IF(ISBLANK([1]PitScoutingInfo!Z208),"",[1]PitScoutingInfo!Z208)</f>
        <v/>
      </c>
    </row>
    <row r="209" spans="1:8" x14ac:dyDescent="0.45">
      <c r="A209" s="23" t="str">
        <f>IF(ISBLANK([1]PitScoutingInfo!A209),"",[1]PitScoutingInfo!A209)</f>
        <v/>
      </c>
      <c r="B209" s="23" t="str">
        <f>IF(ISBLANK([1]PitScoutingInfo!B209),"",[1]PitScoutingInfo!B209)</f>
        <v/>
      </c>
      <c r="C209" s="23" t="str">
        <f>IF(ISBLANK([1]PitScoutingInfo!J209),"",[1]PitScoutingInfo!J209)</f>
        <v/>
      </c>
      <c r="D209" s="23" t="str">
        <f>IF(ISBLANK([1]PitScoutingInfo!M209),"",[1]PitScoutingInfo!M209)</f>
        <v/>
      </c>
      <c r="E209" s="23" t="str">
        <f>IF(ISBLANK([1]PitScoutingInfo!N209),"",[1]PitScoutingInfo!N209)</f>
        <v/>
      </c>
      <c r="F209" s="23" t="str">
        <f>IF(ISBLANK([1]PitScoutingInfo!V209),"",[1]PitScoutingInfo!V209)</f>
        <v/>
      </c>
      <c r="G209" s="23" t="str">
        <f>IF(ISBLANK([1]PitScoutingInfo!W209),"",[1]PitScoutingInfo!W209)</f>
        <v/>
      </c>
      <c r="H209" s="23" t="str">
        <f>IF(ISBLANK([1]PitScoutingInfo!Z209),"",[1]PitScoutingInfo!Z209)</f>
        <v/>
      </c>
    </row>
    <row r="210" spans="1:8" x14ac:dyDescent="0.45">
      <c r="A210" s="23" t="str">
        <f>IF(ISBLANK([1]PitScoutingInfo!A210),"",[1]PitScoutingInfo!A210)</f>
        <v/>
      </c>
      <c r="B210" s="23" t="str">
        <f>IF(ISBLANK([1]PitScoutingInfo!B210),"",[1]PitScoutingInfo!B210)</f>
        <v/>
      </c>
      <c r="C210" s="23" t="str">
        <f>IF(ISBLANK([1]PitScoutingInfo!J210),"",[1]PitScoutingInfo!J210)</f>
        <v/>
      </c>
      <c r="D210" s="23" t="str">
        <f>IF(ISBLANK([1]PitScoutingInfo!M210),"",[1]PitScoutingInfo!M210)</f>
        <v/>
      </c>
      <c r="E210" s="23" t="str">
        <f>IF(ISBLANK([1]PitScoutingInfo!N210),"",[1]PitScoutingInfo!N210)</f>
        <v/>
      </c>
      <c r="F210" s="23" t="str">
        <f>IF(ISBLANK([1]PitScoutingInfo!V210),"",[1]PitScoutingInfo!V210)</f>
        <v/>
      </c>
      <c r="G210" s="23" t="str">
        <f>IF(ISBLANK([1]PitScoutingInfo!W210),"",[1]PitScoutingInfo!W210)</f>
        <v/>
      </c>
      <c r="H210" s="23" t="str">
        <f>IF(ISBLANK([1]PitScoutingInfo!Z210),"",[1]PitScoutingInfo!Z210)</f>
        <v/>
      </c>
    </row>
    <row r="211" spans="1:8" x14ac:dyDescent="0.45">
      <c r="A211" s="23" t="str">
        <f>IF(ISBLANK([1]PitScoutingInfo!A211),"",[1]PitScoutingInfo!A211)</f>
        <v/>
      </c>
      <c r="B211" s="23" t="str">
        <f>IF(ISBLANK([1]PitScoutingInfo!B211),"",[1]PitScoutingInfo!B211)</f>
        <v/>
      </c>
      <c r="C211" s="23" t="str">
        <f>IF(ISBLANK([1]PitScoutingInfo!J211),"",[1]PitScoutingInfo!J211)</f>
        <v/>
      </c>
      <c r="D211" s="23" t="str">
        <f>IF(ISBLANK([1]PitScoutingInfo!M211),"",[1]PitScoutingInfo!M211)</f>
        <v/>
      </c>
      <c r="E211" s="23" t="str">
        <f>IF(ISBLANK([1]PitScoutingInfo!N211),"",[1]PitScoutingInfo!N211)</f>
        <v/>
      </c>
      <c r="F211" s="23" t="str">
        <f>IF(ISBLANK([1]PitScoutingInfo!V211),"",[1]PitScoutingInfo!V211)</f>
        <v/>
      </c>
      <c r="G211" s="23" t="str">
        <f>IF(ISBLANK([1]PitScoutingInfo!W211),"",[1]PitScoutingInfo!W211)</f>
        <v/>
      </c>
      <c r="H211" s="23" t="str">
        <f>IF(ISBLANK([1]PitScoutingInfo!Z211),"",[1]PitScoutingInfo!Z211)</f>
        <v/>
      </c>
    </row>
    <row r="212" spans="1:8" x14ac:dyDescent="0.45">
      <c r="A212" s="23" t="str">
        <f>IF(ISBLANK([1]PitScoutingInfo!A212),"",[1]PitScoutingInfo!A212)</f>
        <v/>
      </c>
      <c r="B212" s="23" t="str">
        <f>IF(ISBLANK([1]PitScoutingInfo!B212),"",[1]PitScoutingInfo!B212)</f>
        <v/>
      </c>
      <c r="C212" s="23" t="str">
        <f>IF(ISBLANK([1]PitScoutingInfo!J212),"",[1]PitScoutingInfo!J212)</f>
        <v/>
      </c>
      <c r="D212" s="23" t="str">
        <f>IF(ISBLANK([1]PitScoutingInfo!M212),"",[1]PitScoutingInfo!M212)</f>
        <v/>
      </c>
      <c r="E212" s="23" t="str">
        <f>IF(ISBLANK([1]PitScoutingInfo!N212),"",[1]PitScoutingInfo!N212)</f>
        <v/>
      </c>
      <c r="F212" s="23" t="str">
        <f>IF(ISBLANK([1]PitScoutingInfo!V212),"",[1]PitScoutingInfo!V212)</f>
        <v/>
      </c>
      <c r="G212" s="23" t="str">
        <f>IF(ISBLANK([1]PitScoutingInfo!W212),"",[1]PitScoutingInfo!W212)</f>
        <v/>
      </c>
      <c r="H212" s="23" t="str">
        <f>IF(ISBLANK([1]PitScoutingInfo!Z212),"",[1]PitScoutingInfo!Z212)</f>
        <v/>
      </c>
    </row>
    <row r="213" spans="1:8" x14ac:dyDescent="0.45">
      <c r="A213" s="23" t="str">
        <f>IF(ISBLANK([1]PitScoutingInfo!A213),"",[1]PitScoutingInfo!A213)</f>
        <v/>
      </c>
      <c r="B213" s="23" t="str">
        <f>IF(ISBLANK([1]PitScoutingInfo!B213),"",[1]PitScoutingInfo!B213)</f>
        <v/>
      </c>
      <c r="C213" s="23" t="str">
        <f>IF(ISBLANK([1]PitScoutingInfo!J213),"",[1]PitScoutingInfo!J213)</f>
        <v/>
      </c>
      <c r="D213" s="23" t="str">
        <f>IF(ISBLANK([1]PitScoutingInfo!M213),"",[1]PitScoutingInfo!M213)</f>
        <v/>
      </c>
      <c r="E213" s="23" t="str">
        <f>IF(ISBLANK([1]PitScoutingInfo!N213),"",[1]PitScoutingInfo!N213)</f>
        <v/>
      </c>
      <c r="F213" s="23" t="str">
        <f>IF(ISBLANK([1]PitScoutingInfo!V213),"",[1]PitScoutingInfo!V213)</f>
        <v/>
      </c>
      <c r="G213" s="23" t="str">
        <f>IF(ISBLANK([1]PitScoutingInfo!W213),"",[1]PitScoutingInfo!W213)</f>
        <v/>
      </c>
      <c r="H213" s="23" t="str">
        <f>IF(ISBLANK([1]PitScoutingInfo!Z213),"",[1]PitScoutingInfo!Z213)</f>
        <v/>
      </c>
    </row>
    <row r="214" spans="1:8" x14ac:dyDescent="0.45">
      <c r="A214" s="23" t="str">
        <f>IF(ISBLANK([1]PitScoutingInfo!A214),"",[1]PitScoutingInfo!A214)</f>
        <v/>
      </c>
      <c r="B214" s="23" t="str">
        <f>IF(ISBLANK([1]PitScoutingInfo!B214),"",[1]PitScoutingInfo!B214)</f>
        <v/>
      </c>
      <c r="C214" s="23" t="str">
        <f>IF(ISBLANK([1]PitScoutingInfo!J214),"",[1]PitScoutingInfo!J214)</f>
        <v/>
      </c>
      <c r="D214" s="23" t="str">
        <f>IF(ISBLANK([1]PitScoutingInfo!M214),"",[1]PitScoutingInfo!M214)</f>
        <v/>
      </c>
      <c r="E214" s="23" t="str">
        <f>IF(ISBLANK([1]PitScoutingInfo!N214),"",[1]PitScoutingInfo!N214)</f>
        <v/>
      </c>
      <c r="F214" s="23" t="str">
        <f>IF(ISBLANK([1]PitScoutingInfo!V214),"",[1]PitScoutingInfo!V214)</f>
        <v/>
      </c>
      <c r="G214" s="23" t="str">
        <f>IF(ISBLANK([1]PitScoutingInfo!W214),"",[1]PitScoutingInfo!W214)</f>
        <v/>
      </c>
      <c r="H214" s="23" t="str">
        <f>IF(ISBLANK([1]PitScoutingInfo!Z214),"",[1]PitScoutingInfo!Z214)</f>
        <v/>
      </c>
    </row>
    <row r="215" spans="1:8" x14ac:dyDescent="0.45">
      <c r="A215" s="23" t="str">
        <f>IF(ISBLANK([1]PitScoutingInfo!A215),"",[1]PitScoutingInfo!A215)</f>
        <v/>
      </c>
      <c r="B215" s="23" t="str">
        <f>IF(ISBLANK([1]PitScoutingInfo!B215),"",[1]PitScoutingInfo!B215)</f>
        <v/>
      </c>
      <c r="C215" s="23" t="str">
        <f>IF(ISBLANK([1]PitScoutingInfo!J215),"",[1]PitScoutingInfo!J215)</f>
        <v/>
      </c>
      <c r="D215" s="23" t="str">
        <f>IF(ISBLANK([1]PitScoutingInfo!M215),"",[1]PitScoutingInfo!M215)</f>
        <v/>
      </c>
      <c r="E215" s="23" t="str">
        <f>IF(ISBLANK([1]PitScoutingInfo!N215),"",[1]PitScoutingInfo!N215)</f>
        <v/>
      </c>
      <c r="F215" s="23" t="str">
        <f>IF(ISBLANK([1]PitScoutingInfo!V215),"",[1]PitScoutingInfo!V215)</f>
        <v/>
      </c>
      <c r="G215" s="23" t="str">
        <f>IF(ISBLANK([1]PitScoutingInfo!W215),"",[1]PitScoutingInfo!W215)</f>
        <v/>
      </c>
      <c r="H215" s="23" t="str">
        <f>IF(ISBLANK([1]PitScoutingInfo!Z215),"",[1]PitScoutingInfo!Z215)</f>
        <v/>
      </c>
    </row>
    <row r="216" spans="1:8" x14ac:dyDescent="0.45">
      <c r="A216" s="23" t="str">
        <f>IF(ISBLANK([1]PitScoutingInfo!A216),"",[1]PitScoutingInfo!A216)</f>
        <v/>
      </c>
      <c r="B216" s="23" t="str">
        <f>IF(ISBLANK([1]PitScoutingInfo!B216),"",[1]PitScoutingInfo!B216)</f>
        <v/>
      </c>
      <c r="C216" s="23" t="str">
        <f>IF(ISBLANK([1]PitScoutingInfo!J216),"",[1]PitScoutingInfo!J216)</f>
        <v/>
      </c>
      <c r="D216" s="23" t="str">
        <f>IF(ISBLANK([1]PitScoutingInfo!M216),"",[1]PitScoutingInfo!M216)</f>
        <v/>
      </c>
      <c r="E216" s="23" t="str">
        <f>IF(ISBLANK([1]PitScoutingInfo!N216),"",[1]PitScoutingInfo!N216)</f>
        <v/>
      </c>
      <c r="F216" s="23" t="str">
        <f>IF(ISBLANK([1]PitScoutingInfo!V216),"",[1]PitScoutingInfo!V216)</f>
        <v/>
      </c>
      <c r="G216" s="23" t="str">
        <f>IF(ISBLANK([1]PitScoutingInfo!W216),"",[1]PitScoutingInfo!W216)</f>
        <v/>
      </c>
      <c r="H216" s="23" t="str">
        <f>IF(ISBLANK([1]PitScoutingInfo!Z216),"",[1]PitScoutingInfo!Z216)</f>
        <v/>
      </c>
    </row>
    <row r="217" spans="1:8" x14ac:dyDescent="0.45">
      <c r="A217" s="23" t="str">
        <f>IF(ISBLANK([1]PitScoutingInfo!A217),"",[1]PitScoutingInfo!A217)</f>
        <v/>
      </c>
      <c r="B217" s="23" t="str">
        <f>IF(ISBLANK([1]PitScoutingInfo!B217),"",[1]PitScoutingInfo!B217)</f>
        <v/>
      </c>
      <c r="C217" s="23" t="str">
        <f>IF(ISBLANK([1]PitScoutingInfo!J217),"",[1]PitScoutingInfo!J217)</f>
        <v/>
      </c>
      <c r="D217" s="23" t="str">
        <f>IF(ISBLANK([1]PitScoutingInfo!M217),"",[1]PitScoutingInfo!M217)</f>
        <v/>
      </c>
      <c r="E217" s="23" t="str">
        <f>IF(ISBLANK([1]PitScoutingInfo!N217),"",[1]PitScoutingInfo!N217)</f>
        <v/>
      </c>
      <c r="F217" s="23" t="str">
        <f>IF(ISBLANK([1]PitScoutingInfo!V217),"",[1]PitScoutingInfo!V217)</f>
        <v/>
      </c>
      <c r="G217" s="23" t="str">
        <f>IF(ISBLANK([1]PitScoutingInfo!W217),"",[1]PitScoutingInfo!W217)</f>
        <v/>
      </c>
      <c r="H217" s="23" t="str">
        <f>IF(ISBLANK([1]PitScoutingInfo!Z217),"",[1]PitScoutingInfo!Z217)</f>
        <v/>
      </c>
    </row>
    <row r="218" spans="1:8" x14ac:dyDescent="0.45">
      <c r="A218" s="23" t="str">
        <f>IF(ISBLANK([1]PitScoutingInfo!A218),"",[1]PitScoutingInfo!A218)</f>
        <v/>
      </c>
      <c r="B218" s="23" t="str">
        <f>IF(ISBLANK([1]PitScoutingInfo!B218),"",[1]PitScoutingInfo!B218)</f>
        <v/>
      </c>
      <c r="C218" s="23" t="str">
        <f>IF(ISBLANK([1]PitScoutingInfo!J218),"",[1]PitScoutingInfo!J218)</f>
        <v/>
      </c>
      <c r="D218" s="23" t="str">
        <f>IF(ISBLANK([1]PitScoutingInfo!M218),"",[1]PitScoutingInfo!M218)</f>
        <v/>
      </c>
      <c r="E218" s="23" t="str">
        <f>IF(ISBLANK([1]PitScoutingInfo!N218),"",[1]PitScoutingInfo!N218)</f>
        <v/>
      </c>
      <c r="F218" s="23" t="str">
        <f>IF(ISBLANK([1]PitScoutingInfo!V218),"",[1]PitScoutingInfo!V218)</f>
        <v/>
      </c>
      <c r="G218" s="23" t="str">
        <f>IF(ISBLANK([1]PitScoutingInfo!W218),"",[1]PitScoutingInfo!W218)</f>
        <v/>
      </c>
      <c r="H218" s="23" t="str">
        <f>IF(ISBLANK([1]PitScoutingInfo!Z218),"",[1]PitScoutingInfo!Z218)</f>
        <v/>
      </c>
    </row>
    <row r="219" spans="1:8" x14ac:dyDescent="0.45">
      <c r="A219" s="23" t="str">
        <f>IF(ISBLANK([1]PitScoutingInfo!A219),"",[1]PitScoutingInfo!A219)</f>
        <v/>
      </c>
      <c r="B219" s="23" t="str">
        <f>IF(ISBLANK([1]PitScoutingInfo!B219),"",[1]PitScoutingInfo!B219)</f>
        <v/>
      </c>
      <c r="C219" s="23" t="str">
        <f>IF(ISBLANK([1]PitScoutingInfo!J219),"",[1]PitScoutingInfo!J219)</f>
        <v/>
      </c>
      <c r="D219" s="23" t="str">
        <f>IF(ISBLANK([1]PitScoutingInfo!M219),"",[1]PitScoutingInfo!M219)</f>
        <v/>
      </c>
      <c r="E219" s="23" t="str">
        <f>IF(ISBLANK([1]PitScoutingInfo!N219),"",[1]PitScoutingInfo!N219)</f>
        <v/>
      </c>
      <c r="F219" s="23" t="str">
        <f>IF(ISBLANK([1]PitScoutingInfo!V219),"",[1]PitScoutingInfo!V219)</f>
        <v/>
      </c>
      <c r="G219" s="23" t="str">
        <f>IF(ISBLANK([1]PitScoutingInfo!W219),"",[1]PitScoutingInfo!W219)</f>
        <v/>
      </c>
      <c r="H219" s="23" t="str">
        <f>IF(ISBLANK([1]PitScoutingInfo!Z219),"",[1]PitScoutingInfo!Z219)</f>
        <v/>
      </c>
    </row>
    <row r="220" spans="1:8" x14ac:dyDescent="0.45">
      <c r="A220" s="23" t="str">
        <f>IF(ISBLANK([1]PitScoutingInfo!A220),"",[1]PitScoutingInfo!A220)</f>
        <v/>
      </c>
      <c r="B220" s="23" t="str">
        <f>IF(ISBLANK([1]PitScoutingInfo!B220),"",[1]PitScoutingInfo!B220)</f>
        <v/>
      </c>
      <c r="C220" s="23" t="str">
        <f>IF(ISBLANK([1]PitScoutingInfo!J220),"",[1]PitScoutingInfo!J220)</f>
        <v/>
      </c>
      <c r="D220" s="23" t="str">
        <f>IF(ISBLANK([1]PitScoutingInfo!M220),"",[1]PitScoutingInfo!M220)</f>
        <v/>
      </c>
      <c r="E220" s="23" t="str">
        <f>IF(ISBLANK([1]PitScoutingInfo!N220),"",[1]PitScoutingInfo!N220)</f>
        <v/>
      </c>
      <c r="F220" s="23" t="str">
        <f>IF(ISBLANK([1]PitScoutingInfo!V220),"",[1]PitScoutingInfo!V220)</f>
        <v/>
      </c>
      <c r="G220" s="23" t="str">
        <f>IF(ISBLANK([1]PitScoutingInfo!W220),"",[1]PitScoutingInfo!W220)</f>
        <v/>
      </c>
      <c r="H220" s="23" t="str">
        <f>IF(ISBLANK([1]PitScoutingInfo!Z220),"",[1]PitScoutingInfo!Z220)</f>
        <v/>
      </c>
    </row>
    <row r="221" spans="1:8" x14ac:dyDescent="0.45">
      <c r="A221" s="23" t="str">
        <f>IF(ISBLANK([1]PitScoutingInfo!A221),"",[1]PitScoutingInfo!A221)</f>
        <v/>
      </c>
      <c r="B221" s="23" t="str">
        <f>IF(ISBLANK([1]PitScoutingInfo!B221),"",[1]PitScoutingInfo!B221)</f>
        <v/>
      </c>
      <c r="C221" s="23" t="str">
        <f>IF(ISBLANK([1]PitScoutingInfo!J221),"",[1]PitScoutingInfo!J221)</f>
        <v/>
      </c>
      <c r="D221" s="23" t="str">
        <f>IF(ISBLANK([1]PitScoutingInfo!M221),"",[1]PitScoutingInfo!M221)</f>
        <v/>
      </c>
      <c r="E221" s="23" t="str">
        <f>IF(ISBLANK([1]PitScoutingInfo!N221),"",[1]PitScoutingInfo!N221)</f>
        <v/>
      </c>
      <c r="F221" s="23" t="str">
        <f>IF(ISBLANK([1]PitScoutingInfo!V221),"",[1]PitScoutingInfo!V221)</f>
        <v/>
      </c>
      <c r="G221" s="23" t="str">
        <f>IF(ISBLANK([1]PitScoutingInfo!W221),"",[1]PitScoutingInfo!W221)</f>
        <v/>
      </c>
      <c r="H221" s="23" t="str">
        <f>IF(ISBLANK([1]PitScoutingInfo!Z221),"",[1]PitScoutingInfo!Z221)</f>
        <v/>
      </c>
    </row>
    <row r="222" spans="1:8" x14ac:dyDescent="0.45">
      <c r="A222" s="23" t="str">
        <f>IF(ISBLANK([1]PitScoutingInfo!A222),"",[1]PitScoutingInfo!A222)</f>
        <v/>
      </c>
      <c r="B222" s="23" t="str">
        <f>IF(ISBLANK([1]PitScoutingInfo!B222),"",[1]PitScoutingInfo!B222)</f>
        <v/>
      </c>
      <c r="C222" s="23" t="str">
        <f>IF(ISBLANK([1]PitScoutingInfo!J222),"",[1]PitScoutingInfo!J222)</f>
        <v/>
      </c>
      <c r="D222" s="23" t="str">
        <f>IF(ISBLANK([1]PitScoutingInfo!M222),"",[1]PitScoutingInfo!M222)</f>
        <v/>
      </c>
      <c r="E222" s="23" t="str">
        <f>IF(ISBLANK([1]PitScoutingInfo!N222),"",[1]PitScoutingInfo!N222)</f>
        <v/>
      </c>
      <c r="F222" s="23" t="str">
        <f>IF(ISBLANK([1]PitScoutingInfo!V222),"",[1]PitScoutingInfo!V222)</f>
        <v/>
      </c>
      <c r="G222" s="23" t="str">
        <f>IF(ISBLANK([1]PitScoutingInfo!W222),"",[1]PitScoutingInfo!W222)</f>
        <v/>
      </c>
      <c r="H222" s="23" t="str">
        <f>IF(ISBLANK([1]PitScoutingInfo!Z222),"",[1]PitScoutingInfo!Z222)</f>
        <v/>
      </c>
    </row>
    <row r="223" spans="1:8" x14ac:dyDescent="0.45">
      <c r="A223" s="23" t="str">
        <f>IF(ISBLANK([1]PitScoutingInfo!A223),"",[1]PitScoutingInfo!A223)</f>
        <v/>
      </c>
      <c r="B223" s="23" t="str">
        <f>IF(ISBLANK([1]PitScoutingInfo!B223),"",[1]PitScoutingInfo!B223)</f>
        <v/>
      </c>
      <c r="C223" s="23" t="str">
        <f>IF(ISBLANK([1]PitScoutingInfo!J223),"",[1]PitScoutingInfo!J223)</f>
        <v/>
      </c>
      <c r="D223" s="23" t="str">
        <f>IF(ISBLANK([1]PitScoutingInfo!M223),"",[1]PitScoutingInfo!M223)</f>
        <v/>
      </c>
      <c r="E223" s="23" t="str">
        <f>IF(ISBLANK([1]PitScoutingInfo!N223),"",[1]PitScoutingInfo!N223)</f>
        <v/>
      </c>
      <c r="F223" s="23" t="str">
        <f>IF(ISBLANK([1]PitScoutingInfo!V223),"",[1]PitScoutingInfo!V223)</f>
        <v/>
      </c>
      <c r="G223" s="23" t="str">
        <f>IF(ISBLANK([1]PitScoutingInfo!W223),"",[1]PitScoutingInfo!W223)</f>
        <v/>
      </c>
      <c r="H223" s="23" t="str">
        <f>IF(ISBLANK([1]PitScoutingInfo!Z223),"",[1]PitScoutingInfo!Z223)</f>
        <v/>
      </c>
    </row>
    <row r="224" spans="1:8" x14ac:dyDescent="0.45">
      <c r="A224" s="23" t="str">
        <f>IF(ISBLANK([1]PitScoutingInfo!A224),"",[1]PitScoutingInfo!A224)</f>
        <v/>
      </c>
      <c r="B224" s="23" t="str">
        <f>IF(ISBLANK([1]PitScoutingInfo!B224),"",[1]PitScoutingInfo!B224)</f>
        <v/>
      </c>
      <c r="C224" s="23" t="str">
        <f>IF(ISBLANK([1]PitScoutingInfo!J224),"",[1]PitScoutingInfo!J224)</f>
        <v/>
      </c>
      <c r="D224" s="23" t="str">
        <f>IF(ISBLANK([1]PitScoutingInfo!M224),"",[1]PitScoutingInfo!M224)</f>
        <v/>
      </c>
      <c r="E224" s="23" t="str">
        <f>IF(ISBLANK([1]PitScoutingInfo!N224),"",[1]PitScoutingInfo!N224)</f>
        <v/>
      </c>
      <c r="F224" s="23" t="str">
        <f>IF(ISBLANK([1]PitScoutingInfo!V224),"",[1]PitScoutingInfo!V224)</f>
        <v/>
      </c>
      <c r="G224" s="23" t="str">
        <f>IF(ISBLANK([1]PitScoutingInfo!W224),"",[1]PitScoutingInfo!W224)</f>
        <v/>
      </c>
      <c r="H224" s="23" t="str">
        <f>IF(ISBLANK([1]PitScoutingInfo!Z224),"",[1]PitScoutingInfo!Z224)</f>
        <v/>
      </c>
    </row>
    <row r="225" spans="1:8" x14ac:dyDescent="0.45">
      <c r="A225" s="23" t="str">
        <f>IF(ISBLANK([1]PitScoutingInfo!A225),"",[1]PitScoutingInfo!A225)</f>
        <v/>
      </c>
      <c r="B225" s="23" t="str">
        <f>IF(ISBLANK([1]PitScoutingInfo!B225),"",[1]PitScoutingInfo!B225)</f>
        <v/>
      </c>
      <c r="C225" s="23" t="str">
        <f>IF(ISBLANK([1]PitScoutingInfo!J225),"",[1]PitScoutingInfo!J225)</f>
        <v/>
      </c>
      <c r="D225" s="23" t="str">
        <f>IF(ISBLANK([1]PitScoutingInfo!M225),"",[1]PitScoutingInfo!M225)</f>
        <v/>
      </c>
      <c r="E225" s="23" t="str">
        <f>IF(ISBLANK([1]PitScoutingInfo!N225),"",[1]PitScoutingInfo!N225)</f>
        <v/>
      </c>
      <c r="F225" s="23" t="str">
        <f>IF(ISBLANK([1]PitScoutingInfo!V225),"",[1]PitScoutingInfo!V225)</f>
        <v/>
      </c>
      <c r="G225" s="23" t="str">
        <f>IF(ISBLANK([1]PitScoutingInfo!W225),"",[1]PitScoutingInfo!W225)</f>
        <v/>
      </c>
      <c r="H225" s="23" t="str">
        <f>IF(ISBLANK([1]PitScoutingInfo!Z225),"",[1]PitScoutingInfo!Z225)</f>
        <v/>
      </c>
    </row>
    <row r="226" spans="1:8" x14ac:dyDescent="0.45">
      <c r="A226" s="23" t="str">
        <f>IF(ISBLANK([1]PitScoutingInfo!A226),"",[1]PitScoutingInfo!A226)</f>
        <v/>
      </c>
      <c r="B226" s="23" t="str">
        <f>IF(ISBLANK([1]PitScoutingInfo!B226),"",[1]PitScoutingInfo!B226)</f>
        <v/>
      </c>
      <c r="C226" s="23" t="str">
        <f>IF(ISBLANK([1]PitScoutingInfo!J226),"",[1]PitScoutingInfo!J226)</f>
        <v/>
      </c>
      <c r="D226" s="23" t="str">
        <f>IF(ISBLANK([1]PitScoutingInfo!M226),"",[1]PitScoutingInfo!M226)</f>
        <v/>
      </c>
      <c r="E226" s="23" t="str">
        <f>IF(ISBLANK([1]PitScoutingInfo!N226),"",[1]PitScoutingInfo!N226)</f>
        <v/>
      </c>
      <c r="F226" s="23" t="str">
        <f>IF(ISBLANK([1]PitScoutingInfo!V226),"",[1]PitScoutingInfo!V226)</f>
        <v/>
      </c>
      <c r="G226" s="23" t="str">
        <f>IF(ISBLANK([1]PitScoutingInfo!W226),"",[1]PitScoutingInfo!W226)</f>
        <v/>
      </c>
      <c r="H226" s="23" t="str">
        <f>IF(ISBLANK([1]PitScoutingInfo!Z226),"",[1]PitScoutingInfo!Z226)</f>
        <v/>
      </c>
    </row>
    <row r="227" spans="1:8" x14ac:dyDescent="0.45">
      <c r="A227" s="23" t="str">
        <f>IF(ISBLANK([1]PitScoutingInfo!A227),"",[1]PitScoutingInfo!A227)</f>
        <v/>
      </c>
      <c r="B227" s="23" t="str">
        <f>IF(ISBLANK([1]PitScoutingInfo!B227),"",[1]PitScoutingInfo!B227)</f>
        <v/>
      </c>
      <c r="C227" s="23" t="str">
        <f>IF(ISBLANK([1]PitScoutingInfo!J227),"",[1]PitScoutingInfo!J227)</f>
        <v/>
      </c>
      <c r="D227" s="23" t="str">
        <f>IF(ISBLANK([1]PitScoutingInfo!M227),"",[1]PitScoutingInfo!M227)</f>
        <v/>
      </c>
      <c r="E227" s="23" t="str">
        <f>IF(ISBLANK([1]PitScoutingInfo!N227),"",[1]PitScoutingInfo!N227)</f>
        <v/>
      </c>
      <c r="F227" s="23" t="str">
        <f>IF(ISBLANK([1]PitScoutingInfo!V227),"",[1]PitScoutingInfo!V227)</f>
        <v/>
      </c>
      <c r="G227" s="23" t="str">
        <f>IF(ISBLANK([1]PitScoutingInfo!W227),"",[1]PitScoutingInfo!W227)</f>
        <v/>
      </c>
      <c r="H227" s="23" t="str">
        <f>IF(ISBLANK([1]PitScoutingInfo!Z227),"",[1]PitScoutingInfo!Z227)</f>
        <v/>
      </c>
    </row>
    <row r="228" spans="1:8" x14ac:dyDescent="0.45">
      <c r="A228" s="23" t="str">
        <f>IF(ISBLANK([1]PitScoutingInfo!A228),"",[1]PitScoutingInfo!A228)</f>
        <v/>
      </c>
      <c r="B228" s="23" t="str">
        <f>IF(ISBLANK([1]PitScoutingInfo!B228),"",[1]PitScoutingInfo!B228)</f>
        <v/>
      </c>
      <c r="C228" s="23" t="str">
        <f>IF(ISBLANK([1]PitScoutingInfo!J228),"",[1]PitScoutingInfo!J228)</f>
        <v/>
      </c>
      <c r="D228" s="23" t="str">
        <f>IF(ISBLANK([1]PitScoutingInfo!M228),"",[1]PitScoutingInfo!M228)</f>
        <v/>
      </c>
      <c r="E228" s="23" t="str">
        <f>IF(ISBLANK([1]PitScoutingInfo!N228),"",[1]PitScoutingInfo!N228)</f>
        <v/>
      </c>
      <c r="F228" s="23" t="str">
        <f>IF(ISBLANK([1]PitScoutingInfo!V228),"",[1]PitScoutingInfo!V228)</f>
        <v/>
      </c>
      <c r="G228" s="23" t="str">
        <f>IF(ISBLANK([1]PitScoutingInfo!W228),"",[1]PitScoutingInfo!W228)</f>
        <v/>
      </c>
      <c r="H228" s="23" t="str">
        <f>IF(ISBLANK([1]PitScoutingInfo!Z228),"",[1]PitScoutingInfo!Z228)</f>
        <v/>
      </c>
    </row>
    <row r="229" spans="1:8" x14ac:dyDescent="0.45">
      <c r="A229" s="23" t="str">
        <f>IF(ISBLANK([1]PitScoutingInfo!A229),"",[1]PitScoutingInfo!A229)</f>
        <v/>
      </c>
      <c r="B229" s="23" t="str">
        <f>IF(ISBLANK([1]PitScoutingInfo!B229),"",[1]PitScoutingInfo!B229)</f>
        <v/>
      </c>
      <c r="C229" s="23" t="str">
        <f>IF(ISBLANK([1]PitScoutingInfo!J229),"",[1]PitScoutingInfo!J229)</f>
        <v/>
      </c>
      <c r="D229" s="23" t="str">
        <f>IF(ISBLANK([1]PitScoutingInfo!M229),"",[1]PitScoutingInfo!M229)</f>
        <v/>
      </c>
      <c r="E229" s="23" t="str">
        <f>IF(ISBLANK([1]PitScoutingInfo!N229),"",[1]PitScoutingInfo!N229)</f>
        <v/>
      </c>
      <c r="F229" s="23" t="str">
        <f>IF(ISBLANK([1]PitScoutingInfo!V229),"",[1]PitScoutingInfo!V229)</f>
        <v/>
      </c>
      <c r="G229" s="23" t="str">
        <f>IF(ISBLANK([1]PitScoutingInfo!W229),"",[1]PitScoutingInfo!W229)</f>
        <v/>
      </c>
      <c r="H229" s="23" t="str">
        <f>IF(ISBLANK([1]PitScoutingInfo!Z229),"",[1]PitScoutingInfo!Z229)</f>
        <v/>
      </c>
    </row>
    <row r="230" spans="1:8" x14ac:dyDescent="0.45">
      <c r="A230" s="23" t="str">
        <f>IF(ISBLANK([1]PitScoutingInfo!A230),"",[1]PitScoutingInfo!A230)</f>
        <v/>
      </c>
      <c r="B230" s="23" t="str">
        <f>IF(ISBLANK([1]PitScoutingInfo!B230),"",[1]PitScoutingInfo!B230)</f>
        <v/>
      </c>
      <c r="C230" s="23" t="str">
        <f>IF(ISBLANK([1]PitScoutingInfo!J230),"",[1]PitScoutingInfo!J230)</f>
        <v/>
      </c>
      <c r="D230" s="23" t="str">
        <f>IF(ISBLANK([1]PitScoutingInfo!M230),"",[1]PitScoutingInfo!M230)</f>
        <v/>
      </c>
      <c r="E230" s="23" t="str">
        <f>IF(ISBLANK([1]PitScoutingInfo!N230),"",[1]PitScoutingInfo!N230)</f>
        <v/>
      </c>
      <c r="F230" s="23" t="str">
        <f>IF(ISBLANK([1]PitScoutingInfo!V230),"",[1]PitScoutingInfo!V230)</f>
        <v/>
      </c>
      <c r="G230" s="23" t="str">
        <f>IF(ISBLANK([1]PitScoutingInfo!W230),"",[1]PitScoutingInfo!W230)</f>
        <v/>
      </c>
      <c r="H230" s="23" t="str">
        <f>IF(ISBLANK([1]PitScoutingInfo!Z230),"",[1]PitScoutingInfo!Z230)</f>
        <v/>
      </c>
    </row>
    <row r="231" spans="1:8" x14ac:dyDescent="0.45">
      <c r="A231" s="23" t="str">
        <f>IF(ISBLANK([1]PitScoutingInfo!A231),"",[1]PitScoutingInfo!A231)</f>
        <v/>
      </c>
      <c r="B231" s="23" t="str">
        <f>IF(ISBLANK([1]PitScoutingInfo!B231),"",[1]PitScoutingInfo!B231)</f>
        <v/>
      </c>
      <c r="C231" s="23" t="str">
        <f>IF(ISBLANK([1]PitScoutingInfo!J231),"",[1]PitScoutingInfo!J231)</f>
        <v/>
      </c>
      <c r="D231" s="23" t="str">
        <f>IF(ISBLANK([1]PitScoutingInfo!M231),"",[1]PitScoutingInfo!M231)</f>
        <v/>
      </c>
      <c r="E231" s="23" t="str">
        <f>IF(ISBLANK([1]PitScoutingInfo!N231),"",[1]PitScoutingInfo!N231)</f>
        <v/>
      </c>
      <c r="F231" s="23" t="str">
        <f>IF(ISBLANK([1]PitScoutingInfo!V231),"",[1]PitScoutingInfo!V231)</f>
        <v/>
      </c>
      <c r="G231" s="23" t="str">
        <f>IF(ISBLANK([1]PitScoutingInfo!W231),"",[1]PitScoutingInfo!W231)</f>
        <v/>
      </c>
      <c r="H231" s="23" t="str">
        <f>IF(ISBLANK([1]PitScoutingInfo!Z231),"",[1]PitScoutingInfo!Z231)</f>
        <v/>
      </c>
    </row>
    <row r="232" spans="1:8" x14ac:dyDescent="0.45">
      <c r="A232" s="23" t="str">
        <f>IF(ISBLANK([1]PitScoutingInfo!A232),"",[1]PitScoutingInfo!A232)</f>
        <v/>
      </c>
      <c r="B232" s="23" t="str">
        <f>IF(ISBLANK([1]PitScoutingInfo!B232),"",[1]PitScoutingInfo!B232)</f>
        <v/>
      </c>
      <c r="C232" s="23" t="str">
        <f>IF(ISBLANK([1]PitScoutingInfo!J232),"",[1]PitScoutingInfo!J232)</f>
        <v/>
      </c>
      <c r="D232" s="23" t="str">
        <f>IF(ISBLANK([1]PitScoutingInfo!M232),"",[1]PitScoutingInfo!M232)</f>
        <v/>
      </c>
      <c r="E232" s="23" t="str">
        <f>IF(ISBLANK([1]PitScoutingInfo!N232),"",[1]PitScoutingInfo!N232)</f>
        <v/>
      </c>
      <c r="F232" s="23" t="str">
        <f>IF(ISBLANK([1]PitScoutingInfo!V232),"",[1]PitScoutingInfo!V232)</f>
        <v/>
      </c>
      <c r="G232" s="23" t="str">
        <f>IF(ISBLANK([1]PitScoutingInfo!W232),"",[1]PitScoutingInfo!W232)</f>
        <v/>
      </c>
      <c r="H232" s="23" t="str">
        <f>IF(ISBLANK([1]PitScoutingInfo!Z232),"",[1]PitScoutingInfo!Z232)</f>
        <v/>
      </c>
    </row>
    <row r="233" spans="1:8" x14ac:dyDescent="0.45">
      <c r="A233" s="23" t="str">
        <f>IF(ISBLANK([1]PitScoutingInfo!A233),"",[1]PitScoutingInfo!A233)</f>
        <v/>
      </c>
      <c r="B233" s="23" t="str">
        <f>IF(ISBLANK([1]PitScoutingInfo!B233),"",[1]PitScoutingInfo!B233)</f>
        <v/>
      </c>
      <c r="C233" s="23" t="str">
        <f>IF(ISBLANK([1]PitScoutingInfo!J233),"",[1]PitScoutingInfo!J233)</f>
        <v/>
      </c>
      <c r="D233" s="23" t="str">
        <f>IF(ISBLANK([1]PitScoutingInfo!M233),"",[1]PitScoutingInfo!M233)</f>
        <v/>
      </c>
      <c r="E233" s="23" t="str">
        <f>IF(ISBLANK([1]PitScoutingInfo!N233),"",[1]PitScoutingInfo!N233)</f>
        <v/>
      </c>
      <c r="F233" s="23" t="str">
        <f>IF(ISBLANK([1]PitScoutingInfo!V233),"",[1]PitScoutingInfo!V233)</f>
        <v/>
      </c>
      <c r="G233" s="23" t="str">
        <f>IF(ISBLANK([1]PitScoutingInfo!W233),"",[1]PitScoutingInfo!W233)</f>
        <v/>
      </c>
      <c r="H233" s="23" t="str">
        <f>IF(ISBLANK([1]PitScoutingInfo!Z233),"",[1]PitScoutingInfo!Z233)</f>
        <v/>
      </c>
    </row>
    <row r="234" spans="1:8" x14ac:dyDescent="0.45">
      <c r="A234" s="23" t="str">
        <f>IF(ISBLANK([1]PitScoutingInfo!A234),"",[1]PitScoutingInfo!A234)</f>
        <v/>
      </c>
      <c r="B234" s="23" t="str">
        <f>IF(ISBLANK([1]PitScoutingInfo!B234),"",[1]PitScoutingInfo!B234)</f>
        <v/>
      </c>
      <c r="C234" s="23" t="str">
        <f>IF(ISBLANK([1]PitScoutingInfo!J234),"",[1]PitScoutingInfo!J234)</f>
        <v/>
      </c>
      <c r="D234" s="23" t="str">
        <f>IF(ISBLANK([1]PitScoutingInfo!M234),"",[1]PitScoutingInfo!M234)</f>
        <v/>
      </c>
      <c r="E234" s="23" t="str">
        <f>IF(ISBLANK([1]PitScoutingInfo!N234),"",[1]PitScoutingInfo!N234)</f>
        <v/>
      </c>
      <c r="F234" s="23" t="str">
        <f>IF(ISBLANK([1]PitScoutingInfo!V234),"",[1]PitScoutingInfo!V234)</f>
        <v/>
      </c>
      <c r="G234" s="23" t="str">
        <f>IF(ISBLANK([1]PitScoutingInfo!W234),"",[1]PitScoutingInfo!W234)</f>
        <v/>
      </c>
      <c r="H234" s="23" t="str">
        <f>IF(ISBLANK([1]PitScoutingInfo!Z234),"",[1]PitScoutingInfo!Z234)</f>
        <v/>
      </c>
    </row>
    <row r="235" spans="1:8" x14ac:dyDescent="0.45">
      <c r="A235" s="23" t="str">
        <f>IF(ISBLANK([1]PitScoutingInfo!A235),"",[1]PitScoutingInfo!A235)</f>
        <v/>
      </c>
      <c r="B235" s="23" t="str">
        <f>IF(ISBLANK([1]PitScoutingInfo!B235),"",[1]PitScoutingInfo!B235)</f>
        <v/>
      </c>
      <c r="C235" s="23" t="str">
        <f>IF(ISBLANK([1]PitScoutingInfo!J235),"",[1]PitScoutingInfo!J235)</f>
        <v/>
      </c>
      <c r="D235" s="23" t="str">
        <f>IF(ISBLANK([1]PitScoutingInfo!M235),"",[1]PitScoutingInfo!M235)</f>
        <v/>
      </c>
      <c r="E235" s="23" t="str">
        <f>IF(ISBLANK([1]PitScoutingInfo!N235),"",[1]PitScoutingInfo!N235)</f>
        <v/>
      </c>
      <c r="F235" s="23" t="str">
        <f>IF(ISBLANK([1]PitScoutingInfo!V235),"",[1]PitScoutingInfo!V235)</f>
        <v/>
      </c>
      <c r="G235" s="23" t="str">
        <f>IF(ISBLANK([1]PitScoutingInfo!W235),"",[1]PitScoutingInfo!W235)</f>
        <v/>
      </c>
      <c r="H235" s="23" t="str">
        <f>IF(ISBLANK([1]PitScoutingInfo!Z235),"",[1]PitScoutingInfo!Z235)</f>
        <v/>
      </c>
    </row>
    <row r="236" spans="1:8" x14ac:dyDescent="0.45">
      <c r="A236" s="23" t="str">
        <f>IF(ISBLANK([1]PitScoutingInfo!A236),"",[1]PitScoutingInfo!A236)</f>
        <v/>
      </c>
      <c r="B236" s="23" t="str">
        <f>IF(ISBLANK([1]PitScoutingInfo!B236),"",[1]PitScoutingInfo!B236)</f>
        <v/>
      </c>
      <c r="C236" s="23" t="str">
        <f>IF(ISBLANK([1]PitScoutingInfo!J236),"",[1]PitScoutingInfo!J236)</f>
        <v/>
      </c>
      <c r="D236" s="23" t="str">
        <f>IF(ISBLANK([1]PitScoutingInfo!M236),"",[1]PitScoutingInfo!M236)</f>
        <v/>
      </c>
      <c r="E236" s="23" t="str">
        <f>IF(ISBLANK([1]PitScoutingInfo!N236),"",[1]PitScoutingInfo!N236)</f>
        <v/>
      </c>
      <c r="F236" s="23" t="str">
        <f>IF(ISBLANK([1]PitScoutingInfo!V236),"",[1]PitScoutingInfo!V236)</f>
        <v/>
      </c>
      <c r="G236" s="23" t="str">
        <f>IF(ISBLANK([1]PitScoutingInfo!W236),"",[1]PitScoutingInfo!W236)</f>
        <v/>
      </c>
      <c r="H236" s="23" t="str">
        <f>IF(ISBLANK([1]PitScoutingInfo!Z236),"",[1]PitScoutingInfo!Z236)</f>
        <v/>
      </c>
    </row>
    <row r="237" spans="1:8" x14ac:dyDescent="0.45">
      <c r="A237" s="23" t="str">
        <f>IF(ISBLANK([1]PitScoutingInfo!A237),"",[1]PitScoutingInfo!A237)</f>
        <v/>
      </c>
      <c r="B237" s="23" t="str">
        <f>IF(ISBLANK([1]PitScoutingInfo!B237),"",[1]PitScoutingInfo!B237)</f>
        <v/>
      </c>
      <c r="C237" s="23" t="str">
        <f>IF(ISBLANK([1]PitScoutingInfo!J237),"",[1]PitScoutingInfo!J237)</f>
        <v/>
      </c>
      <c r="D237" s="23" t="str">
        <f>IF(ISBLANK([1]PitScoutingInfo!M237),"",[1]PitScoutingInfo!M237)</f>
        <v/>
      </c>
      <c r="E237" s="23" t="str">
        <f>IF(ISBLANK([1]PitScoutingInfo!N237),"",[1]PitScoutingInfo!N237)</f>
        <v/>
      </c>
      <c r="F237" s="23" t="str">
        <f>IF(ISBLANK([1]PitScoutingInfo!V237),"",[1]PitScoutingInfo!V237)</f>
        <v/>
      </c>
      <c r="G237" s="23" t="str">
        <f>IF(ISBLANK([1]PitScoutingInfo!W237),"",[1]PitScoutingInfo!W237)</f>
        <v/>
      </c>
      <c r="H237" s="23" t="str">
        <f>IF(ISBLANK([1]PitScoutingInfo!Z237),"",[1]PitScoutingInfo!Z237)</f>
        <v/>
      </c>
    </row>
    <row r="238" spans="1:8" x14ac:dyDescent="0.45">
      <c r="A238" s="23" t="str">
        <f>IF(ISBLANK([1]PitScoutingInfo!A238),"",[1]PitScoutingInfo!A238)</f>
        <v/>
      </c>
      <c r="B238" s="23" t="str">
        <f>IF(ISBLANK([1]PitScoutingInfo!B238),"",[1]PitScoutingInfo!B238)</f>
        <v/>
      </c>
      <c r="C238" s="23" t="str">
        <f>IF(ISBLANK([1]PitScoutingInfo!J238),"",[1]PitScoutingInfo!J238)</f>
        <v/>
      </c>
      <c r="D238" s="23" t="str">
        <f>IF(ISBLANK([1]PitScoutingInfo!M238),"",[1]PitScoutingInfo!M238)</f>
        <v/>
      </c>
      <c r="E238" s="23" t="str">
        <f>IF(ISBLANK([1]PitScoutingInfo!N238),"",[1]PitScoutingInfo!N238)</f>
        <v/>
      </c>
      <c r="F238" s="23" t="str">
        <f>IF(ISBLANK([1]PitScoutingInfo!V238),"",[1]PitScoutingInfo!V238)</f>
        <v/>
      </c>
      <c r="G238" s="23" t="str">
        <f>IF(ISBLANK([1]PitScoutingInfo!W238),"",[1]PitScoutingInfo!W238)</f>
        <v/>
      </c>
      <c r="H238" s="23" t="str">
        <f>IF(ISBLANK([1]PitScoutingInfo!Z238),"",[1]PitScoutingInfo!Z238)</f>
        <v/>
      </c>
    </row>
    <row r="239" spans="1:8" x14ac:dyDescent="0.45">
      <c r="A239" s="23" t="str">
        <f>IF(ISBLANK([1]PitScoutingInfo!A239),"",[1]PitScoutingInfo!A239)</f>
        <v/>
      </c>
      <c r="B239" s="23" t="str">
        <f>IF(ISBLANK([1]PitScoutingInfo!B239),"",[1]PitScoutingInfo!B239)</f>
        <v/>
      </c>
      <c r="C239" s="23" t="str">
        <f>IF(ISBLANK([1]PitScoutingInfo!J239),"",[1]PitScoutingInfo!J239)</f>
        <v/>
      </c>
      <c r="D239" s="23" t="str">
        <f>IF(ISBLANK([1]PitScoutingInfo!M239),"",[1]PitScoutingInfo!M239)</f>
        <v/>
      </c>
      <c r="E239" s="23" t="str">
        <f>IF(ISBLANK([1]PitScoutingInfo!N239),"",[1]PitScoutingInfo!N239)</f>
        <v/>
      </c>
      <c r="F239" s="23" t="str">
        <f>IF(ISBLANK([1]PitScoutingInfo!V239),"",[1]PitScoutingInfo!V239)</f>
        <v/>
      </c>
      <c r="G239" s="23" t="str">
        <f>IF(ISBLANK([1]PitScoutingInfo!W239),"",[1]PitScoutingInfo!W239)</f>
        <v/>
      </c>
      <c r="H239" s="23" t="str">
        <f>IF(ISBLANK([1]PitScoutingInfo!Z239),"",[1]PitScoutingInfo!Z239)</f>
        <v/>
      </c>
    </row>
    <row r="240" spans="1:8" x14ac:dyDescent="0.45">
      <c r="A240" s="23" t="str">
        <f>IF(ISBLANK([1]PitScoutingInfo!A240),"",[1]PitScoutingInfo!A240)</f>
        <v/>
      </c>
      <c r="B240" s="23" t="str">
        <f>IF(ISBLANK([1]PitScoutingInfo!B240),"",[1]PitScoutingInfo!B240)</f>
        <v/>
      </c>
      <c r="C240" s="23" t="str">
        <f>IF(ISBLANK([1]PitScoutingInfo!J240),"",[1]PitScoutingInfo!J240)</f>
        <v/>
      </c>
      <c r="D240" s="23" t="str">
        <f>IF(ISBLANK([1]PitScoutingInfo!M240),"",[1]PitScoutingInfo!M240)</f>
        <v/>
      </c>
      <c r="E240" s="23" t="str">
        <f>IF(ISBLANK([1]PitScoutingInfo!N240),"",[1]PitScoutingInfo!N240)</f>
        <v/>
      </c>
      <c r="F240" s="23" t="str">
        <f>IF(ISBLANK([1]PitScoutingInfo!V240),"",[1]PitScoutingInfo!V240)</f>
        <v/>
      </c>
      <c r="G240" s="23" t="str">
        <f>IF(ISBLANK([1]PitScoutingInfo!W240),"",[1]PitScoutingInfo!W240)</f>
        <v/>
      </c>
      <c r="H240" s="23" t="str">
        <f>IF(ISBLANK([1]PitScoutingInfo!Z240),"",[1]PitScoutingInfo!Z240)</f>
        <v/>
      </c>
    </row>
    <row r="241" spans="1:8" x14ac:dyDescent="0.45">
      <c r="A241" s="23" t="str">
        <f>IF(ISBLANK([1]PitScoutingInfo!A241),"",[1]PitScoutingInfo!A241)</f>
        <v/>
      </c>
      <c r="B241" s="23" t="str">
        <f>IF(ISBLANK([1]PitScoutingInfo!B241),"",[1]PitScoutingInfo!B241)</f>
        <v/>
      </c>
      <c r="C241" s="23" t="str">
        <f>IF(ISBLANK([1]PitScoutingInfo!J241),"",[1]PitScoutingInfo!J241)</f>
        <v/>
      </c>
      <c r="D241" s="23" t="str">
        <f>IF(ISBLANK([1]PitScoutingInfo!M241),"",[1]PitScoutingInfo!M241)</f>
        <v/>
      </c>
      <c r="E241" s="23" t="str">
        <f>IF(ISBLANK([1]PitScoutingInfo!N241),"",[1]PitScoutingInfo!N241)</f>
        <v/>
      </c>
      <c r="F241" s="23" t="str">
        <f>IF(ISBLANK([1]PitScoutingInfo!V241),"",[1]PitScoutingInfo!V241)</f>
        <v/>
      </c>
      <c r="G241" s="23" t="str">
        <f>IF(ISBLANK([1]PitScoutingInfo!W241),"",[1]PitScoutingInfo!W241)</f>
        <v/>
      </c>
      <c r="H241" s="23" t="str">
        <f>IF(ISBLANK([1]PitScoutingInfo!Z241),"",[1]PitScoutingInfo!Z241)</f>
        <v/>
      </c>
    </row>
    <row r="242" spans="1:8" x14ac:dyDescent="0.45">
      <c r="A242" s="23" t="str">
        <f>IF(ISBLANK([1]PitScoutingInfo!A242),"",[1]PitScoutingInfo!A242)</f>
        <v/>
      </c>
      <c r="B242" s="23" t="str">
        <f>IF(ISBLANK([1]PitScoutingInfo!B242),"",[1]PitScoutingInfo!B242)</f>
        <v/>
      </c>
      <c r="C242" s="23" t="str">
        <f>IF(ISBLANK([1]PitScoutingInfo!J242),"",[1]PitScoutingInfo!J242)</f>
        <v/>
      </c>
      <c r="D242" s="23" t="str">
        <f>IF(ISBLANK([1]PitScoutingInfo!M242),"",[1]PitScoutingInfo!M242)</f>
        <v/>
      </c>
      <c r="E242" s="23" t="str">
        <f>IF(ISBLANK([1]PitScoutingInfo!N242),"",[1]PitScoutingInfo!N242)</f>
        <v/>
      </c>
      <c r="F242" s="23" t="str">
        <f>IF(ISBLANK([1]PitScoutingInfo!V242),"",[1]PitScoutingInfo!V242)</f>
        <v/>
      </c>
      <c r="G242" s="23" t="str">
        <f>IF(ISBLANK([1]PitScoutingInfo!W242),"",[1]PitScoutingInfo!W242)</f>
        <v/>
      </c>
      <c r="H242" s="23" t="str">
        <f>IF(ISBLANK([1]PitScoutingInfo!Z242),"",[1]PitScoutingInfo!Z242)</f>
        <v/>
      </c>
    </row>
    <row r="243" spans="1:8" x14ac:dyDescent="0.45">
      <c r="A243" s="23" t="str">
        <f>IF(ISBLANK([1]PitScoutingInfo!A243),"",[1]PitScoutingInfo!A243)</f>
        <v/>
      </c>
      <c r="B243" s="23" t="str">
        <f>IF(ISBLANK([1]PitScoutingInfo!B243),"",[1]PitScoutingInfo!B243)</f>
        <v/>
      </c>
      <c r="C243" s="23" t="str">
        <f>IF(ISBLANK([1]PitScoutingInfo!J243),"",[1]PitScoutingInfo!J243)</f>
        <v/>
      </c>
      <c r="D243" s="23" t="str">
        <f>IF(ISBLANK([1]PitScoutingInfo!M243),"",[1]PitScoutingInfo!M243)</f>
        <v/>
      </c>
      <c r="E243" s="23" t="str">
        <f>IF(ISBLANK([1]PitScoutingInfo!N243),"",[1]PitScoutingInfo!N243)</f>
        <v/>
      </c>
      <c r="F243" s="23" t="str">
        <f>IF(ISBLANK([1]PitScoutingInfo!V243),"",[1]PitScoutingInfo!V243)</f>
        <v/>
      </c>
      <c r="G243" s="23" t="str">
        <f>IF(ISBLANK([1]PitScoutingInfo!W243),"",[1]PitScoutingInfo!W243)</f>
        <v/>
      </c>
      <c r="H243" s="23" t="str">
        <f>IF(ISBLANK([1]PitScoutingInfo!Z243),"",[1]PitScoutingInfo!Z243)</f>
        <v/>
      </c>
    </row>
    <row r="244" spans="1:8" x14ac:dyDescent="0.45">
      <c r="A244" s="23" t="str">
        <f>IF(ISBLANK([1]PitScoutingInfo!A244),"",[1]PitScoutingInfo!A244)</f>
        <v/>
      </c>
      <c r="B244" s="23" t="str">
        <f>IF(ISBLANK([1]PitScoutingInfo!B244),"",[1]PitScoutingInfo!B244)</f>
        <v/>
      </c>
      <c r="C244" s="23" t="str">
        <f>IF(ISBLANK([1]PitScoutingInfo!J244),"",[1]PitScoutingInfo!J244)</f>
        <v/>
      </c>
      <c r="D244" s="23" t="str">
        <f>IF(ISBLANK([1]PitScoutingInfo!M244),"",[1]PitScoutingInfo!M244)</f>
        <v/>
      </c>
      <c r="E244" s="23" t="str">
        <f>IF(ISBLANK([1]PitScoutingInfo!N244),"",[1]PitScoutingInfo!N244)</f>
        <v/>
      </c>
      <c r="F244" s="23" t="str">
        <f>IF(ISBLANK([1]PitScoutingInfo!V244),"",[1]PitScoutingInfo!V244)</f>
        <v/>
      </c>
      <c r="G244" s="23" t="str">
        <f>IF(ISBLANK([1]PitScoutingInfo!W244),"",[1]PitScoutingInfo!W244)</f>
        <v/>
      </c>
      <c r="H244" s="23" t="str">
        <f>IF(ISBLANK([1]PitScoutingInfo!Z244),"",[1]PitScoutingInfo!Z244)</f>
        <v/>
      </c>
    </row>
    <row r="245" spans="1:8" x14ac:dyDescent="0.45">
      <c r="A245" s="23" t="str">
        <f>IF(ISBLANK([1]PitScoutingInfo!A245),"",[1]PitScoutingInfo!A245)</f>
        <v/>
      </c>
      <c r="B245" s="23" t="str">
        <f>IF(ISBLANK([1]PitScoutingInfo!B245),"",[1]PitScoutingInfo!B245)</f>
        <v/>
      </c>
      <c r="C245" s="23" t="str">
        <f>IF(ISBLANK([1]PitScoutingInfo!J245),"",[1]PitScoutingInfo!J245)</f>
        <v/>
      </c>
      <c r="D245" s="23" t="str">
        <f>IF(ISBLANK([1]PitScoutingInfo!M245),"",[1]PitScoutingInfo!M245)</f>
        <v/>
      </c>
      <c r="E245" s="23" t="str">
        <f>IF(ISBLANK([1]PitScoutingInfo!N245),"",[1]PitScoutingInfo!N245)</f>
        <v/>
      </c>
      <c r="F245" s="23" t="str">
        <f>IF(ISBLANK([1]PitScoutingInfo!V245),"",[1]PitScoutingInfo!V245)</f>
        <v/>
      </c>
      <c r="G245" s="23" t="str">
        <f>IF(ISBLANK([1]PitScoutingInfo!W245),"",[1]PitScoutingInfo!W245)</f>
        <v/>
      </c>
      <c r="H245" s="23" t="str">
        <f>IF(ISBLANK([1]PitScoutingInfo!Z245),"",[1]PitScoutingInfo!Z245)</f>
        <v/>
      </c>
    </row>
    <row r="246" spans="1:8" x14ac:dyDescent="0.45">
      <c r="A246" s="23" t="str">
        <f>IF(ISBLANK([1]PitScoutingInfo!A246),"",[1]PitScoutingInfo!A246)</f>
        <v/>
      </c>
      <c r="B246" s="23" t="str">
        <f>IF(ISBLANK([1]PitScoutingInfo!B246),"",[1]PitScoutingInfo!B246)</f>
        <v/>
      </c>
      <c r="C246" s="23" t="str">
        <f>IF(ISBLANK([1]PitScoutingInfo!J246),"",[1]PitScoutingInfo!J246)</f>
        <v/>
      </c>
      <c r="D246" s="23" t="str">
        <f>IF(ISBLANK([1]PitScoutingInfo!M246),"",[1]PitScoutingInfo!M246)</f>
        <v/>
      </c>
      <c r="E246" s="23" t="str">
        <f>IF(ISBLANK([1]PitScoutingInfo!N246),"",[1]PitScoutingInfo!N246)</f>
        <v/>
      </c>
      <c r="F246" s="23" t="str">
        <f>IF(ISBLANK([1]PitScoutingInfo!V246),"",[1]PitScoutingInfo!V246)</f>
        <v/>
      </c>
      <c r="G246" s="23" t="str">
        <f>IF(ISBLANK([1]PitScoutingInfo!W246),"",[1]PitScoutingInfo!W246)</f>
        <v/>
      </c>
      <c r="H246" s="23" t="str">
        <f>IF(ISBLANK([1]PitScoutingInfo!Z246),"",[1]PitScoutingInfo!Z246)</f>
        <v/>
      </c>
    </row>
    <row r="247" spans="1:8" x14ac:dyDescent="0.45">
      <c r="A247" s="23" t="str">
        <f>IF(ISBLANK([1]PitScoutingInfo!A247),"",[1]PitScoutingInfo!A247)</f>
        <v/>
      </c>
      <c r="B247" s="23" t="str">
        <f>IF(ISBLANK([1]PitScoutingInfo!B247),"",[1]PitScoutingInfo!B247)</f>
        <v/>
      </c>
      <c r="C247" s="23" t="str">
        <f>IF(ISBLANK([1]PitScoutingInfo!J247),"",[1]PitScoutingInfo!J247)</f>
        <v/>
      </c>
      <c r="D247" s="23" t="str">
        <f>IF(ISBLANK([1]PitScoutingInfo!M247),"",[1]PitScoutingInfo!M247)</f>
        <v/>
      </c>
      <c r="E247" s="23" t="str">
        <f>IF(ISBLANK([1]PitScoutingInfo!N247),"",[1]PitScoutingInfo!N247)</f>
        <v/>
      </c>
      <c r="F247" s="23" t="str">
        <f>IF(ISBLANK([1]PitScoutingInfo!V247),"",[1]PitScoutingInfo!V247)</f>
        <v/>
      </c>
      <c r="G247" s="23" t="str">
        <f>IF(ISBLANK([1]PitScoutingInfo!W247),"",[1]PitScoutingInfo!W247)</f>
        <v/>
      </c>
      <c r="H247" s="23" t="str">
        <f>IF(ISBLANK([1]PitScoutingInfo!Z247),"",[1]PitScoutingInfo!Z247)</f>
        <v/>
      </c>
    </row>
    <row r="248" spans="1:8" x14ac:dyDescent="0.45">
      <c r="A248" s="23" t="str">
        <f>IF(ISBLANK([1]PitScoutingInfo!A248),"",[1]PitScoutingInfo!A248)</f>
        <v/>
      </c>
      <c r="B248" s="23" t="str">
        <f>IF(ISBLANK([1]PitScoutingInfo!B248),"",[1]PitScoutingInfo!B248)</f>
        <v/>
      </c>
      <c r="C248" s="23" t="str">
        <f>IF(ISBLANK([1]PitScoutingInfo!J248),"",[1]PitScoutingInfo!J248)</f>
        <v/>
      </c>
      <c r="D248" s="23" t="str">
        <f>IF(ISBLANK([1]PitScoutingInfo!M248),"",[1]PitScoutingInfo!M248)</f>
        <v/>
      </c>
      <c r="E248" s="23" t="str">
        <f>IF(ISBLANK([1]PitScoutingInfo!N248),"",[1]PitScoutingInfo!N248)</f>
        <v/>
      </c>
      <c r="F248" s="23" t="str">
        <f>IF(ISBLANK([1]PitScoutingInfo!V248),"",[1]PitScoutingInfo!V248)</f>
        <v/>
      </c>
      <c r="G248" s="23" t="str">
        <f>IF(ISBLANK([1]PitScoutingInfo!W248),"",[1]PitScoutingInfo!W248)</f>
        <v/>
      </c>
      <c r="H248" s="23" t="str">
        <f>IF(ISBLANK([1]PitScoutingInfo!Z248),"",[1]PitScoutingInfo!Z248)</f>
        <v/>
      </c>
    </row>
    <row r="249" spans="1:8" x14ac:dyDescent="0.45">
      <c r="A249" s="23" t="str">
        <f>IF(ISBLANK([1]PitScoutingInfo!A249),"",[1]PitScoutingInfo!A249)</f>
        <v/>
      </c>
      <c r="B249" s="23" t="str">
        <f>IF(ISBLANK([1]PitScoutingInfo!B249),"",[1]PitScoutingInfo!B249)</f>
        <v/>
      </c>
      <c r="C249" s="23" t="str">
        <f>IF(ISBLANK([1]PitScoutingInfo!J249),"",[1]PitScoutingInfo!J249)</f>
        <v/>
      </c>
      <c r="D249" s="23" t="str">
        <f>IF(ISBLANK([1]PitScoutingInfo!M249),"",[1]PitScoutingInfo!M249)</f>
        <v/>
      </c>
      <c r="E249" s="23" t="str">
        <f>IF(ISBLANK([1]PitScoutingInfo!N249),"",[1]PitScoutingInfo!N249)</f>
        <v/>
      </c>
      <c r="F249" s="23" t="str">
        <f>IF(ISBLANK([1]PitScoutingInfo!V249),"",[1]PitScoutingInfo!V249)</f>
        <v/>
      </c>
      <c r="G249" s="23" t="str">
        <f>IF(ISBLANK([1]PitScoutingInfo!W249),"",[1]PitScoutingInfo!W249)</f>
        <v/>
      </c>
      <c r="H249" s="23" t="str">
        <f>IF(ISBLANK([1]PitScoutingInfo!Z249),"",[1]PitScoutingInfo!Z249)</f>
        <v/>
      </c>
    </row>
    <row r="250" spans="1:8" x14ac:dyDescent="0.45">
      <c r="A250" s="23" t="str">
        <f>IF(ISBLANK([1]PitScoutingInfo!A250),"",[1]PitScoutingInfo!A250)</f>
        <v/>
      </c>
      <c r="B250" s="23" t="str">
        <f>IF(ISBLANK([1]PitScoutingInfo!B250),"",[1]PitScoutingInfo!B250)</f>
        <v/>
      </c>
      <c r="C250" s="23" t="str">
        <f>IF(ISBLANK([1]PitScoutingInfo!J250),"",[1]PitScoutingInfo!J250)</f>
        <v/>
      </c>
      <c r="D250" s="23" t="str">
        <f>IF(ISBLANK([1]PitScoutingInfo!M250),"",[1]PitScoutingInfo!M250)</f>
        <v/>
      </c>
      <c r="E250" s="23" t="str">
        <f>IF(ISBLANK([1]PitScoutingInfo!N250),"",[1]PitScoutingInfo!N250)</f>
        <v/>
      </c>
      <c r="F250" s="23" t="str">
        <f>IF(ISBLANK([1]PitScoutingInfo!V250),"",[1]PitScoutingInfo!V250)</f>
        <v/>
      </c>
      <c r="G250" s="23" t="str">
        <f>IF(ISBLANK([1]PitScoutingInfo!W250),"",[1]PitScoutingInfo!W250)</f>
        <v/>
      </c>
      <c r="H250" s="23" t="str">
        <f>IF(ISBLANK([1]PitScoutingInfo!Z250),"",[1]PitScoutingInfo!Z250)</f>
        <v/>
      </c>
    </row>
    <row r="251" spans="1:8" x14ac:dyDescent="0.45">
      <c r="A251" s="23" t="str">
        <f>IF(ISBLANK([1]PitScoutingInfo!A251),"",[1]PitScoutingInfo!A251)</f>
        <v/>
      </c>
      <c r="B251" s="23" t="str">
        <f>IF(ISBLANK([1]PitScoutingInfo!B251),"",[1]PitScoutingInfo!B251)</f>
        <v/>
      </c>
      <c r="C251" s="23" t="str">
        <f>IF(ISBLANK([1]PitScoutingInfo!J251),"",[1]PitScoutingInfo!J251)</f>
        <v/>
      </c>
      <c r="D251" s="23" t="str">
        <f>IF(ISBLANK([1]PitScoutingInfo!M251),"",[1]PitScoutingInfo!M251)</f>
        <v/>
      </c>
      <c r="E251" s="23" t="str">
        <f>IF(ISBLANK([1]PitScoutingInfo!N251),"",[1]PitScoutingInfo!N251)</f>
        <v/>
      </c>
      <c r="F251" s="23" t="str">
        <f>IF(ISBLANK([1]PitScoutingInfo!V251),"",[1]PitScoutingInfo!V251)</f>
        <v/>
      </c>
      <c r="G251" s="23" t="str">
        <f>IF(ISBLANK([1]PitScoutingInfo!W251),"",[1]PitScoutingInfo!W251)</f>
        <v/>
      </c>
      <c r="H251" s="23" t="str">
        <f>IF(ISBLANK([1]PitScoutingInfo!Z251),"",[1]PitScoutingInfo!Z251)</f>
        <v/>
      </c>
    </row>
    <row r="252" spans="1:8" x14ac:dyDescent="0.45">
      <c r="A252" s="23" t="str">
        <f>IF(ISBLANK([1]PitScoutingInfo!A252),"",[1]PitScoutingInfo!A252)</f>
        <v/>
      </c>
      <c r="B252" s="23" t="str">
        <f>IF(ISBLANK([1]PitScoutingInfo!B252),"",[1]PitScoutingInfo!B252)</f>
        <v/>
      </c>
      <c r="C252" s="23" t="str">
        <f>IF(ISBLANK([1]PitScoutingInfo!J252),"",[1]PitScoutingInfo!J252)</f>
        <v/>
      </c>
      <c r="D252" s="23" t="str">
        <f>IF(ISBLANK([1]PitScoutingInfo!M252),"",[1]PitScoutingInfo!M252)</f>
        <v/>
      </c>
      <c r="E252" s="23" t="str">
        <f>IF(ISBLANK([1]PitScoutingInfo!N252),"",[1]PitScoutingInfo!N252)</f>
        <v/>
      </c>
      <c r="F252" s="23" t="str">
        <f>IF(ISBLANK([1]PitScoutingInfo!V252),"",[1]PitScoutingInfo!V252)</f>
        <v/>
      </c>
      <c r="G252" s="23" t="str">
        <f>IF(ISBLANK([1]PitScoutingInfo!W252),"",[1]PitScoutingInfo!W252)</f>
        <v/>
      </c>
      <c r="H252" s="23" t="str">
        <f>IF(ISBLANK([1]PitScoutingInfo!Z252),"",[1]PitScoutingInfo!Z252)</f>
        <v/>
      </c>
    </row>
    <row r="253" spans="1:8" x14ac:dyDescent="0.45">
      <c r="A253" s="23" t="str">
        <f>IF(ISBLANK([1]PitScoutingInfo!A253),"",[1]PitScoutingInfo!A253)</f>
        <v/>
      </c>
      <c r="B253" s="23" t="str">
        <f>IF(ISBLANK([1]PitScoutingInfo!B253),"",[1]PitScoutingInfo!B253)</f>
        <v/>
      </c>
      <c r="C253" s="23" t="str">
        <f>IF(ISBLANK([1]PitScoutingInfo!J253),"",[1]PitScoutingInfo!J253)</f>
        <v/>
      </c>
      <c r="D253" s="23" t="str">
        <f>IF(ISBLANK([1]PitScoutingInfo!M253),"",[1]PitScoutingInfo!M253)</f>
        <v/>
      </c>
      <c r="E253" s="23" t="str">
        <f>IF(ISBLANK([1]PitScoutingInfo!N253),"",[1]PitScoutingInfo!N253)</f>
        <v/>
      </c>
      <c r="F253" s="23" t="str">
        <f>IF(ISBLANK([1]PitScoutingInfo!V253),"",[1]PitScoutingInfo!V253)</f>
        <v/>
      </c>
      <c r="G253" s="23" t="str">
        <f>IF(ISBLANK([1]PitScoutingInfo!W253),"",[1]PitScoutingInfo!W253)</f>
        <v/>
      </c>
      <c r="H253" s="23" t="str">
        <f>IF(ISBLANK([1]PitScoutingInfo!Z253),"",[1]PitScoutingInfo!Z253)</f>
        <v/>
      </c>
    </row>
    <row r="254" spans="1:8" x14ac:dyDescent="0.45">
      <c r="A254" s="23" t="str">
        <f>IF(ISBLANK([1]PitScoutingInfo!A254),"",[1]PitScoutingInfo!A254)</f>
        <v/>
      </c>
      <c r="B254" s="23" t="str">
        <f>IF(ISBLANK([1]PitScoutingInfo!B254),"",[1]PitScoutingInfo!B254)</f>
        <v/>
      </c>
      <c r="C254" s="23" t="str">
        <f>IF(ISBLANK([1]PitScoutingInfo!J254),"",[1]PitScoutingInfo!J254)</f>
        <v/>
      </c>
      <c r="D254" s="23" t="str">
        <f>IF(ISBLANK([1]PitScoutingInfo!M254),"",[1]PitScoutingInfo!M254)</f>
        <v/>
      </c>
      <c r="E254" s="23" t="str">
        <f>IF(ISBLANK([1]PitScoutingInfo!N254),"",[1]PitScoutingInfo!N254)</f>
        <v/>
      </c>
      <c r="F254" s="23" t="str">
        <f>IF(ISBLANK([1]PitScoutingInfo!V254),"",[1]PitScoutingInfo!V254)</f>
        <v/>
      </c>
      <c r="G254" s="23" t="str">
        <f>IF(ISBLANK([1]PitScoutingInfo!W254),"",[1]PitScoutingInfo!W254)</f>
        <v/>
      </c>
      <c r="H254" s="23" t="str">
        <f>IF(ISBLANK([1]PitScoutingInfo!Z254),"",[1]PitScoutingInfo!Z254)</f>
        <v/>
      </c>
    </row>
    <row r="255" spans="1:8" x14ac:dyDescent="0.45">
      <c r="A255" s="23" t="str">
        <f>IF(ISBLANK([1]PitScoutingInfo!A255),"",[1]PitScoutingInfo!A255)</f>
        <v/>
      </c>
      <c r="B255" s="23" t="str">
        <f>IF(ISBLANK([1]PitScoutingInfo!B255),"",[1]PitScoutingInfo!B255)</f>
        <v/>
      </c>
      <c r="C255" s="23" t="str">
        <f>IF(ISBLANK([1]PitScoutingInfo!J255),"",[1]PitScoutingInfo!J255)</f>
        <v/>
      </c>
      <c r="D255" s="23" t="str">
        <f>IF(ISBLANK([1]PitScoutingInfo!M255),"",[1]PitScoutingInfo!M255)</f>
        <v/>
      </c>
      <c r="E255" s="23" t="str">
        <f>IF(ISBLANK([1]PitScoutingInfo!N255),"",[1]PitScoutingInfo!N255)</f>
        <v/>
      </c>
      <c r="F255" s="23" t="str">
        <f>IF(ISBLANK([1]PitScoutingInfo!V255),"",[1]PitScoutingInfo!V255)</f>
        <v/>
      </c>
      <c r="G255" s="23" t="str">
        <f>IF(ISBLANK([1]PitScoutingInfo!W255),"",[1]PitScoutingInfo!W255)</f>
        <v/>
      </c>
      <c r="H255" s="23" t="str">
        <f>IF(ISBLANK([1]PitScoutingInfo!Z255),"",[1]PitScoutingInfo!Z255)</f>
        <v/>
      </c>
    </row>
    <row r="256" spans="1:8" x14ac:dyDescent="0.45">
      <c r="A256" s="23" t="str">
        <f>IF(ISBLANK([1]PitScoutingInfo!A256),"",[1]PitScoutingInfo!A256)</f>
        <v/>
      </c>
      <c r="B256" s="23" t="str">
        <f>IF(ISBLANK([1]PitScoutingInfo!B256),"",[1]PitScoutingInfo!B256)</f>
        <v/>
      </c>
      <c r="C256" s="23" t="str">
        <f>IF(ISBLANK([1]PitScoutingInfo!J256),"",[1]PitScoutingInfo!J256)</f>
        <v/>
      </c>
      <c r="D256" s="23" t="str">
        <f>IF(ISBLANK([1]PitScoutingInfo!M256),"",[1]PitScoutingInfo!M256)</f>
        <v/>
      </c>
      <c r="E256" s="23" t="str">
        <f>IF(ISBLANK([1]PitScoutingInfo!N256),"",[1]PitScoutingInfo!N256)</f>
        <v/>
      </c>
      <c r="F256" s="23" t="str">
        <f>IF(ISBLANK([1]PitScoutingInfo!V256),"",[1]PitScoutingInfo!V256)</f>
        <v/>
      </c>
      <c r="G256" s="23" t="str">
        <f>IF(ISBLANK([1]PitScoutingInfo!W256),"",[1]PitScoutingInfo!W256)</f>
        <v/>
      </c>
      <c r="H256" s="23" t="str">
        <f>IF(ISBLANK([1]PitScoutingInfo!Z256),"",[1]PitScoutingInfo!Z256)</f>
        <v/>
      </c>
    </row>
    <row r="257" spans="1:8" x14ac:dyDescent="0.45">
      <c r="A257" s="23" t="str">
        <f>IF(ISBLANK([1]PitScoutingInfo!A257),"",[1]PitScoutingInfo!A257)</f>
        <v/>
      </c>
      <c r="B257" s="23" t="str">
        <f>IF(ISBLANK([1]PitScoutingInfo!B257),"",[1]PitScoutingInfo!B257)</f>
        <v/>
      </c>
      <c r="C257" s="23" t="str">
        <f>IF(ISBLANK([1]PitScoutingInfo!J257),"",[1]PitScoutingInfo!J257)</f>
        <v/>
      </c>
      <c r="D257" s="23" t="str">
        <f>IF(ISBLANK([1]PitScoutingInfo!M257),"",[1]PitScoutingInfo!M257)</f>
        <v/>
      </c>
      <c r="E257" s="23" t="str">
        <f>IF(ISBLANK([1]PitScoutingInfo!N257),"",[1]PitScoutingInfo!N257)</f>
        <v/>
      </c>
      <c r="F257" s="23" t="str">
        <f>IF(ISBLANK([1]PitScoutingInfo!V257),"",[1]PitScoutingInfo!V257)</f>
        <v/>
      </c>
      <c r="G257" s="23" t="str">
        <f>IF(ISBLANK([1]PitScoutingInfo!W257),"",[1]PitScoutingInfo!W257)</f>
        <v/>
      </c>
      <c r="H257" s="23" t="str">
        <f>IF(ISBLANK([1]PitScoutingInfo!Z257),"",[1]PitScoutingInfo!Z257)</f>
        <v/>
      </c>
    </row>
    <row r="258" spans="1:8" x14ac:dyDescent="0.45">
      <c r="A258" s="23" t="str">
        <f>IF(ISBLANK([1]PitScoutingInfo!A258),"",[1]PitScoutingInfo!A258)</f>
        <v/>
      </c>
      <c r="B258" s="23" t="str">
        <f>IF(ISBLANK([1]PitScoutingInfo!B258),"",[1]PitScoutingInfo!B258)</f>
        <v/>
      </c>
      <c r="C258" s="23" t="str">
        <f>IF(ISBLANK([1]PitScoutingInfo!J258),"",[1]PitScoutingInfo!J258)</f>
        <v/>
      </c>
      <c r="D258" s="23" t="str">
        <f>IF(ISBLANK([1]PitScoutingInfo!M258),"",[1]PitScoutingInfo!M258)</f>
        <v/>
      </c>
      <c r="E258" s="23" t="str">
        <f>IF(ISBLANK([1]PitScoutingInfo!N258),"",[1]PitScoutingInfo!N258)</f>
        <v/>
      </c>
      <c r="F258" s="23" t="str">
        <f>IF(ISBLANK([1]PitScoutingInfo!V258),"",[1]PitScoutingInfo!V258)</f>
        <v/>
      </c>
      <c r="G258" s="23" t="str">
        <f>IF(ISBLANK([1]PitScoutingInfo!W258),"",[1]PitScoutingInfo!W258)</f>
        <v/>
      </c>
      <c r="H258" s="23" t="str">
        <f>IF(ISBLANK([1]PitScoutingInfo!Z258),"",[1]PitScoutingInfo!Z258)</f>
        <v/>
      </c>
    </row>
    <row r="259" spans="1:8" x14ac:dyDescent="0.45">
      <c r="A259" s="23" t="str">
        <f>IF(ISBLANK([1]PitScoutingInfo!A259),"",[1]PitScoutingInfo!A259)</f>
        <v/>
      </c>
      <c r="B259" s="23" t="str">
        <f>IF(ISBLANK([1]PitScoutingInfo!B259),"",[1]PitScoutingInfo!B259)</f>
        <v/>
      </c>
      <c r="C259" s="23" t="str">
        <f>IF(ISBLANK([1]PitScoutingInfo!J259),"",[1]PitScoutingInfo!J259)</f>
        <v/>
      </c>
      <c r="D259" s="23" t="str">
        <f>IF(ISBLANK([1]PitScoutingInfo!M259),"",[1]PitScoutingInfo!M259)</f>
        <v/>
      </c>
      <c r="E259" s="23" t="str">
        <f>IF(ISBLANK([1]PitScoutingInfo!N259),"",[1]PitScoutingInfo!N259)</f>
        <v/>
      </c>
      <c r="F259" s="23" t="str">
        <f>IF(ISBLANK([1]PitScoutingInfo!V259),"",[1]PitScoutingInfo!V259)</f>
        <v/>
      </c>
      <c r="G259" s="23" t="str">
        <f>IF(ISBLANK([1]PitScoutingInfo!W259),"",[1]PitScoutingInfo!W259)</f>
        <v/>
      </c>
      <c r="H259" s="23" t="str">
        <f>IF(ISBLANK([1]PitScoutingInfo!Z259),"",[1]PitScoutingInfo!Z259)</f>
        <v/>
      </c>
    </row>
    <row r="260" spans="1:8" x14ac:dyDescent="0.45">
      <c r="A260" s="23" t="str">
        <f>IF(ISBLANK([1]PitScoutingInfo!A260),"",[1]PitScoutingInfo!A260)</f>
        <v/>
      </c>
      <c r="B260" s="23" t="str">
        <f>IF(ISBLANK([1]PitScoutingInfo!B260),"",[1]PitScoutingInfo!B260)</f>
        <v/>
      </c>
      <c r="C260" s="23" t="str">
        <f>IF(ISBLANK([1]PitScoutingInfo!J260),"",[1]PitScoutingInfo!J260)</f>
        <v/>
      </c>
      <c r="D260" s="23" t="str">
        <f>IF(ISBLANK([1]PitScoutingInfo!M260),"",[1]PitScoutingInfo!M260)</f>
        <v/>
      </c>
      <c r="E260" s="23" t="str">
        <f>IF(ISBLANK([1]PitScoutingInfo!N260),"",[1]PitScoutingInfo!N260)</f>
        <v/>
      </c>
      <c r="F260" s="23" t="str">
        <f>IF(ISBLANK([1]PitScoutingInfo!V260),"",[1]PitScoutingInfo!V260)</f>
        <v/>
      </c>
      <c r="G260" s="23" t="str">
        <f>IF(ISBLANK([1]PitScoutingInfo!W260),"",[1]PitScoutingInfo!W260)</f>
        <v/>
      </c>
      <c r="H260" s="23" t="str">
        <f>IF(ISBLANK([1]PitScoutingInfo!Z260),"",[1]PitScoutingInfo!Z260)</f>
        <v/>
      </c>
    </row>
    <row r="261" spans="1:8" x14ac:dyDescent="0.45">
      <c r="A261" s="23" t="str">
        <f>IF(ISBLANK([1]PitScoutingInfo!A261),"",[1]PitScoutingInfo!A261)</f>
        <v/>
      </c>
      <c r="B261" s="23" t="str">
        <f>IF(ISBLANK([1]PitScoutingInfo!B261),"",[1]PitScoutingInfo!B261)</f>
        <v/>
      </c>
      <c r="C261" s="23" t="str">
        <f>IF(ISBLANK([1]PitScoutingInfo!J261),"",[1]PitScoutingInfo!J261)</f>
        <v/>
      </c>
      <c r="D261" s="23" t="str">
        <f>IF(ISBLANK([1]PitScoutingInfo!M261),"",[1]PitScoutingInfo!M261)</f>
        <v/>
      </c>
      <c r="E261" s="23" t="str">
        <f>IF(ISBLANK([1]PitScoutingInfo!N261),"",[1]PitScoutingInfo!N261)</f>
        <v/>
      </c>
      <c r="F261" s="23" t="str">
        <f>IF(ISBLANK([1]PitScoutingInfo!V261),"",[1]PitScoutingInfo!V261)</f>
        <v/>
      </c>
      <c r="G261" s="23" t="str">
        <f>IF(ISBLANK([1]PitScoutingInfo!W261),"",[1]PitScoutingInfo!W261)</f>
        <v/>
      </c>
      <c r="H261" s="23" t="str">
        <f>IF(ISBLANK([1]PitScoutingInfo!Z261),"",[1]PitScoutingInfo!Z261)</f>
        <v/>
      </c>
    </row>
    <row r="262" spans="1:8" x14ac:dyDescent="0.45">
      <c r="A262" s="23" t="str">
        <f>IF(ISBLANK([1]PitScoutingInfo!A262),"",[1]PitScoutingInfo!A262)</f>
        <v/>
      </c>
      <c r="B262" s="23" t="str">
        <f>IF(ISBLANK([1]PitScoutingInfo!B262),"",[1]PitScoutingInfo!B262)</f>
        <v/>
      </c>
      <c r="C262" s="23" t="str">
        <f>IF(ISBLANK([1]PitScoutingInfo!J262),"",[1]PitScoutingInfo!J262)</f>
        <v/>
      </c>
      <c r="D262" s="23" t="str">
        <f>IF(ISBLANK([1]PitScoutingInfo!M262),"",[1]PitScoutingInfo!M262)</f>
        <v/>
      </c>
      <c r="E262" s="23" t="str">
        <f>IF(ISBLANK([1]PitScoutingInfo!N262),"",[1]PitScoutingInfo!N262)</f>
        <v/>
      </c>
      <c r="F262" s="23" t="str">
        <f>IF(ISBLANK([1]PitScoutingInfo!V262),"",[1]PitScoutingInfo!V262)</f>
        <v/>
      </c>
      <c r="G262" s="23" t="str">
        <f>IF(ISBLANK([1]PitScoutingInfo!W262),"",[1]PitScoutingInfo!W262)</f>
        <v/>
      </c>
      <c r="H262" s="23" t="str">
        <f>IF(ISBLANK([1]PitScoutingInfo!Z262),"",[1]PitScoutingInfo!Z262)</f>
        <v/>
      </c>
    </row>
    <row r="263" spans="1:8" x14ac:dyDescent="0.45">
      <c r="A263" s="23" t="str">
        <f>IF(ISBLANK([1]PitScoutingInfo!A263),"",[1]PitScoutingInfo!A263)</f>
        <v/>
      </c>
      <c r="B263" s="23" t="str">
        <f>IF(ISBLANK([1]PitScoutingInfo!B263),"",[1]PitScoutingInfo!B263)</f>
        <v/>
      </c>
      <c r="C263" s="23" t="str">
        <f>IF(ISBLANK([1]PitScoutingInfo!J263),"",[1]PitScoutingInfo!J263)</f>
        <v/>
      </c>
      <c r="D263" s="23" t="str">
        <f>IF(ISBLANK([1]PitScoutingInfo!M263),"",[1]PitScoutingInfo!M263)</f>
        <v/>
      </c>
      <c r="E263" s="23" t="str">
        <f>IF(ISBLANK([1]PitScoutingInfo!N263),"",[1]PitScoutingInfo!N263)</f>
        <v/>
      </c>
      <c r="F263" s="23" t="str">
        <f>IF(ISBLANK([1]PitScoutingInfo!V263),"",[1]PitScoutingInfo!V263)</f>
        <v/>
      </c>
      <c r="G263" s="23" t="str">
        <f>IF(ISBLANK([1]PitScoutingInfo!W263),"",[1]PitScoutingInfo!W263)</f>
        <v/>
      </c>
      <c r="H263" s="23" t="str">
        <f>IF(ISBLANK([1]PitScoutingInfo!Z263),"",[1]PitScoutingInfo!Z263)</f>
        <v/>
      </c>
    </row>
    <row r="264" spans="1:8" x14ac:dyDescent="0.45">
      <c r="A264" s="23" t="str">
        <f>IF(ISBLANK([1]PitScoutingInfo!A264),"",[1]PitScoutingInfo!A264)</f>
        <v/>
      </c>
      <c r="B264" s="23" t="str">
        <f>IF(ISBLANK([1]PitScoutingInfo!B264),"",[1]PitScoutingInfo!B264)</f>
        <v/>
      </c>
      <c r="C264" s="23" t="str">
        <f>IF(ISBLANK([1]PitScoutingInfo!J264),"",[1]PitScoutingInfo!J264)</f>
        <v/>
      </c>
      <c r="D264" s="23" t="str">
        <f>IF(ISBLANK([1]PitScoutingInfo!M264),"",[1]PitScoutingInfo!M264)</f>
        <v/>
      </c>
      <c r="E264" s="23" t="str">
        <f>IF(ISBLANK([1]PitScoutingInfo!N264),"",[1]PitScoutingInfo!N264)</f>
        <v/>
      </c>
      <c r="F264" s="23" t="str">
        <f>IF(ISBLANK([1]PitScoutingInfo!V264),"",[1]PitScoutingInfo!V264)</f>
        <v/>
      </c>
      <c r="G264" s="23" t="str">
        <f>IF(ISBLANK([1]PitScoutingInfo!W264),"",[1]PitScoutingInfo!W264)</f>
        <v/>
      </c>
      <c r="H264" s="23" t="str">
        <f>IF(ISBLANK([1]PitScoutingInfo!Z264),"",[1]PitScoutingInfo!Z264)</f>
        <v/>
      </c>
    </row>
    <row r="265" spans="1:8" x14ac:dyDescent="0.45">
      <c r="A265" s="23" t="str">
        <f>IF(ISBLANK([1]PitScoutingInfo!A265),"",[1]PitScoutingInfo!A265)</f>
        <v/>
      </c>
      <c r="B265" s="23" t="str">
        <f>IF(ISBLANK([1]PitScoutingInfo!B265),"",[1]PitScoutingInfo!B265)</f>
        <v/>
      </c>
      <c r="C265" s="23" t="str">
        <f>IF(ISBLANK([1]PitScoutingInfo!J265),"",[1]PitScoutingInfo!J265)</f>
        <v/>
      </c>
      <c r="D265" s="23" t="str">
        <f>IF(ISBLANK([1]PitScoutingInfo!M265),"",[1]PitScoutingInfo!M265)</f>
        <v/>
      </c>
      <c r="E265" s="23" t="str">
        <f>IF(ISBLANK([1]PitScoutingInfo!N265),"",[1]PitScoutingInfo!N265)</f>
        <v/>
      </c>
      <c r="F265" s="23" t="str">
        <f>IF(ISBLANK([1]PitScoutingInfo!V265),"",[1]PitScoutingInfo!V265)</f>
        <v/>
      </c>
      <c r="G265" s="23" t="str">
        <f>IF(ISBLANK([1]PitScoutingInfo!W265),"",[1]PitScoutingInfo!W265)</f>
        <v/>
      </c>
      <c r="H265" s="23" t="str">
        <f>IF(ISBLANK([1]PitScoutingInfo!Z265),"",[1]PitScoutingInfo!Z265)</f>
        <v/>
      </c>
    </row>
    <row r="266" spans="1:8" x14ac:dyDescent="0.45">
      <c r="A266" s="23" t="str">
        <f>IF(ISBLANK([1]PitScoutingInfo!A266),"",[1]PitScoutingInfo!A266)</f>
        <v/>
      </c>
      <c r="B266" s="23" t="str">
        <f>IF(ISBLANK([1]PitScoutingInfo!B266),"",[1]PitScoutingInfo!B266)</f>
        <v/>
      </c>
      <c r="C266" s="23" t="str">
        <f>IF(ISBLANK([1]PitScoutingInfo!J266),"",[1]PitScoutingInfo!J266)</f>
        <v/>
      </c>
      <c r="D266" s="23" t="str">
        <f>IF(ISBLANK([1]PitScoutingInfo!M266),"",[1]PitScoutingInfo!M266)</f>
        <v/>
      </c>
      <c r="E266" s="23" t="str">
        <f>IF(ISBLANK([1]PitScoutingInfo!N266),"",[1]PitScoutingInfo!N266)</f>
        <v/>
      </c>
      <c r="F266" s="23" t="str">
        <f>IF(ISBLANK([1]PitScoutingInfo!V266),"",[1]PitScoutingInfo!V266)</f>
        <v/>
      </c>
      <c r="G266" s="23" t="str">
        <f>IF(ISBLANK([1]PitScoutingInfo!W266),"",[1]PitScoutingInfo!W266)</f>
        <v/>
      </c>
      <c r="H266" s="23" t="str">
        <f>IF(ISBLANK([1]PitScoutingInfo!Z266),"",[1]PitScoutingInfo!Z266)</f>
        <v/>
      </c>
    </row>
    <row r="267" spans="1:8" x14ac:dyDescent="0.45">
      <c r="A267" s="23" t="str">
        <f>IF(ISBLANK([1]PitScoutingInfo!A267),"",[1]PitScoutingInfo!A267)</f>
        <v/>
      </c>
      <c r="B267" s="23" t="str">
        <f>IF(ISBLANK([1]PitScoutingInfo!B267),"",[1]PitScoutingInfo!B267)</f>
        <v/>
      </c>
      <c r="C267" s="23" t="str">
        <f>IF(ISBLANK([1]PitScoutingInfo!J267),"",[1]PitScoutingInfo!J267)</f>
        <v/>
      </c>
      <c r="D267" s="23" t="str">
        <f>IF(ISBLANK([1]PitScoutingInfo!M267),"",[1]PitScoutingInfo!M267)</f>
        <v/>
      </c>
      <c r="E267" s="23" t="str">
        <f>IF(ISBLANK([1]PitScoutingInfo!N267),"",[1]PitScoutingInfo!N267)</f>
        <v/>
      </c>
      <c r="F267" s="23" t="str">
        <f>IF(ISBLANK([1]PitScoutingInfo!V267),"",[1]PitScoutingInfo!V267)</f>
        <v/>
      </c>
      <c r="G267" s="23" t="str">
        <f>IF(ISBLANK([1]PitScoutingInfo!W267),"",[1]PitScoutingInfo!W267)</f>
        <v/>
      </c>
      <c r="H267" s="23" t="str">
        <f>IF(ISBLANK([1]PitScoutingInfo!Z267),"",[1]PitScoutingInfo!Z267)</f>
        <v/>
      </c>
    </row>
    <row r="268" spans="1:8" x14ac:dyDescent="0.45">
      <c r="A268" s="23" t="str">
        <f>IF(ISBLANK([1]PitScoutingInfo!A268),"",[1]PitScoutingInfo!A268)</f>
        <v/>
      </c>
      <c r="B268" s="23" t="str">
        <f>IF(ISBLANK([1]PitScoutingInfo!B268),"",[1]PitScoutingInfo!B268)</f>
        <v/>
      </c>
      <c r="C268" s="23" t="str">
        <f>IF(ISBLANK([1]PitScoutingInfo!J268),"",[1]PitScoutingInfo!J268)</f>
        <v/>
      </c>
      <c r="D268" s="23" t="str">
        <f>IF(ISBLANK([1]PitScoutingInfo!M268),"",[1]PitScoutingInfo!M268)</f>
        <v/>
      </c>
      <c r="E268" s="23" t="str">
        <f>IF(ISBLANK([1]PitScoutingInfo!N268),"",[1]PitScoutingInfo!N268)</f>
        <v/>
      </c>
      <c r="F268" s="23" t="str">
        <f>IF(ISBLANK([1]PitScoutingInfo!V268),"",[1]PitScoutingInfo!V268)</f>
        <v/>
      </c>
      <c r="G268" s="23" t="str">
        <f>IF(ISBLANK([1]PitScoutingInfo!W268),"",[1]PitScoutingInfo!W268)</f>
        <v/>
      </c>
      <c r="H268" s="23" t="str">
        <f>IF(ISBLANK([1]PitScoutingInfo!Z268),"",[1]PitScoutingInfo!Z268)</f>
        <v/>
      </c>
    </row>
    <row r="269" spans="1:8" x14ac:dyDescent="0.45">
      <c r="A269" s="23" t="str">
        <f>IF(ISBLANK([1]PitScoutingInfo!A269),"",[1]PitScoutingInfo!A269)</f>
        <v/>
      </c>
      <c r="B269" s="23" t="str">
        <f>IF(ISBLANK([1]PitScoutingInfo!B269),"",[1]PitScoutingInfo!B269)</f>
        <v/>
      </c>
      <c r="C269" s="23" t="str">
        <f>IF(ISBLANK([1]PitScoutingInfo!J269),"",[1]PitScoutingInfo!J269)</f>
        <v/>
      </c>
      <c r="D269" s="23" t="str">
        <f>IF(ISBLANK([1]PitScoutingInfo!M269),"",[1]PitScoutingInfo!M269)</f>
        <v/>
      </c>
      <c r="E269" s="23" t="str">
        <f>IF(ISBLANK([1]PitScoutingInfo!N269),"",[1]PitScoutingInfo!N269)</f>
        <v/>
      </c>
      <c r="F269" s="23" t="str">
        <f>IF(ISBLANK([1]PitScoutingInfo!V269),"",[1]PitScoutingInfo!V269)</f>
        <v/>
      </c>
      <c r="G269" s="23" t="str">
        <f>IF(ISBLANK([1]PitScoutingInfo!W269),"",[1]PitScoutingInfo!W269)</f>
        <v/>
      </c>
      <c r="H269" s="23" t="str">
        <f>IF(ISBLANK([1]PitScoutingInfo!Z269),"",[1]PitScoutingInfo!Z269)</f>
        <v/>
      </c>
    </row>
    <row r="270" spans="1:8" x14ac:dyDescent="0.45">
      <c r="A270" s="23" t="str">
        <f>IF(ISBLANK([1]PitScoutingInfo!A270),"",[1]PitScoutingInfo!A270)</f>
        <v/>
      </c>
      <c r="B270" s="23" t="str">
        <f>IF(ISBLANK([1]PitScoutingInfo!B270),"",[1]PitScoutingInfo!B270)</f>
        <v/>
      </c>
      <c r="C270" s="23" t="str">
        <f>IF(ISBLANK([1]PitScoutingInfo!J270),"",[1]PitScoutingInfo!J270)</f>
        <v/>
      </c>
      <c r="D270" s="23" t="str">
        <f>IF(ISBLANK([1]PitScoutingInfo!M270),"",[1]PitScoutingInfo!M270)</f>
        <v/>
      </c>
      <c r="E270" s="23" t="str">
        <f>IF(ISBLANK([1]PitScoutingInfo!N270),"",[1]PitScoutingInfo!N270)</f>
        <v/>
      </c>
      <c r="F270" s="23" t="str">
        <f>IF(ISBLANK([1]PitScoutingInfo!V270),"",[1]PitScoutingInfo!V270)</f>
        <v/>
      </c>
      <c r="G270" s="23" t="str">
        <f>IF(ISBLANK([1]PitScoutingInfo!W270),"",[1]PitScoutingInfo!W270)</f>
        <v/>
      </c>
      <c r="H270" s="23" t="str">
        <f>IF(ISBLANK([1]PitScoutingInfo!Z270),"",[1]PitScoutingInfo!Z270)</f>
        <v/>
      </c>
    </row>
    <row r="271" spans="1:8" x14ac:dyDescent="0.45">
      <c r="A271" s="23" t="str">
        <f>IF(ISBLANK([1]PitScoutingInfo!A271),"",[1]PitScoutingInfo!A271)</f>
        <v/>
      </c>
      <c r="B271" s="23" t="str">
        <f>IF(ISBLANK([1]PitScoutingInfo!B271),"",[1]PitScoutingInfo!B271)</f>
        <v/>
      </c>
      <c r="C271" s="23" t="str">
        <f>IF(ISBLANK([1]PitScoutingInfo!J271),"",[1]PitScoutingInfo!J271)</f>
        <v/>
      </c>
      <c r="D271" s="23" t="str">
        <f>IF(ISBLANK([1]PitScoutingInfo!M271),"",[1]PitScoutingInfo!M271)</f>
        <v/>
      </c>
      <c r="E271" s="23" t="str">
        <f>IF(ISBLANK([1]PitScoutingInfo!N271),"",[1]PitScoutingInfo!N271)</f>
        <v/>
      </c>
      <c r="F271" s="23" t="str">
        <f>IF(ISBLANK([1]PitScoutingInfo!V271),"",[1]PitScoutingInfo!V271)</f>
        <v/>
      </c>
      <c r="G271" s="23" t="str">
        <f>IF(ISBLANK([1]PitScoutingInfo!W271),"",[1]PitScoutingInfo!W271)</f>
        <v/>
      </c>
      <c r="H271" s="23" t="str">
        <f>IF(ISBLANK([1]PitScoutingInfo!Z271),"",[1]PitScoutingInfo!Z271)</f>
        <v/>
      </c>
    </row>
    <row r="272" spans="1:8" x14ac:dyDescent="0.45">
      <c r="A272" s="23" t="str">
        <f>IF(ISBLANK([1]PitScoutingInfo!A272),"",[1]PitScoutingInfo!A272)</f>
        <v/>
      </c>
      <c r="B272" s="23" t="str">
        <f>IF(ISBLANK([1]PitScoutingInfo!B272),"",[1]PitScoutingInfo!B272)</f>
        <v/>
      </c>
      <c r="C272" s="23" t="str">
        <f>IF(ISBLANK([1]PitScoutingInfo!J272),"",[1]PitScoutingInfo!J272)</f>
        <v/>
      </c>
      <c r="D272" s="23" t="str">
        <f>IF(ISBLANK([1]PitScoutingInfo!M272),"",[1]PitScoutingInfo!M272)</f>
        <v/>
      </c>
      <c r="E272" s="23" t="str">
        <f>IF(ISBLANK([1]PitScoutingInfo!N272),"",[1]PitScoutingInfo!N272)</f>
        <v/>
      </c>
      <c r="F272" s="23" t="str">
        <f>IF(ISBLANK([1]PitScoutingInfo!V272),"",[1]PitScoutingInfo!V272)</f>
        <v/>
      </c>
      <c r="G272" s="23" t="str">
        <f>IF(ISBLANK([1]PitScoutingInfo!W272),"",[1]PitScoutingInfo!W272)</f>
        <v/>
      </c>
      <c r="H272" s="23" t="str">
        <f>IF(ISBLANK([1]PitScoutingInfo!Z272),"",[1]PitScoutingInfo!Z272)</f>
        <v/>
      </c>
    </row>
    <row r="273" spans="1:8" x14ac:dyDescent="0.45">
      <c r="A273" s="23" t="str">
        <f>IF(ISBLANK([1]PitScoutingInfo!A273),"",[1]PitScoutingInfo!A273)</f>
        <v/>
      </c>
      <c r="B273" s="23" t="str">
        <f>IF(ISBLANK([1]PitScoutingInfo!B273),"",[1]PitScoutingInfo!B273)</f>
        <v/>
      </c>
      <c r="C273" s="23" t="str">
        <f>IF(ISBLANK([1]PitScoutingInfo!J273),"",[1]PitScoutingInfo!J273)</f>
        <v/>
      </c>
      <c r="D273" s="23" t="str">
        <f>IF(ISBLANK([1]PitScoutingInfo!M273),"",[1]PitScoutingInfo!M273)</f>
        <v/>
      </c>
      <c r="E273" s="23" t="str">
        <f>IF(ISBLANK([1]PitScoutingInfo!N273),"",[1]PitScoutingInfo!N273)</f>
        <v/>
      </c>
      <c r="F273" s="23" t="str">
        <f>IF(ISBLANK([1]PitScoutingInfo!V273),"",[1]PitScoutingInfo!V273)</f>
        <v/>
      </c>
      <c r="G273" s="23" t="str">
        <f>IF(ISBLANK([1]PitScoutingInfo!W273),"",[1]PitScoutingInfo!W273)</f>
        <v/>
      </c>
      <c r="H273" s="23" t="str">
        <f>IF(ISBLANK([1]PitScoutingInfo!Z273),"",[1]PitScoutingInfo!Z273)</f>
        <v/>
      </c>
    </row>
    <row r="274" spans="1:8" x14ac:dyDescent="0.45">
      <c r="A274" s="23" t="str">
        <f>IF(ISBLANK([1]PitScoutingInfo!A274),"",[1]PitScoutingInfo!A274)</f>
        <v/>
      </c>
      <c r="B274" s="23" t="str">
        <f>IF(ISBLANK([1]PitScoutingInfo!B274),"",[1]PitScoutingInfo!B274)</f>
        <v/>
      </c>
      <c r="C274" s="23" t="str">
        <f>IF(ISBLANK([1]PitScoutingInfo!J274),"",[1]PitScoutingInfo!J274)</f>
        <v/>
      </c>
      <c r="D274" s="23" t="str">
        <f>IF(ISBLANK([1]PitScoutingInfo!M274),"",[1]PitScoutingInfo!M274)</f>
        <v/>
      </c>
      <c r="E274" s="23" t="str">
        <f>IF(ISBLANK([1]PitScoutingInfo!N274),"",[1]PitScoutingInfo!N274)</f>
        <v/>
      </c>
      <c r="F274" s="23" t="str">
        <f>IF(ISBLANK([1]PitScoutingInfo!V274),"",[1]PitScoutingInfo!V274)</f>
        <v/>
      </c>
      <c r="G274" s="23" t="str">
        <f>IF(ISBLANK([1]PitScoutingInfo!W274),"",[1]PitScoutingInfo!W274)</f>
        <v/>
      </c>
      <c r="H274" s="23" t="str">
        <f>IF(ISBLANK([1]PitScoutingInfo!Z274),"",[1]PitScoutingInfo!Z274)</f>
        <v/>
      </c>
    </row>
    <row r="275" spans="1:8" x14ac:dyDescent="0.45">
      <c r="A275" s="23" t="str">
        <f>IF(ISBLANK([1]PitScoutingInfo!A275),"",[1]PitScoutingInfo!A275)</f>
        <v/>
      </c>
      <c r="B275" s="23" t="str">
        <f>IF(ISBLANK([1]PitScoutingInfo!B275),"",[1]PitScoutingInfo!B275)</f>
        <v/>
      </c>
      <c r="C275" s="23" t="str">
        <f>IF(ISBLANK([1]PitScoutingInfo!J275),"",[1]PitScoutingInfo!J275)</f>
        <v/>
      </c>
      <c r="D275" s="23" t="str">
        <f>IF(ISBLANK([1]PitScoutingInfo!M275),"",[1]PitScoutingInfo!M275)</f>
        <v/>
      </c>
      <c r="E275" s="23" t="str">
        <f>IF(ISBLANK([1]PitScoutingInfo!N275),"",[1]PitScoutingInfo!N275)</f>
        <v/>
      </c>
      <c r="F275" s="23" t="str">
        <f>IF(ISBLANK([1]PitScoutingInfo!V275),"",[1]PitScoutingInfo!V275)</f>
        <v/>
      </c>
      <c r="G275" s="23" t="str">
        <f>IF(ISBLANK([1]PitScoutingInfo!W275),"",[1]PitScoutingInfo!W275)</f>
        <v/>
      </c>
      <c r="H275" s="23" t="str">
        <f>IF(ISBLANK([1]PitScoutingInfo!Z275),"",[1]PitScoutingInfo!Z275)</f>
        <v/>
      </c>
    </row>
    <row r="276" spans="1:8" x14ac:dyDescent="0.45">
      <c r="A276" s="23" t="str">
        <f>IF(ISBLANK([1]PitScoutingInfo!A276),"",[1]PitScoutingInfo!A276)</f>
        <v/>
      </c>
      <c r="B276" s="23" t="str">
        <f>IF(ISBLANK([1]PitScoutingInfo!B276),"",[1]PitScoutingInfo!B276)</f>
        <v/>
      </c>
      <c r="C276" s="23" t="str">
        <f>IF(ISBLANK([1]PitScoutingInfo!J276),"",[1]PitScoutingInfo!J276)</f>
        <v/>
      </c>
      <c r="D276" s="23" t="str">
        <f>IF(ISBLANK([1]PitScoutingInfo!M276),"",[1]PitScoutingInfo!M276)</f>
        <v/>
      </c>
      <c r="E276" s="23" t="str">
        <f>IF(ISBLANK([1]PitScoutingInfo!N276),"",[1]PitScoutingInfo!N276)</f>
        <v/>
      </c>
      <c r="F276" s="23" t="str">
        <f>IF(ISBLANK([1]PitScoutingInfo!V276),"",[1]PitScoutingInfo!V276)</f>
        <v/>
      </c>
      <c r="G276" s="23" t="str">
        <f>IF(ISBLANK([1]PitScoutingInfo!W276),"",[1]PitScoutingInfo!W276)</f>
        <v/>
      </c>
      <c r="H276" s="23" t="str">
        <f>IF(ISBLANK([1]PitScoutingInfo!Z276),"",[1]PitScoutingInfo!Z276)</f>
        <v/>
      </c>
    </row>
    <row r="277" spans="1:8" x14ac:dyDescent="0.45">
      <c r="A277" s="23" t="str">
        <f>IF(ISBLANK([1]PitScoutingInfo!A277),"",[1]PitScoutingInfo!A277)</f>
        <v/>
      </c>
      <c r="B277" s="23" t="str">
        <f>IF(ISBLANK([1]PitScoutingInfo!B277),"",[1]PitScoutingInfo!B277)</f>
        <v/>
      </c>
      <c r="C277" s="23" t="str">
        <f>IF(ISBLANK([1]PitScoutingInfo!J277),"",[1]PitScoutingInfo!J277)</f>
        <v/>
      </c>
      <c r="D277" s="23" t="str">
        <f>IF(ISBLANK([1]PitScoutingInfo!M277),"",[1]PitScoutingInfo!M277)</f>
        <v/>
      </c>
      <c r="E277" s="23" t="str">
        <f>IF(ISBLANK([1]PitScoutingInfo!N277),"",[1]PitScoutingInfo!N277)</f>
        <v/>
      </c>
      <c r="F277" s="23" t="str">
        <f>IF(ISBLANK([1]PitScoutingInfo!V277),"",[1]PitScoutingInfo!V277)</f>
        <v/>
      </c>
      <c r="G277" s="23" t="str">
        <f>IF(ISBLANK([1]PitScoutingInfo!W277),"",[1]PitScoutingInfo!W277)</f>
        <v/>
      </c>
      <c r="H277" s="23" t="str">
        <f>IF(ISBLANK([1]PitScoutingInfo!Z277),"",[1]PitScoutingInfo!Z277)</f>
        <v/>
      </c>
    </row>
    <row r="278" spans="1:8" x14ac:dyDescent="0.45">
      <c r="A278" s="23" t="str">
        <f>IF(ISBLANK([1]PitScoutingInfo!A278),"",[1]PitScoutingInfo!A278)</f>
        <v/>
      </c>
      <c r="B278" s="23" t="str">
        <f>IF(ISBLANK([1]PitScoutingInfo!B278),"",[1]PitScoutingInfo!B278)</f>
        <v/>
      </c>
      <c r="C278" s="23" t="str">
        <f>IF(ISBLANK([1]PitScoutingInfo!J278),"",[1]PitScoutingInfo!J278)</f>
        <v/>
      </c>
      <c r="D278" s="23" t="str">
        <f>IF(ISBLANK([1]PitScoutingInfo!M278),"",[1]PitScoutingInfo!M278)</f>
        <v/>
      </c>
      <c r="E278" s="23" t="str">
        <f>IF(ISBLANK([1]PitScoutingInfo!N278),"",[1]PitScoutingInfo!N278)</f>
        <v/>
      </c>
      <c r="F278" s="23" t="str">
        <f>IF(ISBLANK([1]PitScoutingInfo!V278),"",[1]PitScoutingInfo!V278)</f>
        <v/>
      </c>
      <c r="G278" s="23" t="str">
        <f>IF(ISBLANK([1]PitScoutingInfo!W278),"",[1]PitScoutingInfo!W278)</f>
        <v/>
      </c>
      <c r="H278" s="23" t="str">
        <f>IF(ISBLANK([1]PitScoutingInfo!Z278),"",[1]PitScoutingInfo!Z278)</f>
        <v/>
      </c>
    </row>
    <row r="279" spans="1:8" x14ac:dyDescent="0.45">
      <c r="A279" s="23" t="str">
        <f>IF(ISBLANK([1]PitScoutingInfo!A279),"",[1]PitScoutingInfo!A279)</f>
        <v/>
      </c>
      <c r="B279" s="23" t="str">
        <f>IF(ISBLANK([1]PitScoutingInfo!B279),"",[1]PitScoutingInfo!B279)</f>
        <v/>
      </c>
      <c r="C279" s="23" t="str">
        <f>IF(ISBLANK([1]PitScoutingInfo!J279),"",[1]PitScoutingInfo!J279)</f>
        <v/>
      </c>
      <c r="D279" s="23" t="str">
        <f>IF(ISBLANK([1]PitScoutingInfo!M279),"",[1]PitScoutingInfo!M279)</f>
        <v/>
      </c>
      <c r="E279" s="23" t="str">
        <f>IF(ISBLANK([1]PitScoutingInfo!N279),"",[1]PitScoutingInfo!N279)</f>
        <v/>
      </c>
      <c r="F279" s="23" t="str">
        <f>IF(ISBLANK([1]PitScoutingInfo!V279),"",[1]PitScoutingInfo!V279)</f>
        <v/>
      </c>
      <c r="G279" s="23" t="str">
        <f>IF(ISBLANK([1]PitScoutingInfo!W279),"",[1]PitScoutingInfo!W279)</f>
        <v/>
      </c>
      <c r="H279" s="23" t="str">
        <f>IF(ISBLANK([1]PitScoutingInfo!Z279),"",[1]PitScoutingInfo!Z279)</f>
        <v/>
      </c>
    </row>
    <row r="280" spans="1:8" x14ac:dyDescent="0.45">
      <c r="A280" s="23" t="str">
        <f>IF(ISBLANK([1]PitScoutingInfo!A280),"",[1]PitScoutingInfo!A280)</f>
        <v/>
      </c>
      <c r="B280" s="23" t="str">
        <f>IF(ISBLANK([1]PitScoutingInfo!B280),"",[1]PitScoutingInfo!B280)</f>
        <v/>
      </c>
      <c r="C280" s="23" t="str">
        <f>IF(ISBLANK([1]PitScoutingInfo!J280),"",[1]PitScoutingInfo!J280)</f>
        <v/>
      </c>
      <c r="D280" s="23" t="str">
        <f>IF(ISBLANK([1]PitScoutingInfo!M280),"",[1]PitScoutingInfo!M280)</f>
        <v/>
      </c>
      <c r="E280" s="23" t="str">
        <f>IF(ISBLANK([1]PitScoutingInfo!N280),"",[1]PitScoutingInfo!N280)</f>
        <v/>
      </c>
      <c r="F280" s="23" t="str">
        <f>IF(ISBLANK([1]PitScoutingInfo!V280),"",[1]PitScoutingInfo!V280)</f>
        <v/>
      </c>
      <c r="G280" s="23" t="str">
        <f>IF(ISBLANK([1]PitScoutingInfo!W280),"",[1]PitScoutingInfo!W280)</f>
        <v/>
      </c>
      <c r="H280" s="23" t="str">
        <f>IF(ISBLANK([1]PitScoutingInfo!Z280),"",[1]PitScoutingInfo!Z280)</f>
        <v/>
      </c>
    </row>
    <row r="281" spans="1:8" x14ac:dyDescent="0.45">
      <c r="A281" s="23" t="str">
        <f>IF(ISBLANK([1]PitScoutingInfo!A281),"",[1]PitScoutingInfo!A281)</f>
        <v/>
      </c>
      <c r="B281" s="23" t="str">
        <f>IF(ISBLANK([1]PitScoutingInfo!B281),"",[1]PitScoutingInfo!B281)</f>
        <v/>
      </c>
      <c r="C281" s="23" t="str">
        <f>IF(ISBLANK([1]PitScoutingInfo!J281),"",[1]PitScoutingInfo!J281)</f>
        <v/>
      </c>
      <c r="D281" s="23" t="str">
        <f>IF(ISBLANK([1]PitScoutingInfo!M281),"",[1]PitScoutingInfo!M281)</f>
        <v/>
      </c>
      <c r="E281" s="23" t="str">
        <f>IF(ISBLANK([1]PitScoutingInfo!N281),"",[1]PitScoutingInfo!N281)</f>
        <v/>
      </c>
      <c r="F281" s="23" t="str">
        <f>IF(ISBLANK([1]PitScoutingInfo!V281),"",[1]PitScoutingInfo!V281)</f>
        <v/>
      </c>
      <c r="G281" s="23" t="str">
        <f>IF(ISBLANK([1]PitScoutingInfo!W281),"",[1]PitScoutingInfo!W281)</f>
        <v/>
      </c>
      <c r="H281" s="23" t="str">
        <f>IF(ISBLANK([1]PitScoutingInfo!Z281),"",[1]PitScoutingInfo!Z281)</f>
        <v/>
      </c>
    </row>
    <row r="282" spans="1:8" x14ac:dyDescent="0.45">
      <c r="A282" s="23" t="str">
        <f>IF(ISBLANK([1]PitScoutingInfo!A282),"",[1]PitScoutingInfo!A282)</f>
        <v/>
      </c>
      <c r="B282" s="23" t="str">
        <f>IF(ISBLANK([1]PitScoutingInfo!B282),"",[1]PitScoutingInfo!B282)</f>
        <v/>
      </c>
      <c r="C282" s="23" t="str">
        <f>IF(ISBLANK([1]PitScoutingInfo!J282),"",[1]PitScoutingInfo!J282)</f>
        <v/>
      </c>
      <c r="D282" s="23" t="str">
        <f>IF(ISBLANK([1]PitScoutingInfo!M282),"",[1]PitScoutingInfo!M282)</f>
        <v/>
      </c>
      <c r="E282" s="23" t="str">
        <f>IF(ISBLANK([1]PitScoutingInfo!N282),"",[1]PitScoutingInfo!N282)</f>
        <v/>
      </c>
      <c r="F282" s="23" t="str">
        <f>IF(ISBLANK([1]PitScoutingInfo!V282),"",[1]PitScoutingInfo!V282)</f>
        <v/>
      </c>
      <c r="G282" s="23" t="str">
        <f>IF(ISBLANK([1]PitScoutingInfo!W282),"",[1]PitScoutingInfo!W282)</f>
        <v/>
      </c>
      <c r="H282" s="23" t="str">
        <f>IF(ISBLANK([1]PitScoutingInfo!Z282),"",[1]PitScoutingInfo!Z282)</f>
        <v/>
      </c>
    </row>
    <row r="283" spans="1:8" x14ac:dyDescent="0.45">
      <c r="A283" s="23" t="str">
        <f>IF(ISBLANK([1]PitScoutingInfo!A283),"",[1]PitScoutingInfo!A283)</f>
        <v/>
      </c>
      <c r="B283" s="23" t="str">
        <f>IF(ISBLANK([1]PitScoutingInfo!B283),"",[1]PitScoutingInfo!B283)</f>
        <v/>
      </c>
      <c r="C283" s="23" t="str">
        <f>IF(ISBLANK([1]PitScoutingInfo!J283),"",[1]PitScoutingInfo!J283)</f>
        <v/>
      </c>
      <c r="D283" s="23" t="str">
        <f>IF(ISBLANK([1]PitScoutingInfo!M283),"",[1]PitScoutingInfo!M283)</f>
        <v/>
      </c>
      <c r="E283" s="23" t="str">
        <f>IF(ISBLANK([1]PitScoutingInfo!N283),"",[1]PitScoutingInfo!N283)</f>
        <v/>
      </c>
      <c r="F283" s="23" t="str">
        <f>IF(ISBLANK([1]PitScoutingInfo!V283),"",[1]PitScoutingInfo!V283)</f>
        <v/>
      </c>
      <c r="G283" s="23" t="str">
        <f>IF(ISBLANK([1]PitScoutingInfo!W283),"",[1]PitScoutingInfo!W283)</f>
        <v/>
      </c>
      <c r="H283" s="23" t="str">
        <f>IF(ISBLANK([1]PitScoutingInfo!Z283),"",[1]PitScoutingInfo!Z283)</f>
        <v/>
      </c>
    </row>
    <row r="284" spans="1:8" x14ac:dyDescent="0.45">
      <c r="A284" s="23" t="str">
        <f>IF(ISBLANK([1]PitScoutingInfo!A284),"",[1]PitScoutingInfo!A284)</f>
        <v/>
      </c>
      <c r="B284" s="23" t="str">
        <f>IF(ISBLANK([1]PitScoutingInfo!B284),"",[1]PitScoutingInfo!B284)</f>
        <v/>
      </c>
      <c r="C284" s="23" t="str">
        <f>IF(ISBLANK([1]PitScoutingInfo!J284),"",[1]PitScoutingInfo!J284)</f>
        <v/>
      </c>
      <c r="D284" s="23" t="str">
        <f>IF(ISBLANK([1]PitScoutingInfo!M284),"",[1]PitScoutingInfo!M284)</f>
        <v/>
      </c>
      <c r="E284" s="23" t="str">
        <f>IF(ISBLANK([1]PitScoutingInfo!N284),"",[1]PitScoutingInfo!N284)</f>
        <v/>
      </c>
      <c r="F284" s="23" t="str">
        <f>IF(ISBLANK([1]PitScoutingInfo!V284),"",[1]PitScoutingInfo!V284)</f>
        <v/>
      </c>
      <c r="G284" s="23" t="str">
        <f>IF(ISBLANK([1]PitScoutingInfo!W284),"",[1]PitScoutingInfo!W284)</f>
        <v/>
      </c>
      <c r="H284" s="23" t="str">
        <f>IF(ISBLANK([1]PitScoutingInfo!Z284),"",[1]PitScoutingInfo!Z284)</f>
        <v/>
      </c>
    </row>
    <row r="285" spans="1:8" x14ac:dyDescent="0.45">
      <c r="A285" s="23" t="str">
        <f>IF(ISBLANK([1]PitScoutingInfo!A285),"",[1]PitScoutingInfo!A285)</f>
        <v/>
      </c>
      <c r="B285" s="23" t="str">
        <f>IF(ISBLANK([1]PitScoutingInfo!B285),"",[1]PitScoutingInfo!B285)</f>
        <v/>
      </c>
      <c r="C285" s="23" t="str">
        <f>IF(ISBLANK([1]PitScoutingInfo!J285),"",[1]PitScoutingInfo!J285)</f>
        <v/>
      </c>
      <c r="D285" s="23" t="str">
        <f>IF(ISBLANK([1]PitScoutingInfo!M285),"",[1]PitScoutingInfo!M285)</f>
        <v/>
      </c>
      <c r="E285" s="23" t="str">
        <f>IF(ISBLANK([1]PitScoutingInfo!N285),"",[1]PitScoutingInfo!N285)</f>
        <v/>
      </c>
      <c r="F285" s="23" t="str">
        <f>IF(ISBLANK([1]PitScoutingInfo!V285),"",[1]PitScoutingInfo!V285)</f>
        <v/>
      </c>
      <c r="G285" s="23" t="str">
        <f>IF(ISBLANK([1]PitScoutingInfo!W285),"",[1]PitScoutingInfo!W285)</f>
        <v/>
      </c>
      <c r="H285" s="23" t="str">
        <f>IF(ISBLANK([1]PitScoutingInfo!Z285),"",[1]PitScoutingInfo!Z285)</f>
        <v/>
      </c>
    </row>
    <row r="286" spans="1:8" x14ac:dyDescent="0.45">
      <c r="A286" s="23" t="str">
        <f>IF(ISBLANK([1]PitScoutingInfo!A286),"",[1]PitScoutingInfo!A286)</f>
        <v/>
      </c>
      <c r="B286" s="23" t="str">
        <f>IF(ISBLANK([1]PitScoutingInfo!B286),"",[1]PitScoutingInfo!B286)</f>
        <v/>
      </c>
      <c r="C286" s="23" t="str">
        <f>IF(ISBLANK([1]PitScoutingInfo!J286),"",[1]PitScoutingInfo!J286)</f>
        <v/>
      </c>
      <c r="D286" s="23" t="str">
        <f>IF(ISBLANK([1]PitScoutingInfo!M286),"",[1]PitScoutingInfo!M286)</f>
        <v/>
      </c>
      <c r="E286" s="23" t="str">
        <f>IF(ISBLANK([1]PitScoutingInfo!N286),"",[1]PitScoutingInfo!N286)</f>
        <v/>
      </c>
      <c r="F286" s="23" t="str">
        <f>IF(ISBLANK([1]PitScoutingInfo!V286),"",[1]PitScoutingInfo!V286)</f>
        <v/>
      </c>
      <c r="G286" s="23" t="str">
        <f>IF(ISBLANK([1]PitScoutingInfo!W286),"",[1]PitScoutingInfo!W286)</f>
        <v/>
      </c>
      <c r="H286" s="23" t="str">
        <f>IF(ISBLANK([1]PitScoutingInfo!Z286),"",[1]PitScoutingInfo!Z286)</f>
        <v/>
      </c>
    </row>
    <row r="287" spans="1:8" x14ac:dyDescent="0.45">
      <c r="A287" s="23" t="str">
        <f>IF(ISBLANK([1]PitScoutingInfo!A287),"",[1]PitScoutingInfo!A287)</f>
        <v/>
      </c>
      <c r="B287" s="23" t="str">
        <f>IF(ISBLANK([1]PitScoutingInfo!B287),"",[1]PitScoutingInfo!B287)</f>
        <v/>
      </c>
      <c r="C287" s="23" t="str">
        <f>IF(ISBLANK([1]PitScoutingInfo!J287),"",[1]PitScoutingInfo!J287)</f>
        <v/>
      </c>
      <c r="D287" s="23" t="str">
        <f>IF(ISBLANK([1]PitScoutingInfo!M287),"",[1]PitScoutingInfo!M287)</f>
        <v/>
      </c>
      <c r="E287" s="23" t="str">
        <f>IF(ISBLANK([1]PitScoutingInfo!N287),"",[1]PitScoutingInfo!N287)</f>
        <v/>
      </c>
      <c r="F287" s="23" t="str">
        <f>IF(ISBLANK([1]PitScoutingInfo!V287),"",[1]PitScoutingInfo!V287)</f>
        <v/>
      </c>
      <c r="G287" s="23" t="str">
        <f>IF(ISBLANK([1]PitScoutingInfo!W287),"",[1]PitScoutingInfo!W287)</f>
        <v/>
      </c>
      <c r="H287" s="23" t="str">
        <f>IF(ISBLANK([1]PitScoutingInfo!Z287),"",[1]PitScoutingInfo!Z287)</f>
        <v/>
      </c>
    </row>
    <row r="288" spans="1:8" x14ac:dyDescent="0.45">
      <c r="A288" s="23" t="str">
        <f>IF(ISBLANK([1]PitScoutingInfo!A288),"",[1]PitScoutingInfo!A288)</f>
        <v/>
      </c>
      <c r="B288" s="23" t="str">
        <f>IF(ISBLANK([1]PitScoutingInfo!B288),"",[1]PitScoutingInfo!B288)</f>
        <v/>
      </c>
      <c r="C288" s="23" t="str">
        <f>IF(ISBLANK([1]PitScoutingInfo!J288),"",[1]PitScoutingInfo!J288)</f>
        <v/>
      </c>
      <c r="D288" s="23" t="str">
        <f>IF(ISBLANK([1]PitScoutingInfo!M288),"",[1]PitScoutingInfo!M288)</f>
        <v/>
      </c>
      <c r="E288" s="23" t="str">
        <f>IF(ISBLANK([1]PitScoutingInfo!N288),"",[1]PitScoutingInfo!N288)</f>
        <v/>
      </c>
      <c r="F288" s="23" t="str">
        <f>IF(ISBLANK([1]PitScoutingInfo!V288),"",[1]PitScoutingInfo!V288)</f>
        <v/>
      </c>
      <c r="G288" s="23" t="str">
        <f>IF(ISBLANK([1]PitScoutingInfo!W288),"",[1]PitScoutingInfo!W288)</f>
        <v/>
      </c>
      <c r="H288" s="23" t="str">
        <f>IF(ISBLANK([1]PitScoutingInfo!Z288),"",[1]PitScoutingInfo!Z288)</f>
        <v/>
      </c>
    </row>
    <row r="289" spans="1:8" x14ac:dyDescent="0.45">
      <c r="A289" s="23" t="str">
        <f>IF(ISBLANK([1]PitScoutingInfo!A289),"",[1]PitScoutingInfo!A289)</f>
        <v/>
      </c>
      <c r="B289" s="23" t="str">
        <f>IF(ISBLANK([1]PitScoutingInfo!B289),"",[1]PitScoutingInfo!B289)</f>
        <v/>
      </c>
      <c r="C289" s="23" t="str">
        <f>IF(ISBLANK([1]PitScoutingInfo!J289),"",[1]PitScoutingInfo!J289)</f>
        <v/>
      </c>
      <c r="D289" s="23" t="str">
        <f>IF(ISBLANK([1]PitScoutingInfo!M289),"",[1]PitScoutingInfo!M289)</f>
        <v/>
      </c>
      <c r="E289" s="23" t="str">
        <f>IF(ISBLANK([1]PitScoutingInfo!N289),"",[1]PitScoutingInfo!N289)</f>
        <v/>
      </c>
      <c r="F289" s="23" t="str">
        <f>IF(ISBLANK([1]PitScoutingInfo!V289),"",[1]PitScoutingInfo!V289)</f>
        <v/>
      </c>
      <c r="G289" s="23" t="str">
        <f>IF(ISBLANK([1]PitScoutingInfo!W289),"",[1]PitScoutingInfo!W289)</f>
        <v/>
      </c>
      <c r="H289" s="23" t="str">
        <f>IF(ISBLANK([1]PitScoutingInfo!Z289),"",[1]PitScoutingInfo!Z289)</f>
        <v/>
      </c>
    </row>
    <row r="290" spans="1:8" x14ac:dyDescent="0.45">
      <c r="A290" s="23" t="str">
        <f>IF(ISBLANK([1]PitScoutingInfo!A290),"",[1]PitScoutingInfo!A290)</f>
        <v/>
      </c>
      <c r="B290" s="23" t="str">
        <f>IF(ISBLANK([1]PitScoutingInfo!B290),"",[1]PitScoutingInfo!B290)</f>
        <v/>
      </c>
      <c r="C290" s="23" t="str">
        <f>IF(ISBLANK([1]PitScoutingInfo!J290),"",[1]PitScoutingInfo!J290)</f>
        <v/>
      </c>
      <c r="D290" s="23" t="str">
        <f>IF(ISBLANK([1]PitScoutingInfo!M290),"",[1]PitScoutingInfo!M290)</f>
        <v/>
      </c>
      <c r="E290" s="23" t="str">
        <f>IF(ISBLANK([1]PitScoutingInfo!N290),"",[1]PitScoutingInfo!N290)</f>
        <v/>
      </c>
      <c r="F290" s="23" t="str">
        <f>IF(ISBLANK([1]PitScoutingInfo!V290),"",[1]PitScoutingInfo!V290)</f>
        <v/>
      </c>
      <c r="G290" s="23" t="str">
        <f>IF(ISBLANK([1]PitScoutingInfo!W290),"",[1]PitScoutingInfo!W290)</f>
        <v/>
      </c>
      <c r="H290" s="23" t="str">
        <f>IF(ISBLANK([1]PitScoutingInfo!Z290),"",[1]PitScoutingInfo!Z290)</f>
        <v/>
      </c>
    </row>
    <row r="291" spans="1:8" x14ac:dyDescent="0.45">
      <c r="A291" s="23" t="str">
        <f>IF(ISBLANK([1]PitScoutingInfo!A291),"",[1]PitScoutingInfo!A291)</f>
        <v/>
      </c>
      <c r="B291" s="23" t="str">
        <f>IF(ISBLANK([1]PitScoutingInfo!B291),"",[1]PitScoutingInfo!B291)</f>
        <v/>
      </c>
      <c r="C291" s="23" t="str">
        <f>IF(ISBLANK([1]PitScoutingInfo!J291),"",[1]PitScoutingInfo!J291)</f>
        <v/>
      </c>
      <c r="D291" s="23" t="str">
        <f>IF(ISBLANK([1]PitScoutingInfo!M291),"",[1]PitScoutingInfo!M291)</f>
        <v/>
      </c>
      <c r="E291" s="23" t="str">
        <f>IF(ISBLANK([1]PitScoutingInfo!N291),"",[1]PitScoutingInfo!N291)</f>
        <v/>
      </c>
      <c r="F291" s="23" t="str">
        <f>IF(ISBLANK([1]PitScoutingInfo!V291),"",[1]PitScoutingInfo!V291)</f>
        <v/>
      </c>
      <c r="G291" s="23" t="str">
        <f>IF(ISBLANK([1]PitScoutingInfo!W291),"",[1]PitScoutingInfo!W291)</f>
        <v/>
      </c>
      <c r="H291" s="23" t="str">
        <f>IF(ISBLANK([1]PitScoutingInfo!Z291),"",[1]PitScoutingInfo!Z291)</f>
        <v/>
      </c>
    </row>
    <row r="292" spans="1:8" x14ac:dyDescent="0.45">
      <c r="A292" s="23" t="str">
        <f>IF(ISBLANK([1]PitScoutingInfo!A292),"",[1]PitScoutingInfo!A292)</f>
        <v/>
      </c>
      <c r="B292" s="23" t="str">
        <f>IF(ISBLANK([1]PitScoutingInfo!B292),"",[1]PitScoutingInfo!B292)</f>
        <v/>
      </c>
      <c r="C292" s="23" t="str">
        <f>IF(ISBLANK([1]PitScoutingInfo!J292),"",[1]PitScoutingInfo!J292)</f>
        <v/>
      </c>
      <c r="D292" s="23" t="str">
        <f>IF(ISBLANK([1]PitScoutingInfo!M292),"",[1]PitScoutingInfo!M292)</f>
        <v/>
      </c>
      <c r="E292" s="23" t="str">
        <f>IF(ISBLANK([1]PitScoutingInfo!N292),"",[1]PitScoutingInfo!N292)</f>
        <v/>
      </c>
      <c r="F292" s="23" t="str">
        <f>IF(ISBLANK([1]PitScoutingInfo!V292),"",[1]PitScoutingInfo!V292)</f>
        <v/>
      </c>
      <c r="G292" s="23" t="str">
        <f>IF(ISBLANK([1]PitScoutingInfo!W292),"",[1]PitScoutingInfo!W292)</f>
        <v/>
      </c>
      <c r="H292" s="23" t="str">
        <f>IF(ISBLANK([1]PitScoutingInfo!Z292),"",[1]PitScoutingInfo!Z292)</f>
        <v/>
      </c>
    </row>
    <row r="293" spans="1:8" x14ac:dyDescent="0.45">
      <c r="A293" s="23" t="str">
        <f>IF(ISBLANK([1]PitScoutingInfo!A293),"",[1]PitScoutingInfo!A293)</f>
        <v/>
      </c>
      <c r="B293" s="23" t="str">
        <f>IF(ISBLANK([1]PitScoutingInfo!B293),"",[1]PitScoutingInfo!B293)</f>
        <v/>
      </c>
      <c r="C293" s="23" t="str">
        <f>IF(ISBLANK([1]PitScoutingInfo!J293),"",[1]PitScoutingInfo!J293)</f>
        <v/>
      </c>
      <c r="D293" s="23" t="str">
        <f>IF(ISBLANK([1]PitScoutingInfo!M293),"",[1]PitScoutingInfo!M293)</f>
        <v/>
      </c>
      <c r="E293" s="23" t="str">
        <f>IF(ISBLANK([1]PitScoutingInfo!N293),"",[1]PitScoutingInfo!N293)</f>
        <v/>
      </c>
      <c r="F293" s="23" t="str">
        <f>IF(ISBLANK([1]PitScoutingInfo!V293),"",[1]PitScoutingInfo!V293)</f>
        <v/>
      </c>
      <c r="G293" s="23" t="str">
        <f>IF(ISBLANK([1]PitScoutingInfo!W293),"",[1]PitScoutingInfo!W293)</f>
        <v/>
      </c>
      <c r="H293" s="23" t="str">
        <f>IF(ISBLANK([1]PitScoutingInfo!Z293),"",[1]PitScoutingInfo!Z293)</f>
        <v/>
      </c>
    </row>
    <row r="294" spans="1:8" x14ac:dyDescent="0.45">
      <c r="A294" s="23" t="str">
        <f>IF(ISBLANK([1]PitScoutingInfo!A294),"",[1]PitScoutingInfo!A294)</f>
        <v/>
      </c>
      <c r="B294" s="23" t="str">
        <f>IF(ISBLANK([1]PitScoutingInfo!B294),"",[1]PitScoutingInfo!B294)</f>
        <v/>
      </c>
      <c r="C294" s="23" t="str">
        <f>IF(ISBLANK([1]PitScoutingInfo!J294),"",[1]PitScoutingInfo!J294)</f>
        <v/>
      </c>
      <c r="D294" s="23" t="str">
        <f>IF(ISBLANK([1]PitScoutingInfo!M294),"",[1]PitScoutingInfo!M294)</f>
        <v/>
      </c>
      <c r="E294" s="23" t="str">
        <f>IF(ISBLANK([1]PitScoutingInfo!N294),"",[1]PitScoutingInfo!N294)</f>
        <v/>
      </c>
      <c r="F294" s="23" t="str">
        <f>IF(ISBLANK([1]PitScoutingInfo!V294),"",[1]PitScoutingInfo!V294)</f>
        <v/>
      </c>
      <c r="G294" s="23" t="str">
        <f>IF(ISBLANK([1]PitScoutingInfo!W294),"",[1]PitScoutingInfo!W294)</f>
        <v/>
      </c>
      <c r="H294" s="23" t="str">
        <f>IF(ISBLANK([1]PitScoutingInfo!Z294),"",[1]PitScoutingInfo!Z294)</f>
        <v/>
      </c>
    </row>
    <row r="295" spans="1:8" x14ac:dyDescent="0.45">
      <c r="A295" s="23" t="str">
        <f>IF(ISBLANK([1]PitScoutingInfo!A295),"",[1]PitScoutingInfo!A295)</f>
        <v/>
      </c>
      <c r="B295" s="23" t="str">
        <f>IF(ISBLANK([1]PitScoutingInfo!B295),"",[1]PitScoutingInfo!B295)</f>
        <v/>
      </c>
      <c r="C295" s="23" t="str">
        <f>IF(ISBLANK([1]PitScoutingInfo!J295),"",[1]PitScoutingInfo!J295)</f>
        <v/>
      </c>
      <c r="D295" s="23" t="str">
        <f>IF(ISBLANK([1]PitScoutingInfo!M295),"",[1]PitScoutingInfo!M295)</f>
        <v/>
      </c>
      <c r="E295" s="23" t="str">
        <f>IF(ISBLANK([1]PitScoutingInfo!N295),"",[1]PitScoutingInfo!N295)</f>
        <v/>
      </c>
      <c r="F295" s="23" t="str">
        <f>IF(ISBLANK([1]PitScoutingInfo!V295),"",[1]PitScoutingInfo!V295)</f>
        <v/>
      </c>
      <c r="G295" s="23" t="str">
        <f>IF(ISBLANK([1]PitScoutingInfo!W295),"",[1]PitScoutingInfo!W295)</f>
        <v/>
      </c>
      <c r="H295" s="23" t="str">
        <f>IF(ISBLANK([1]PitScoutingInfo!Z295),"",[1]PitScoutingInfo!Z295)</f>
        <v/>
      </c>
    </row>
    <row r="296" spans="1:8" x14ac:dyDescent="0.45">
      <c r="A296" s="23" t="str">
        <f>IF(ISBLANK([1]PitScoutingInfo!A296),"",[1]PitScoutingInfo!A296)</f>
        <v/>
      </c>
      <c r="B296" s="23" t="str">
        <f>IF(ISBLANK([1]PitScoutingInfo!B296),"",[1]PitScoutingInfo!B296)</f>
        <v/>
      </c>
      <c r="C296" s="23" t="str">
        <f>IF(ISBLANK([1]PitScoutingInfo!J296),"",[1]PitScoutingInfo!J296)</f>
        <v/>
      </c>
      <c r="D296" s="23" t="str">
        <f>IF(ISBLANK([1]PitScoutingInfo!M296),"",[1]PitScoutingInfo!M296)</f>
        <v/>
      </c>
      <c r="E296" s="23" t="str">
        <f>IF(ISBLANK([1]PitScoutingInfo!N296),"",[1]PitScoutingInfo!N296)</f>
        <v/>
      </c>
      <c r="F296" s="23" t="str">
        <f>IF(ISBLANK([1]PitScoutingInfo!V296),"",[1]PitScoutingInfo!V296)</f>
        <v/>
      </c>
      <c r="G296" s="23" t="str">
        <f>IF(ISBLANK([1]PitScoutingInfo!W296),"",[1]PitScoutingInfo!W296)</f>
        <v/>
      </c>
      <c r="H296" s="23" t="str">
        <f>IF(ISBLANK([1]PitScoutingInfo!Z296),"",[1]PitScoutingInfo!Z296)</f>
        <v/>
      </c>
    </row>
    <row r="297" spans="1:8" x14ac:dyDescent="0.45">
      <c r="A297" s="23" t="str">
        <f>IF(ISBLANK([1]PitScoutingInfo!A297),"",[1]PitScoutingInfo!A297)</f>
        <v/>
      </c>
      <c r="B297" s="23" t="str">
        <f>IF(ISBLANK([1]PitScoutingInfo!B297),"",[1]PitScoutingInfo!B297)</f>
        <v/>
      </c>
      <c r="C297" s="23" t="str">
        <f>IF(ISBLANK([1]PitScoutingInfo!J297),"",[1]PitScoutingInfo!J297)</f>
        <v/>
      </c>
      <c r="D297" s="23" t="str">
        <f>IF(ISBLANK([1]PitScoutingInfo!M297),"",[1]PitScoutingInfo!M297)</f>
        <v/>
      </c>
      <c r="E297" s="23" t="str">
        <f>IF(ISBLANK([1]PitScoutingInfo!N297),"",[1]PitScoutingInfo!N297)</f>
        <v/>
      </c>
      <c r="F297" s="23" t="str">
        <f>IF(ISBLANK([1]PitScoutingInfo!V297),"",[1]PitScoutingInfo!V297)</f>
        <v/>
      </c>
      <c r="G297" s="23" t="str">
        <f>IF(ISBLANK([1]PitScoutingInfo!W297),"",[1]PitScoutingInfo!W297)</f>
        <v/>
      </c>
      <c r="H297" s="23" t="str">
        <f>IF(ISBLANK([1]PitScoutingInfo!Z297),"",[1]PitScoutingInfo!Z297)</f>
        <v/>
      </c>
    </row>
    <row r="298" spans="1:8" x14ac:dyDescent="0.45">
      <c r="A298" s="23" t="str">
        <f>IF(ISBLANK([1]PitScoutingInfo!A298),"",[1]PitScoutingInfo!A298)</f>
        <v/>
      </c>
      <c r="B298" s="23" t="str">
        <f>IF(ISBLANK([1]PitScoutingInfo!B298),"",[1]PitScoutingInfo!B298)</f>
        <v/>
      </c>
      <c r="C298" s="23" t="str">
        <f>IF(ISBLANK([1]PitScoutingInfo!J298),"",[1]PitScoutingInfo!J298)</f>
        <v/>
      </c>
      <c r="D298" s="23" t="str">
        <f>IF(ISBLANK([1]PitScoutingInfo!M298),"",[1]PitScoutingInfo!M298)</f>
        <v/>
      </c>
      <c r="E298" s="23" t="str">
        <f>IF(ISBLANK([1]PitScoutingInfo!N298),"",[1]PitScoutingInfo!N298)</f>
        <v/>
      </c>
      <c r="F298" s="23" t="str">
        <f>IF(ISBLANK([1]PitScoutingInfo!V298),"",[1]PitScoutingInfo!V298)</f>
        <v/>
      </c>
      <c r="G298" s="23" t="str">
        <f>IF(ISBLANK([1]PitScoutingInfo!W298),"",[1]PitScoutingInfo!W298)</f>
        <v/>
      </c>
      <c r="H298" s="23" t="str">
        <f>IF(ISBLANK([1]PitScoutingInfo!Z298),"",[1]PitScoutingInfo!Z298)</f>
        <v/>
      </c>
    </row>
    <row r="299" spans="1:8" x14ac:dyDescent="0.45">
      <c r="A299" s="23" t="str">
        <f>IF(ISBLANK([1]PitScoutingInfo!A299),"",[1]PitScoutingInfo!A299)</f>
        <v/>
      </c>
      <c r="B299" s="23" t="str">
        <f>IF(ISBLANK([1]PitScoutingInfo!B299),"",[1]PitScoutingInfo!B299)</f>
        <v/>
      </c>
      <c r="C299" s="23" t="str">
        <f>IF(ISBLANK([1]PitScoutingInfo!J299),"",[1]PitScoutingInfo!J299)</f>
        <v/>
      </c>
      <c r="D299" s="23" t="str">
        <f>IF(ISBLANK([1]PitScoutingInfo!M299),"",[1]PitScoutingInfo!M299)</f>
        <v/>
      </c>
      <c r="E299" s="23" t="str">
        <f>IF(ISBLANK([1]PitScoutingInfo!N299),"",[1]PitScoutingInfo!N299)</f>
        <v/>
      </c>
      <c r="F299" s="23" t="str">
        <f>IF(ISBLANK([1]PitScoutingInfo!V299),"",[1]PitScoutingInfo!V299)</f>
        <v/>
      </c>
      <c r="G299" s="23" t="str">
        <f>IF(ISBLANK([1]PitScoutingInfo!W299),"",[1]PitScoutingInfo!W299)</f>
        <v/>
      </c>
      <c r="H299" s="23" t="str">
        <f>IF(ISBLANK([1]PitScoutingInfo!Z299),"",[1]PitScoutingInfo!Z299)</f>
        <v/>
      </c>
    </row>
    <row r="300" spans="1:8" x14ac:dyDescent="0.45">
      <c r="A300" s="23" t="str">
        <f>IF(ISBLANK([1]PitScoutingInfo!A300),"",[1]PitScoutingInfo!A300)</f>
        <v/>
      </c>
      <c r="B300" s="23" t="str">
        <f>IF(ISBLANK([1]PitScoutingInfo!B300),"",[1]PitScoutingInfo!B300)</f>
        <v/>
      </c>
      <c r="C300" s="23" t="str">
        <f>IF(ISBLANK([1]PitScoutingInfo!J300),"",[1]PitScoutingInfo!J300)</f>
        <v/>
      </c>
      <c r="D300" s="23" t="str">
        <f>IF(ISBLANK([1]PitScoutingInfo!M300),"",[1]PitScoutingInfo!M300)</f>
        <v/>
      </c>
      <c r="E300" s="23" t="str">
        <f>IF(ISBLANK([1]PitScoutingInfo!N300),"",[1]PitScoutingInfo!N300)</f>
        <v/>
      </c>
      <c r="F300" s="23" t="str">
        <f>IF(ISBLANK([1]PitScoutingInfo!V300),"",[1]PitScoutingInfo!V300)</f>
        <v/>
      </c>
      <c r="G300" s="23" t="str">
        <f>IF(ISBLANK([1]PitScoutingInfo!W300),"",[1]PitScoutingInfo!W300)</f>
        <v/>
      </c>
      <c r="H300" s="23" t="str">
        <f>IF(ISBLANK([1]PitScoutingInfo!Z300),"",[1]PitScoutingInfo!Z300)</f>
        <v/>
      </c>
    </row>
    <row r="301" spans="1:8" x14ac:dyDescent="0.45">
      <c r="A301" s="23" t="str">
        <f>IF(ISBLANK([1]PitScoutingInfo!A301),"",[1]PitScoutingInfo!A301)</f>
        <v/>
      </c>
      <c r="B301" s="23" t="str">
        <f>IF(ISBLANK([1]PitScoutingInfo!B301),"",[1]PitScoutingInfo!B301)</f>
        <v/>
      </c>
      <c r="C301" s="23" t="str">
        <f>IF(ISBLANK([1]PitScoutingInfo!J301),"",[1]PitScoutingInfo!J301)</f>
        <v/>
      </c>
      <c r="D301" s="23" t="str">
        <f>IF(ISBLANK([1]PitScoutingInfo!M301),"",[1]PitScoutingInfo!M301)</f>
        <v/>
      </c>
      <c r="E301" s="23" t="str">
        <f>IF(ISBLANK([1]PitScoutingInfo!N301),"",[1]PitScoutingInfo!N301)</f>
        <v/>
      </c>
      <c r="F301" s="23" t="str">
        <f>IF(ISBLANK([1]PitScoutingInfo!V301),"",[1]PitScoutingInfo!V301)</f>
        <v/>
      </c>
      <c r="G301" s="23" t="str">
        <f>IF(ISBLANK([1]PitScoutingInfo!W301),"",[1]PitScoutingInfo!W301)</f>
        <v/>
      </c>
      <c r="H301" s="23" t="str">
        <f>IF(ISBLANK([1]PitScoutingInfo!Z301),"",[1]PitScoutingInfo!Z301)</f>
        <v/>
      </c>
    </row>
    <row r="302" spans="1:8" x14ac:dyDescent="0.45">
      <c r="A302" s="23" t="str">
        <f>IF(ISBLANK([1]PitScoutingInfo!A302),"",[1]PitScoutingInfo!A302)</f>
        <v/>
      </c>
      <c r="B302" s="23" t="str">
        <f>IF(ISBLANK([1]PitScoutingInfo!B302),"",[1]PitScoutingInfo!B302)</f>
        <v/>
      </c>
      <c r="C302" s="23" t="str">
        <f>IF(ISBLANK([1]PitScoutingInfo!J302),"",[1]PitScoutingInfo!J302)</f>
        <v/>
      </c>
      <c r="D302" s="23" t="str">
        <f>IF(ISBLANK([1]PitScoutingInfo!M302),"",[1]PitScoutingInfo!M302)</f>
        <v/>
      </c>
      <c r="E302" s="23" t="str">
        <f>IF(ISBLANK([1]PitScoutingInfo!N302),"",[1]PitScoutingInfo!N302)</f>
        <v/>
      </c>
      <c r="F302" s="23" t="str">
        <f>IF(ISBLANK([1]PitScoutingInfo!V302),"",[1]PitScoutingInfo!V302)</f>
        <v/>
      </c>
      <c r="G302" s="23" t="str">
        <f>IF(ISBLANK([1]PitScoutingInfo!W302),"",[1]PitScoutingInfo!W302)</f>
        <v/>
      </c>
      <c r="H302" s="23" t="str">
        <f>IF(ISBLANK([1]PitScoutingInfo!Z302),"",[1]PitScoutingInfo!Z302)</f>
        <v/>
      </c>
    </row>
    <row r="303" spans="1:8" x14ac:dyDescent="0.45">
      <c r="A303" s="23" t="str">
        <f>IF(ISBLANK([1]PitScoutingInfo!A303),"",[1]PitScoutingInfo!A303)</f>
        <v/>
      </c>
      <c r="B303" s="23" t="str">
        <f>IF(ISBLANK([1]PitScoutingInfo!B303),"",[1]PitScoutingInfo!B303)</f>
        <v/>
      </c>
      <c r="C303" s="23" t="str">
        <f>IF(ISBLANK([1]PitScoutingInfo!J303),"",[1]PitScoutingInfo!J303)</f>
        <v/>
      </c>
      <c r="D303" s="23" t="str">
        <f>IF(ISBLANK([1]PitScoutingInfo!M303),"",[1]PitScoutingInfo!M303)</f>
        <v/>
      </c>
      <c r="E303" s="23" t="str">
        <f>IF(ISBLANK([1]PitScoutingInfo!N303),"",[1]PitScoutingInfo!N303)</f>
        <v/>
      </c>
      <c r="F303" s="23" t="str">
        <f>IF(ISBLANK([1]PitScoutingInfo!V303),"",[1]PitScoutingInfo!V303)</f>
        <v/>
      </c>
      <c r="G303" s="23" t="str">
        <f>IF(ISBLANK([1]PitScoutingInfo!W303),"",[1]PitScoutingInfo!W303)</f>
        <v/>
      </c>
      <c r="H303" s="23" t="str">
        <f>IF(ISBLANK([1]PitScoutingInfo!Z303),"",[1]PitScoutingInfo!Z303)</f>
        <v/>
      </c>
    </row>
    <row r="304" spans="1:8" x14ac:dyDescent="0.45">
      <c r="A304" s="23" t="str">
        <f>IF(ISBLANK([1]PitScoutingInfo!A304),"",[1]PitScoutingInfo!A304)</f>
        <v/>
      </c>
      <c r="B304" s="23" t="str">
        <f>IF(ISBLANK([1]PitScoutingInfo!B304),"",[1]PitScoutingInfo!B304)</f>
        <v/>
      </c>
      <c r="C304" s="23" t="str">
        <f>IF(ISBLANK([1]PitScoutingInfo!J304),"",[1]PitScoutingInfo!J304)</f>
        <v/>
      </c>
      <c r="D304" s="23" t="str">
        <f>IF(ISBLANK([1]PitScoutingInfo!M304),"",[1]PitScoutingInfo!M304)</f>
        <v/>
      </c>
      <c r="E304" s="23" t="str">
        <f>IF(ISBLANK([1]PitScoutingInfo!N304),"",[1]PitScoutingInfo!N304)</f>
        <v/>
      </c>
      <c r="F304" s="23" t="str">
        <f>IF(ISBLANK([1]PitScoutingInfo!V304),"",[1]PitScoutingInfo!V304)</f>
        <v/>
      </c>
      <c r="G304" s="23" t="str">
        <f>IF(ISBLANK([1]PitScoutingInfo!W304),"",[1]PitScoutingInfo!W304)</f>
        <v/>
      </c>
      <c r="H304" s="23" t="str">
        <f>IF(ISBLANK([1]PitScoutingInfo!Z304),"",[1]PitScoutingInfo!Z304)</f>
        <v/>
      </c>
    </row>
    <row r="305" spans="1:8" x14ac:dyDescent="0.45">
      <c r="A305" s="23" t="str">
        <f>IF(ISBLANK([1]PitScoutingInfo!A305),"",[1]PitScoutingInfo!A305)</f>
        <v/>
      </c>
      <c r="B305" s="23" t="str">
        <f>IF(ISBLANK([1]PitScoutingInfo!B305),"",[1]PitScoutingInfo!B305)</f>
        <v/>
      </c>
      <c r="C305" s="23" t="str">
        <f>IF(ISBLANK([1]PitScoutingInfo!J305),"",[1]PitScoutingInfo!J305)</f>
        <v/>
      </c>
      <c r="D305" s="23" t="str">
        <f>IF(ISBLANK([1]PitScoutingInfo!M305),"",[1]PitScoutingInfo!M305)</f>
        <v/>
      </c>
      <c r="E305" s="23" t="str">
        <f>IF(ISBLANK([1]PitScoutingInfo!N305),"",[1]PitScoutingInfo!N305)</f>
        <v/>
      </c>
      <c r="F305" s="23" t="str">
        <f>IF(ISBLANK([1]PitScoutingInfo!V305),"",[1]PitScoutingInfo!V305)</f>
        <v/>
      </c>
      <c r="G305" s="23" t="str">
        <f>IF(ISBLANK([1]PitScoutingInfo!W305),"",[1]PitScoutingInfo!W305)</f>
        <v/>
      </c>
      <c r="H305" s="23" t="str">
        <f>IF(ISBLANK([1]PitScoutingInfo!Z305),"",[1]PitScoutingInfo!Z305)</f>
        <v/>
      </c>
    </row>
    <row r="306" spans="1:8" x14ac:dyDescent="0.45">
      <c r="A306" s="23" t="str">
        <f>IF(ISBLANK([1]PitScoutingInfo!A306),"",[1]PitScoutingInfo!A306)</f>
        <v/>
      </c>
      <c r="B306" s="23" t="str">
        <f>IF(ISBLANK([1]PitScoutingInfo!B306),"",[1]PitScoutingInfo!B306)</f>
        <v/>
      </c>
      <c r="C306" s="23" t="str">
        <f>IF(ISBLANK([1]PitScoutingInfo!J306),"",[1]PitScoutingInfo!J306)</f>
        <v/>
      </c>
      <c r="D306" s="23" t="str">
        <f>IF(ISBLANK([1]PitScoutingInfo!M306),"",[1]PitScoutingInfo!M306)</f>
        <v/>
      </c>
      <c r="E306" s="23" t="str">
        <f>IF(ISBLANK([1]PitScoutingInfo!N306),"",[1]PitScoutingInfo!N306)</f>
        <v/>
      </c>
      <c r="F306" s="23" t="str">
        <f>IF(ISBLANK([1]PitScoutingInfo!V306),"",[1]PitScoutingInfo!V306)</f>
        <v/>
      </c>
      <c r="G306" s="23" t="str">
        <f>IF(ISBLANK([1]PitScoutingInfo!W306),"",[1]PitScoutingInfo!W306)</f>
        <v/>
      </c>
      <c r="H306" s="23" t="str">
        <f>IF(ISBLANK([1]PitScoutingInfo!Z306),"",[1]PitScoutingInfo!Z306)</f>
        <v/>
      </c>
    </row>
    <row r="307" spans="1:8" x14ac:dyDescent="0.45">
      <c r="A307" s="23" t="str">
        <f>IF(ISBLANK([1]PitScoutingInfo!A307),"",[1]PitScoutingInfo!A307)</f>
        <v/>
      </c>
      <c r="B307" s="23" t="str">
        <f>IF(ISBLANK([1]PitScoutingInfo!B307),"",[1]PitScoutingInfo!B307)</f>
        <v/>
      </c>
      <c r="C307" s="23" t="str">
        <f>IF(ISBLANK([1]PitScoutingInfo!J307),"",[1]PitScoutingInfo!J307)</f>
        <v/>
      </c>
      <c r="D307" s="23" t="str">
        <f>IF(ISBLANK([1]PitScoutingInfo!M307),"",[1]PitScoutingInfo!M307)</f>
        <v/>
      </c>
      <c r="E307" s="23" t="str">
        <f>IF(ISBLANK([1]PitScoutingInfo!N307),"",[1]PitScoutingInfo!N307)</f>
        <v/>
      </c>
      <c r="F307" s="23" t="str">
        <f>IF(ISBLANK([1]PitScoutingInfo!V307),"",[1]PitScoutingInfo!V307)</f>
        <v/>
      </c>
      <c r="G307" s="23" t="str">
        <f>IF(ISBLANK([1]PitScoutingInfo!W307),"",[1]PitScoutingInfo!W307)</f>
        <v/>
      </c>
      <c r="H307" s="23" t="str">
        <f>IF(ISBLANK([1]PitScoutingInfo!Z307),"",[1]PitScoutingInfo!Z307)</f>
        <v/>
      </c>
    </row>
    <row r="308" spans="1:8" x14ac:dyDescent="0.45">
      <c r="A308" s="23" t="str">
        <f>IF(ISBLANK([1]PitScoutingInfo!A308),"",[1]PitScoutingInfo!A308)</f>
        <v/>
      </c>
      <c r="B308" s="23" t="str">
        <f>IF(ISBLANK([1]PitScoutingInfo!B308),"",[1]PitScoutingInfo!B308)</f>
        <v/>
      </c>
      <c r="C308" s="23" t="str">
        <f>IF(ISBLANK([1]PitScoutingInfo!J308),"",[1]PitScoutingInfo!J308)</f>
        <v/>
      </c>
      <c r="D308" s="23" t="str">
        <f>IF(ISBLANK([1]PitScoutingInfo!M308),"",[1]PitScoutingInfo!M308)</f>
        <v/>
      </c>
      <c r="E308" s="23" t="str">
        <f>IF(ISBLANK([1]PitScoutingInfo!N308),"",[1]PitScoutingInfo!N308)</f>
        <v/>
      </c>
      <c r="F308" s="23" t="str">
        <f>IF(ISBLANK([1]PitScoutingInfo!V308),"",[1]PitScoutingInfo!V308)</f>
        <v/>
      </c>
      <c r="G308" s="23" t="str">
        <f>IF(ISBLANK([1]PitScoutingInfo!W308),"",[1]PitScoutingInfo!W308)</f>
        <v/>
      </c>
      <c r="H308" s="23" t="str">
        <f>IF(ISBLANK([1]PitScoutingInfo!Z308),"",[1]PitScoutingInfo!Z308)</f>
        <v/>
      </c>
    </row>
    <row r="309" spans="1:8" x14ac:dyDescent="0.45">
      <c r="A309" s="23" t="str">
        <f>IF(ISBLANK([1]PitScoutingInfo!A309),"",[1]PitScoutingInfo!A309)</f>
        <v/>
      </c>
      <c r="B309" s="23" t="str">
        <f>IF(ISBLANK([1]PitScoutingInfo!B309),"",[1]PitScoutingInfo!B309)</f>
        <v/>
      </c>
      <c r="C309" s="23" t="str">
        <f>IF(ISBLANK([1]PitScoutingInfo!J309),"",[1]PitScoutingInfo!J309)</f>
        <v/>
      </c>
      <c r="D309" s="23" t="str">
        <f>IF(ISBLANK([1]PitScoutingInfo!M309),"",[1]PitScoutingInfo!M309)</f>
        <v/>
      </c>
      <c r="E309" s="23" t="str">
        <f>IF(ISBLANK([1]PitScoutingInfo!N309),"",[1]PitScoutingInfo!N309)</f>
        <v/>
      </c>
      <c r="F309" s="23" t="str">
        <f>IF(ISBLANK([1]PitScoutingInfo!V309),"",[1]PitScoutingInfo!V309)</f>
        <v/>
      </c>
      <c r="G309" s="23" t="str">
        <f>IF(ISBLANK([1]PitScoutingInfo!W309),"",[1]PitScoutingInfo!W309)</f>
        <v/>
      </c>
      <c r="H309" s="23" t="str">
        <f>IF(ISBLANK([1]PitScoutingInfo!Z309),"",[1]PitScoutingInfo!Z309)</f>
        <v/>
      </c>
    </row>
    <row r="310" spans="1:8" x14ac:dyDescent="0.45">
      <c r="A310" s="23" t="str">
        <f>IF(ISBLANK([1]PitScoutingInfo!A310),"",[1]PitScoutingInfo!A310)</f>
        <v/>
      </c>
      <c r="B310" s="23" t="str">
        <f>IF(ISBLANK([1]PitScoutingInfo!B310),"",[1]PitScoutingInfo!B310)</f>
        <v/>
      </c>
      <c r="C310" s="23" t="str">
        <f>IF(ISBLANK([1]PitScoutingInfo!J310),"",[1]PitScoutingInfo!J310)</f>
        <v/>
      </c>
      <c r="D310" s="23" t="str">
        <f>IF(ISBLANK([1]PitScoutingInfo!M310),"",[1]PitScoutingInfo!M310)</f>
        <v/>
      </c>
      <c r="E310" s="23" t="str">
        <f>IF(ISBLANK([1]PitScoutingInfo!N310),"",[1]PitScoutingInfo!N310)</f>
        <v/>
      </c>
      <c r="F310" s="23" t="str">
        <f>IF(ISBLANK([1]PitScoutingInfo!V310),"",[1]PitScoutingInfo!V310)</f>
        <v/>
      </c>
      <c r="G310" s="23" t="str">
        <f>IF(ISBLANK([1]PitScoutingInfo!W310),"",[1]PitScoutingInfo!W310)</f>
        <v/>
      </c>
      <c r="H310" s="23" t="str">
        <f>IF(ISBLANK([1]PitScoutingInfo!Z310),"",[1]PitScoutingInfo!Z310)</f>
        <v/>
      </c>
    </row>
    <row r="311" spans="1:8" x14ac:dyDescent="0.45">
      <c r="A311" s="23" t="str">
        <f>IF(ISBLANK([1]PitScoutingInfo!A311),"",[1]PitScoutingInfo!A311)</f>
        <v/>
      </c>
      <c r="B311" s="23" t="str">
        <f>IF(ISBLANK([1]PitScoutingInfo!B311),"",[1]PitScoutingInfo!B311)</f>
        <v/>
      </c>
      <c r="C311" s="23" t="str">
        <f>IF(ISBLANK([1]PitScoutingInfo!J311),"",[1]PitScoutingInfo!J311)</f>
        <v/>
      </c>
      <c r="D311" s="23" t="str">
        <f>IF(ISBLANK([1]PitScoutingInfo!M311),"",[1]PitScoutingInfo!M311)</f>
        <v/>
      </c>
      <c r="E311" s="23" t="str">
        <f>IF(ISBLANK([1]PitScoutingInfo!N311),"",[1]PitScoutingInfo!N311)</f>
        <v/>
      </c>
      <c r="F311" s="23" t="str">
        <f>IF(ISBLANK([1]PitScoutingInfo!V311),"",[1]PitScoutingInfo!V311)</f>
        <v/>
      </c>
      <c r="G311" s="23" t="str">
        <f>IF(ISBLANK([1]PitScoutingInfo!W311),"",[1]PitScoutingInfo!W311)</f>
        <v/>
      </c>
      <c r="H311" s="23" t="str">
        <f>IF(ISBLANK([1]PitScoutingInfo!Z311),"",[1]PitScoutingInfo!Z311)</f>
        <v/>
      </c>
    </row>
    <row r="312" spans="1:8" x14ac:dyDescent="0.45">
      <c r="A312" s="23" t="str">
        <f>IF(ISBLANK([1]PitScoutingInfo!A312),"",[1]PitScoutingInfo!A312)</f>
        <v/>
      </c>
      <c r="B312" s="23" t="str">
        <f>IF(ISBLANK([1]PitScoutingInfo!B312),"",[1]PitScoutingInfo!B312)</f>
        <v/>
      </c>
      <c r="C312" s="23" t="str">
        <f>IF(ISBLANK([1]PitScoutingInfo!J312),"",[1]PitScoutingInfo!J312)</f>
        <v/>
      </c>
      <c r="D312" s="23" t="str">
        <f>IF(ISBLANK([1]PitScoutingInfo!M312),"",[1]PitScoutingInfo!M312)</f>
        <v/>
      </c>
      <c r="E312" s="23" t="str">
        <f>IF(ISBLANK([1]PitScoutingInfo!N312),"",[1]PitScoutingInfo!N312)</f>
        <v/>
      </c>
      <c r="F312" s="23" t="str">
        <f>IF(ISBLANK([1]PitScoutingInfo!V312),"",[1]PitScoutingInfo!V312)</f>
        <v/>
      </c>
      <c r="G312" s="23" t="str">
        <f>IF(ISBLANK([1]PitScoutingInfo!W312),"",[1]PitScoutingInfo!W312)</f>
        <v/>
      </c>
      <c r="H312" s="23" t="str">
        <f>IF(ISBLANK([1]PitScoutingInfo!Z312),"",[1]PitScoutingInfo!Z312)</f>
        <v/>
      </c>
    </row>
    <row r="313" spans="1:8" x14ac:dyDescent="0.45">
      <c r="A313" s="23" t="str">
        <f>IF(ISBLANK([1]PitScoutingInfo!A313),"",[1]PitScoutingInfo!A313)</f>
        <v/>
      </c>
      <c r="B313" s="23" t="str">
        <f>IF(ISBLANK([1]PitScoutingInfo!B313),"",[1]PitScoutingInfo!B313)</f>
        <v/>
      </c>
      <c r="C313" s="23" t="str">
        <f>IF(ISBLANK([1]PitScoutingInfo!J313),"",[1]PitScoutingInfo!J313)</f>
        <v/>
      </c>
      <c r="D313" s="23" t="str">
        <f>IF(ISBLANK([1]PitScoutingInfo!M313),"",[1]PitScoutingInfo!M313)</f>
        <v/>
      </c>
      <c r="E313" s="23" t="str">
        <f>IF(ISBLANK([1]PitScoutingInfo!N313),"",[1]PitScoutingInfo!N313)</f>
        <v/>
      </c>
      <c r="F313" s="23" t="str">
        <f>IF(ISBLANK([1]PitScoutingInfo!V313),"",[1]PitScoutingInfo!V313)</f>
        <v/>
      </c>
      <c r="G313" s="23" t="str">
        <f>IF(ISBLANK([1]PitScoutingInfo!W313),"",[1]PitScoutingInfo!W313)</f>
        <v/>
      </c>
      <c r="H313" s="23" t="str">
        <f>IF(ISBLANK([1]PitScoutingInfo!Z313),"",[1]PitScoutingInfo!Z313)</f>
        <v/>
      </c>
    </row>
    <row r="314" spans="1:8" x14ac:dyDescent="0.45">
      <c r="A314" s="23" t="str">
        <f>IF(ISBLANK([1]PitScoutingInfo!A314),"",[1]PitScoutingInfo!A314)</f>
        <v/>
      </c>
      <c r="B314" s="23" t="str">
        <f>IF(ISBLANK([1]PitScoutingInfo!B314),"",[1]PitScoutingInfo!B314)</f>
        <v/>
      </c>
      <c r="C314" s="23" t="str">
        <f>IF(ISBLANK([1]PitScoutingInfo!J314),"",[1]PitScoutingInfo!J314)</f>
        <v/>
      </c>
      <c r="D314" s="23" t="str">
        <f>IF(ISBLANK([1]PitScoutingInfo!M314),"",[1]PitScoutingInfo!M314)</f>
        <v/>
      </c>
      <c r="E314" s="23" t="str">
        <f>IF(ISBLANK([1]PitScoutingInfo!N314),"",[1]PitScoutingInfo!N314)</f>
        <v/>
      </c>
      <c r="F314" s="23" t="str">
        <f>IF(ISBLANK([1]PitScoutingInfo!V314),"",[1]PitScoutingInfo!V314)</f>
        <v/>
      </c>
      <c r="G314" s="23" t="str">
        <f>IF(ISBLANK([1]PitScoutingInfo!W314),"",[1]PitScoutingInfo!W314)</f>
        <v/>
      </c>
      <c r="H314" s="23" t="str">
        <f>IF(ISBLANK([1]PitScoutingInfo!Z314),"",[1]PitScoutingInfo!Z314)</f>
        <v/>
      </c>
    </row>
    <row r="315" spans="1:8" x14ac:dyDescent="0.45">
      <c r="A315" s="23" t="str">
        <f>IF(ISBLANK([1]PitScoutingInfo!A315),"",[1]PitScoutingInfo!A315)</f>
        <v/>
      </c>
      <c r="B315" s="23" t="str">
        <f>IF(ISBLANK([1]PitScoutingInfo!B315),"",[1]PitScoutingInfo!B315)</f>
        <v/>
      </c>
      <c r="C315" s="23" t="str">
        <f>IF(ISBLANK([1]PitScoutingInfo!J315),"",[1]PitScoutingInfo!J315)</f>
        <v/>
      </c>
      <c r="D315" s="23" t="str">
        <f>IF(ISBLANK([1]PitScoutingInfo!M315),"",[1]PitScoutingInfo!M315)</f>
        <v/>
      </c>
      <c r="E315" s="23" t="str">
        <f>IF(ISBLANK([1]PitScoutingInfo!N315),"",[1]PitScoutingInfo!N315)</f>
        <v/>
      </c>
      <c r="F315" s="23" t="str">
        <f>IF(ISBLANK([1]PitScoutingInfo!V315),"",[1]PitScoutingInfo!V315)</f>
        <v/>
      </c>
      <c r="G315" s="23" t="str">
        <f>IF(ISBLANK([1]PitScoutingInfo!W315),"",[1]PitScoutingInfo!W315)</f>
        <v/>
      </c>
      <c r="H315" s="23" t="str">
        <f>IF(ISBLANK([1]PitScoutingInfo!Z315),"",[1]PitScoutingInfo!Z315)</f>
        <v/>
      </c>
    </row>
    <row r="316" spans="1:8" x14ac:dyDescent="0.45">
      <c r="A316" s="23" t="str">
        <f>IF(ISBLANK([1]PitScoutingInfo!A316),"",[1]PitScoutingInfo!A316)</f>
        <v/>
      </c>
      <c r="B316" s="23" t="str">
        <f>IF(ISBLANK([1]PitScoutingInfo!B316),"",[1]PitScoutingInfo!B316)</f>
        <v/>
      </c>
      <c r="C316" s="23" t="str">
        <f>IF(ISBLANK([1]PitScoutingInfo!J316),"",[1]PitScoutingInfo!J316)</f>
        <v/>
      </c>
      <c r="D316" s="23" t="str">
        <f>IF(ISBLANK([1]PitScoutingInfo!M316),"",[1]PitScoutingInfo!M316)</f>
        <v/>
      </c>
      <c r="E316" s="23" t="str">
        <f>IF(ISBLANK([1]PitScoutingInfo!N316),"",[1]PitScoutingInfo!N316)</f>
        <v/>
      </c>
      <c r="F316" s="23" t="str">
        <f>IF(ISBLANK([1]PitScoutingInfo!V316),"",[1]PitScoutingInfo!V316)</f>
        <v/>
      </c>
      <c r="G316" s="23" t="str">
        <f>IF(ISBLANK([1]PitScoutingInfo!W316),"",[1]PitScoutingInfo!W316)</f>
        <v/>
      </c>
      <c r="H316" s="23" t="str">
        <f>IF(ISBLANK([1]PitScoutingInfo!Z316),"",[1]PitScoutingInfo!Z316)</f>
        <v/>
      </c>
    </row>
    <row r="317" spans="1:8" x14ac:dyDescent="0.45">
      <c r="A317" s="23" t="str">
        <f>IF(ISBLANK([1]PitScoutingInfo!A317),"",[1]PitScoutingInfo!A317)</f>
        <v/>
      </c>
      <c r="B317" s="23" t="str">
        <f>IF(ISBLANK([1]PitScoutingInfo!B317),"",[1]PitScoutingInfo!B317)</f>
        <v/>
      </c>
      <c r="C317" s="23" t="str">
        <f>IF(ISBLANK([1]PitScoutingInfo!J317),"",[1]PitScoutingInfo!J317)</f>
        <v/>
      </c>
      <c r="D317" s="23" t="str">
        <f>IF(ISBLANK([1]PitScoutingInfo!M317),"",[1]PitScoutingInfo!M317)</f>
        <v/>
      </c>
      <c r="E317" s="23" t="str">
        <f>IF(ISBLANK([1]PitScoutingInfo!N317),"",[1]PitScoutingInfo!N317)</f>
        <v/>
      </c>
      <c r="F317" s="23" t="str">
        <f>IF(ISBLANK([1]PitScoutingInfo!V317),"",[1]PitScoutingInfo!V317)</f>
        <v/>
      </c>
      <c r="G317" s="23" t="str">
        <f>IF(ISBLANK([1]PitScoutingInfo!W317),"",[1]PitScoutingInfo!W317)</f>
        <v/>
      </c>
      <c r="H317" s="23" t="str">
        <f>IF(ISBLANK([1]PitScoutingInfo!Z317),"",[1]PitScoutingInfo!Z317)</f>
        <v/>
      </c>
    </row>
    <row r="318" spans="1:8" x14ac:dyDescent="0.45">
      <c r="A318" s="23" t="str">
        <f>IF(ISBLANK([1]PitScoutingInfo!A318),"",[1]PitScoutingInfo!A318)</f>
        <v/>
      </c>
      <c r="B318" s="23" t="str">
        <f>IF(ISBLANK([1]PitScoutingInfo!B318),"",[1]PitScoutingInfo!B318)</f>
        <v/>
      </c>
      <c r="C318" s="23" t="str">
        <f>IF(ISBLANK([1]PitScoutingInfo!J318),"",[1]PitScoutingInfo!J318)</f>
        <v/>
      </c>
      <c r="D318" s="23" t="str">
        <f>IF(ISBLANK([1]PitScoutingInfo!M318),"",[1]PitScoutingInfo!M318)</f>
        <v/>
      </c>
      <c r="E318" s="23" t="str">
        <f>IF(ISBLANK([1]PitScoutingInfo!N318),"",[1]PitScoutingInfo!N318)</f>
        <v/>
      </c>
      <c r="F318" s="23" t="str">
        <f>IF(ISBLANK([1]PitScoutingInfo!V318),"",[1]PitScoutingInfo!V318)</f>
        <v/>
      </c>
      <c r="G318" s="23" t="str">
        <f>IF(ISBLANK([1]PitScoutingInfo!W318),"",[1]PitScoutingInfo!W318)</f>
        <v/>
      </c>
      <c r="H318" s="23" t="str">
        <f>IF(ISBLANK([1]PitScoutingInfo!Z318),"",[1]PitScoutingInfo!Z318)</f>
        <v/>
      </c>
    </row>
    <row r="319" spans="1:8" x14ac:dyDescent="0.45">
      <c r="A319" s="23" t="str">
        <f>IF(ISBLANK([1]PitScoutingInfo!A319),"",[1]PitScoutingInfo!A319)</f>
        <v/>
      </c>
      <c r="B319" s="23" t="str">
        <f>IF(ISBLANK([1]PitScoutingInfo!B319),"",[1]PitScoutingInfo!B319)</f>
        <v/>
      </c>
      <c r="C319" s="23" t="str">
        <f>IF(ISBLANK([1]PitScoutingInfo!J319),"",[1]PitScoutingInfo!J319)</f>
        <v/>
      </c>
      <c r="D319" s="23" t="str">
        <f>IF(ISBLANK([1]PitScoutingInfo!M319),"",[1]PitScoutingInfo!M319)</f>
        <v/>
      </c>
      <c r="E319" s="23" t="str">
        <f>IF(ISBLANK([1]PitScoutingInfo!N319),"",[1]PitScoutingInfo!N319)</f>
        <v/>
      </c>
      <c r="F319" s="23" t="str">
        <f>IF(ISBLANK([1]PitScoutingInfo!V319),"",[1]PitScoutingInfo!V319)</f>
        <v/>
      </c>
      <c r="G319" s="23" t="str">
        <f>IF(ISBLANK([1]PitScoutingInfo!W319),"",[1]PitScoutingInfo!W319)</f>
        <v/>
      </c>
      <c r="H319" s="23" t="str">
        <f>IF(ISBLANK([1]PitScoutingInfo!Z319),"",[1]PitScoutingInfo!Z319)</f>
        <v/>
      </c>
    </row>
    <row r="320" spans="1:8" x14ac:dyDescent="0.45">
      <c r="A320" s="23" t="str">
        <f>IF(ISBLANK([1]PitScoutingInfo!A320),"",[1]PitScoutingInfo!A320)</f>
        <v/>
      </c>
      <c r="B320" s="23" t="str">
        <f>IF(ISBLANK([1]PitScoutingInfo!B320),"",[1]PitScoutingInfo!B320)</f>
        <v/>
      </c>
      <c r="C320" s="23" t="str">
        <f>IF(ISBLANK([1]PitScoutingInfo!J320),"",[1]PitScoutingInfo!J320)</f>
        <v/>
      </c>
      <c r="D320" s="23" t="str">
        <f>IF(ISBLANK([1]PitScoutingInfo!M320),"",[1]PitScoutingInfo!M320)</f>
        <v/>
      </c>
      <c r="E320" s="23" t="str">
        <f>IF(ISBLANK([1]PitScoutingInfo!N320),"",[1]PitScoutingInfo!N320)</f>
        <v/>
      </c>
      <c r="F320" s="23" t="str">
        <f>IF(ISBLANK([1]PitScoutingInfo!V320),"",[1]PitScoutingInfo!V320)</f>
        <v/>
      </c>
      <c r="G320" s="23" t="str">
        <f>IF(ISBLANK([1]PitScoutingInfo!W320),"",[1]PitScoutingInfo!W320)</f>
        <v/>
      </c>
      <c r="H320" s="23" t="str">
        <f>IF(ISBLANK([1]PitScoutingInfo!Z320),"",[1]PitScoutingInfo!Z320)</f>
        <v/>
      </c>
    </row>
    <row r="321" spans="1:8" x14ac:dyDescent="0.45">
      <c r="A321" s="23" t="str">
        <f>IF(ISBLANK([1]PitScoutingInfo!A321),"",[1]PitScoutingInfo!A321)</f>
        <v/>
      </c>
      <c r="B321" s="23" t="str">
        <f>IF(ISBLANK([1]PitScoutingInfo!B321),"",[1]PitScoutingInfo!B321)</f>
        <v/>
      </c>
      <c r="C321" s="23" t="str">
        <f>IF(ISBLANK([1]PitScoutingInfo!J321),"",[1]PitScoutingInfo!J321)</f>
        <v/>
      </c>
      <c r="D321" s="23" t="str">
        <f>IF(ISBLANK([1]PitScoutingInfo!M321),"",[1]PitScoutingInfo!M321)</f>
        <v/>
      </c>
      <c r="E321" s="23" t="str">
        <f>IF(ISBLANK([1]PitScoutingInfo!N321),"",[1]PitScoutingInfo!N321)</f>
        <v/>
      </c>
      <c r="F321" s="23" t="str">
        <f>IF(ISBLANK([1]PitScoutingInfo!V321),"",[1]PitScoutingInfo!V321)</f>
        <v/>
      </c>
      <c r="G321" s="23" t="str">
        <f>IF(ISBLANK([1]PitScoutingInfo!W321),"",[1]PitScoutingInfo!W321)</f>
        <v/>
      </c>
      <c r="H321" s="23" t="str">
        <f>IF(ISBLANK([1]PitScoutingInfo!Z321),"",[1]PitScoutingInfo!Z321)</f>
        <v/>
      </c>
    </row>
    <row r="322" spans="1:8" x14ac:dyDescent="0.45">
      <c r="A322" s="23" t="str">
        <f>IF(ISBLANK([1]PitScoutingInfo!A322),"",[1]PitScoutingInfo!A322)</f>
        <v/>
      </c>
      <c r="B322" s="23" t="str">
        <f>IF(ISBLANK([1]PitScoutingInfo!B322),"",[1]PitScoutingInfo!B322)</f>
        <v/>
      </c>
      <c r="C322" s="23" t="str">
        <f>IF(ISBLANK([1]PitScoutingInfo!J322),"",[1]PitScoutingInfo!J322)</f>
        <v/>
      </c>
      <c r="D322" s="23" t="str">
        <f>IF(ISBLANK([1]PitScoutingInfo!M322),"",[1]PitScoutingInfo!M322)</f>
        <v/>
      </c>
      <c r="E322" s="23" t="str">
        <f>IF(ISBLANK([1]PitScoutingInfo!N322),"",[1]PitScoutingInfo!N322)</f>
        <v/>
      </c>
      <c r="F322" s="23" t="str">
        <f>IF(ISBLANK([1]PitScoutingInfo!V322),"",[1]PitScoutingInfo!V322)</f>
        <v/>
      </c>
      <c r="G322" s="23" t="str">
        <f>IF(ISBLANK([1]PitScoutingInfo!W322),"",[1]PitScoutingInfo!W322)</f>
        <v/>
      </c>
      <c r="H322" s="23" t="str">
        <f>IF(ISBLANK([1]PitScoutingInfo!Z322),"",[1]PitScoutingInfo!Z322)</f>
        <v/>
      </c>
    </row>
    <row r="323" spans="1:8" x14ac:dyDescent="0.45">
      <c r="A323" s="23" t="str">
        <f>IF(ISBLANK([1]PitScoutingInfo!A323),"",[1]PitScoutingInfo!A323)</f>
        <v/>
      </c>
      <c r="B323" s="23" t="str">
        <f>IF(ISBLANK([1]PitScoutingInfo!B323),"",[1]PitScoutingInfo!B323)</f>
        <v/>
      </c>
      <c r="C323" s="23" t="str">
        <f>IF(ISBLANK([1]PitScoutingInfo!J323),"",[1]PitScoutingInfo!J323)</f>
        <v/>
      </c>
      <c r="D323" s="23" t="str">
        <f>IF(ISBLANK([1]PitScoutingInfo!M323),"",[1]PitScoutingInfo!M323)</f>
        <v/>
      </c>
      <c r="E323" s="23" t="str">
        <f>IF(ISBLANK([1]PitScoutingInfo!N323),"",[1]PitScoutingInfo!N323)</f>
        <v/>
      </c>
      <c r="F323" s="23" t="str">
        <f>IF(ISBLANK([1]PitScoutingInfo!V323),"",[1]PitScoutingInfo!V323)</f>
        <v/>
      </c>
      <c r="G323" s="23" t="str">
        <f>IF(ISBLANK([1]PitScoutingInfo!W323),"",[1]PitScoutingInfo!W323)</f>
        <v/>
      </c>
      <c r="H323" s="23" t="str">
        <f>IF(ISBLANK([1]PitScoutingInfo!Z323),"",[1]PitScoutingInfo!Z323)</f>
        <v/>
      </c>
    </row>
    <row r="324" spans="1:8" x14ac:dyDescent="0.45">
      <c r="A324" s="23" t="str">
        <f>IF(ISBLANK([1]PitScoutingInfo!A324),"",[1]PitScoutingInfo!A324)</f>
        <v/>
      </c>
      <c r="B324" s="23" t="str">
        <f>IF(ISBLANK([1]PitScoutingInfo!B324),"",[1]PitScoutingInfo!B324)</f>
        <v/>
      </c>
      <c r="C324" s="23" t="str">
        <f>IF(ISBLANK([1]PitScoutingInfo!J324),"",[1]PitScoutingInfo!J324)</f>
        <v/>
      </c>
      <c r="D324" s="23" t="str">
        <f>IF(ISBLANK([1]PitScoutingInfo!M324),"",[1]PitScoutingInfo!M324)</f>
        <v/>
      </c>
      <c r="E324" s="23" t="str">
        <f>IF(ISBLANK([1]PitScoutingInfo!N324),"",[1]PitScoutingInfo!N324)</f>
        <v/>
      </c>
      <c r="F324" s="23" t="str">
        <f>IF(ISBLANK([1]PitScoutingInfo!V324),"",[1]PitScoutingInfo!V324)</f>
        <v/>
      </c>
      <c r="G324" s="23" t="str">
        <f>IF(ISBLANK([1]PitScoutingInfo!W324),"",[1]PitScoutingInfo!W324)</f>
        <v/>
      </c>
      <c r="H324" s="23" t="str">
        <f>IF(ISBLANK([1]PitScoutingInfo!Z324),"",[1]PitScoutingInfo!Z324)</f>
        <v/>
      </c>
    </row>
    <row r="325" spans="1:8" x14ac:dyDescent="0.45">
      <c r="A325" s="23" t="str">
        <f>IF(ISBLANK([1]PitScoutingInfo!A325),"",[1]PitScoutingInfo!A325)</f>
        <v/>
      </c>
      <c r="B325" s="23" t="str">
        <f>IF(ISBLANK([1]PitScoutingInfo!B325),"",[1]PitScoutingInfo!B325)</f>
        <v/>
      </c>
      <c r="C325" s="23" t="str">
        <f>IF(ISBLANK([1]PitScoutingInfo!J325),"",[1]PitScoutingInfo!J325)</f>
        <v/>
      </c>
      <c r="D325" s="23" t="str">
        <f>IF(ISBLANK([1]PitScoutingInfo!M325),"",[1]PitScoutingInfo!M325)</f>
        <v/>
      </c>
      <c r="E325" s="23" t="str">
        <f>IF(ISBLANK([1]PitScoutingInfo!N325),"",[1]PitScoutingInfo!N325)</f>
        <v/>
      </c>
      <c r="F325" s="23" t="str">
        <f>IF(ISBLANK([1]PitScoutingInfo!V325),"",[1]PitScoutingInfo!V325)</f>
        <v/>
      </c>
      <c r="G325" s="23" t="str">
        <f>IF(ISBLANK([1]PitScoutingInfo!W325),"",[1]PitScoutingInfo!W325)</f>
        <v/>
      </c>
      <c r="H325" s="23" t="str">
        <f>IF(ISBLANK([1]PitScoutingInfo!Z325),"",[1]PitScoutingInfo!Z325)</f>
        <v/>
      </c>
    </row>
    <row r="326" spans="1:8" x14ac:dyDescent="0.45">
      <c r="A326" s="23" t="str">
        <f>IF(ISBLANK([1]PitScoutingInfo!A326),"",[1]PitScoutingInfo!A326)</f>
        <v/>
      </c>
      <c r="B326" s="23" t="str">
        <f>IF(ISBLANK([1]PitScoutingInfo!B326),"",[1]PitScoutingInfo!B326)</f>
        <v/>
      </c>
      <c r="C326" s="23" t="str">
        <f>IF(ISBLANK([1]PitScoutingInfo!J326),"",[1]PitScoutingInfo!J326)</f>
        <v/>
      </c>
      <c r="D326" s="23" t="str">
        <f>IF(ISBLANK([1]PitScoutingInfo!M326),"",[1]PitScoutingInfo!M326)</f>
        <v/>
      </c>
      <c r="E326" s="23" t="str">
        <f>IF(ISBLANK([1]PitScoutingInfo!N326),"",[1]PitScoutingInfo!N326)</f>
        <v/>
      </c>
      <c r="F326" s="23" t="str">
        <f>IF(ISBLANK([1]PitScoutingInfo!V326),"",[1]PitScoutingInfo!V326)</f>
        <v/>
      </c>
      <c r="G326" s="23" t="str">
        <f>IF(ISBLANK([1]PitScoutingInfo!W326),"",[1]PitScoutingInfo!W326)</f>
        <v/>
      </c>
      <c r="H326" s="23" t="str">
        <f>IF(ISBLANK([1]PitScoutingInfo!Z326),"",[1]PitScoutingInfo!Z326)</f>
        <v/>
      </c>
    </row>
    <row r="327" spans="1:8" x14ac:dyDescent="0.45">
      <c r="A327" s="23" t="str">
        <f>IF(ISBLANK([1]PitScoutingInfo!A327),"",[1]PitScoutingInfo!A327)</f>
        <v/>
      </c>
      <c r="B327" s="23" t="str">
        <f>IF(ISBLANK([1]PitScoutingInfo!B327),"",[1]PitScoutingInfo!B327)</f>
        <v/>
      </c>
      <c r="C327" s="23" t="str">
        <f>IF(ISBLANK([1]PitScoutingInfo!J327),"",[1]PitScoutingInfo!J327)</f>
        <v/>
      </c>
      <c r="D327" s="23" t="str">
        <f>IF(ISBLANK([1]PitScoutingInfo!M327),"",[1]PitScoutingInfo!M327)</f>
        <v/>
      </c>
      <c r="E327" s="23" t="str">
        <f>IF(ISBLANK([1]PitScoutingInfo!N327),"",[1]PitScoutingInfo!N327)</f>
        <v/>
      </c>
      <c r="F327" s="23" t="str">
        <f>IF(ISBLANK([1]PitScoutingInfo!V327),"",[1]PitScoutingInfo!V327)</f>
        <v/>
      </c>
      <c r="G327" s="23" t="str">
        <f>IF(ISBLANK([1]PitScoutingInfo!W327),"",[1]PitScoutingInfo!W327)</f>
        <v/>
      </c>
      <c r="H327" s="23" t="str">
        <f>IF(ISBLANK([1]PitScoutingInfo!Z327),"",[1]PitScoutingInfo!Z327)</f>
        <v/>
      </c>
    </row>
    <row r="328" spans="1:8" x14ac:dyDescent="0.45">
      <c r="A328" s="23" t="str">
        <f>IF(ISBLANK([1]PitScoutingInfo!A328),"",[1]PitScoutingInfo!A328)</f>
        <v/>
      </c>
      <c r="B328" s="23" t="str">
        <f>IF(ISBLANK([1]PitScoutingInfo!B328),"",[1]PitScoutingInfo!B328)</f>
        <v/>
      </c>
      <c r="C328" s="23" t="str">
        <f>IF(ISBLANK([1]PitScoutingInfo!J328),"",[1]PitScoutingInfo!J328)</f>
        <v/>
      </c>
      <c r="D328" s="23" t="str">
        <f>IF(ISBLANK([1]PitScoutingInfo!M328),"",[1]PitScoutingInfo!M328)</f>
        <v/>
      </c>
      <c r="E328" s="23" t="str">
        <f>IF(ISBLANK([1]PitScoutingInfo!N328),"",[1]PitScoutingInfo!N328)</f>
        <v/>
      </c>
      <c r="F328" s="23" t="str">
        <f>IF(ISBLANK([1]PitScoutingInfo!V328),"",[1]PitScoutingInfo!V328)</f>
        <v/>
      </c>
      <c r="G328" s="23" t="str">
        <f>IF(ISBLANK([1]PitScoutingInfo!W328),"",[1]PitScoutingInfo!W328)</f>
        <v/>
      </c>
      <c r="H328" s="23" t="str">
        <f>IF(ISBLANK([1]PitScoutingInfo!Z328),"",[1]PitScoutingInfo!Z328)</f>
        <v/>
      </c>
    </row>
    <row r="329" spans="1:8" x14ac:dyDescent="0.45">
      <c r="A329" s="23" t="str">
        <f>IF(ISBLANK([1]PitScoutingInfo!A329),"",[1]PitScoutingInfo!A329)</f>
        <v/>
      </c>
      <c r="B329" s="23" t="str">
        <f>IF(ISBLANK([1]PitScoutingInfo!B329),"",[1]PitScoutingInfo!B329)</f>
        <v/>
      </c>
      <c r="C329" s="23" t="str">
        <f>IF(ISBLANK([1]PitScoutingInfo!J329),"",[1]PitScoutingInfo!J329)</f>
        <v/>
      </c>
      <c r="D329" s="23" t="str">
        <f>IF(ISBLANK([1]PitScoutingInfo!M329),"",[1]PitScoutingInfo!M329)</f>
        <v/>
      </c>
      <c r="E329" s="23" t="str">
        <f>IF(ISBLANK([1]PitScoutingInfo!N329),"",[1]PitScoutingInfo!N329)</f>
        <v/>
      </c>
      <c r="F329" s="23" t="str">
        <f>IF(ISBLANK([1]PitScoutingInfo!V329),"",[1]PitScoutingInfo!V329)</f>
        <v/>
      </c>
      <c r="G329" s="23" t="str">
        <f>IF(ISBLANK([1]PitScoutingInfo!W329),"",[1]PitScoutingInfo!W329)</f>
        <v/>
      </c>
      <c r="H329" s="23" t="str">
        <f>IF(ISBLANK([1]PitScoutingInfo!Z329),"",[1]PitScoutingInfo!Z329)</f>
        <v/>
      </c>
    </row>
    <row r="330" spans="1:8" x14ac:dyDescent="0.45">
      <c r="A330" s="23" t="str">
        <f>IF(ISBLANK([1]PitScoutingInfo!A330),"",[1]PitScoutingInfo!A330)</f>
        <v/>
      </c>
      <c r="B330" s="23" t="str">
        <f>IF(ISBLANK([1]PitScoutingInfo!B330),"",[1]PitScoutingInfo!B330)</f>
        <v/>
      </c>
      <c r="C330" s="23" t="str">
        <f>IF(ISBLANK([1]PitScoutingInfo!J330),"",[1]PitScoutingInfo!J330)</f>
        <v/>
      </c>
      <c r="D330" s="23" t="str">
        <f>IF(ISBLANK([1]PitScoutingInfo!M330),"",[1]PitScoutingInfo!M330)</f>
        <v/>
      </c>
      <c r="E330" s="23" t="str">
        <f>IF(ISBLANK([1]PitScoutingInfo!N330),"",[1]PitScoutingInfo!N330)</f>
        <v/>
      </c>
      <c r="F330" s="23" t="str">
        <f>IF(ISBLANK([1]PitScoutingInfo!V330),"",[1]PitScoutingInfo!V330)</f>
        <v/>
      </c>
      <c r="G330" s="23" t="str">
        <f>IF(ISBLANK([1]PitScoutingInfo!W330),"",[1]PitScoutingInfo!W330)</f>
        <v/>
      </c>
      <c r="H330" s="23" t="str">
        <f>IF(ISBLANK([1]PitScoutingInfo!Z330),"",[1]PitScoutingInfo!Z330)</f>
        <v/>
      </c>
    </row>
    <row r="331" spans="1:8" x14ac:dyDescent="0.45">
      <c r="A331" s="23" t="str">
        <f>IF(ISBLANK([1]PitScoutingInfo!A331),"",[1]PitScoutingInfo!A331)</f>
        <v/>
      </c>
      <c r="B331" s="23" t="str">
        <f>IF(ISBLANK([1]PitScoutingInfo!B331),"",[1]PitScoutingInfo!B331)</f>
        <v/>
      </c>
      <c r="C331" s="23" t="str">
        <f>IF(ISBLANK([1]PitScoutingInfo!J331),"",[1]PitScoutingInfo!J331)</f>
        <v/>
      </c>
      <c r="D331" s="23" t="str">
        <f>IF(ISBLANK([1]PitScoutingInfo!M331),"",[1]PitScoutingInfo!M331)</f>
        <v/>
      </c>
      <c r="E331" s="23" t="str">
        <f>IF(ISBLANK([1]PitScoutingInfo!N331),"",[1]PitScoutingInfo!N331)</f>
        <v/>
      </c>
      <c r="F331" s="23" t="str">
        <f>IF(ISBLANK([1]PitScoutingInfo!V331),"",[1]PitScoutingInfo!V331)</f>
        <v/>
      </c>
      <c r="G331" s="23" t="str">
        <f>IF(ISBLANK([1]PitScoutingInfo!W331),"",[1]PitScoutingInfo!W331)</f>
        <v/>
      </c>
      <c r="H331" s="23" t="str">
        <f>IF(ISBLANK([1]PitScoutingInfo!Z331),"",[1]PitScoutingInfo!Z331)</f>
        <v/>
      </c>
    </row>
    <row r="332" spans="1:8" x14ac:dyDescent="0.45">
      <c r="A332" s="23" t="str">
        <f>IF(ISBLANK([1]PitScoutingInfo!A332),"",[1]PitScoutingInfo!A332)</f>
        <v/>
      </c>
      <c r="B332" s="23" t="str">
        <f>IF(ISBLANK([1]PitScoutingInfo!B332),"",[1]PitScoutingInfo!B332)</f>
        <v/>
      </c>
      <c r="C332" s="23" t="str">
        <f>IF(ISBLANK([1]PitScoutingInfo!J332),"",[1]PitScoutingInfo!J332)</f>
        <v/>
      </c>
      <c r="D332" s="23" t="str">
        <f>IF(ISBLANK([1]PitScoutingInfo!M332),"",[1]PitScoutingInfo!M332)</f>
        <v/>
      </c>
      <c r="E332" s="23" t="str">
        <f>IF(ISBLANK([1]PitScoutingInfo!N332),"",[1]PitScoutingInfo!N332)</f>
        <v/>
      </c>
      <c r="F332" s="23" t="str">
        <f>IF(ISBLANK([1]PitScoutingInfo!V332),"",[1]PitScoutingInfo!V332)</f>
        <v/>
      </c>
      <c r="G332" s="23" t="str">
        <f>IF(ISBLANK([1]PitScoutingInfo!W332),"",[1]PitScoutingInfo!W332)</f>
        <v/>
      </c>
      <c r="H332" s="23" t="str">
        <f>IF(ISBLANK([1]PitScoutingInfo!Z332),"",[1]PitScoutingInfo!Z332)</f>
        <v/>
      </c>
    </row>
    <row r="333" spans="1:8" x14ac:dyDescent="0.45">
      <c r="A333" s="23" t="str">
        <f>IF(ISBLANK([1]PitScoutingInfo!A333),"",[1]PitScoutingInfo!A333)</f>
        <v/>
      </c>
      <c r="B333" s="23" t="str">
        <f>IF(ISBLANK([1]PitScoutingInfo!B333),"",[1]PitScoutingInfo!B333)</f>
        <v/>
      </c>
      <c r="C333" s="23" t="str">
        <f>IF(ISBLANK([1]PitScoutingInfo!J333),"",[1]PitScoutingInfo!J333)</f>
        <v/>
      </c>
      <c r="D333" s="23" t="str">
        <f>IF(ISBLANK([1]PitScoutingInfo!M333),"",[1]PitScoutingInfo!M333)</f>
        <v/>
      </c>
      <c r="E333" s="23" t="str">
        <f>IF(ISBLANK([1]PitScoutingInfo!N333),"",[1]PitScoutingInfo!N333)</f>
        <v/>
      </c>
      <c r="F333" s="23" t="str">
        <f>IF(ISBLANK([1]PitScoutingInfo!V333),"",[1]PitScoutingInfo!V333)</f>
        <v/>
      </c>
      <c r="G333" s="23" t="str">
        <f>IF(ISBLANK([1]PitScoutingInfo!W333),"",[1]PitScoutingInfo!W333)</f>
        <v/>
      </c>
      <c r="H333" s="23" t="str">
        <f>IF(ISBLANK([1]PitScoutingInfo!Z333),"",[1]PitScoutingInfo!Z333)</f>
        <v/>
      </c>
    </row>
    <row r="334" spans="1:8" x14ac:dyDescent="0.45">
      <c r="A334" s="23" t="str">
        <f>IF(ISBLANK([1]PitScoutingInfo!A334),"",[1]PitScoutingInfo!A334)</f>
        <v/>
      </c>
      <c r="B334" s="23" t="str">
        <f>IF(ISBLANK([1]PitScoutingInfo!B334),"",[1]PitScoutingInfo!B334)</f>
        <v/>
      </c>
      <c r="C334" s="23" t="str">
        <f>IF(ISBLANK([1]PitScoutingInfo!J334),"",[1]PitScoutingInfo!J334)</f>
        <v/>
      </c>
      <c r="D334" s="23" t="str">
        <f>IF(ISBLANK([1]PitScoutingInfo!M334),"",[1]PitScoutingInfo!M334)</f>
        <v/>
      </c>
      <c r="E334" s="23" t="str">
        <f>IF(ISBLANK([1]PitScoutingInfo!N334),"",[1]PitScoutingInfo!N334)</f>
        <v/>
      </c>
      <c r="F334" s="23" t="str">
        <f>IF(ISBLANK([1]PitScoutingInfo!V334),"",[1]PitScoutingInfo!V334)</f>
        <v/>
      </c>
      <c r="G334" s="23" t="str">
        <f>IF(ISBLANK([1]PitScoutingInfo!W334),"",[1]PitScoutingInfo!W334)</f>
        <v/>
      </c>
      <c r="H334" s="23" t="str">
        <f>IF(ISBLANK([1]PitScoutingInfo!Z334),"",[1]PitScoutingInfo!Z334)</f>
        <v/>
      </c>
    </row>
    <row r="335" spans="1:8" x14ac:dyDescent="0.45">
      <c r="A335" s="23" t="str">
        <f>IF(ISBLANK([1]PitScoutingInfo!A335),"",[1]PitScoutingInfo!A335)</f>
        <v/>
      </c>
      <c r="B335" s="23" t="str">
        <f>IF(ISBLANK([1]PitScoutingInfo!B335),"",[1]PitScoutingInfo!B335)</f>
        <v/>
      </c>
      <c r="C335" s="23" t="str">
        <f>IF(ISBLANK([1]PitScoutingInfo!J335),"",[1]PitScoutingInfo!J335)</f>
        <v/>
      </c>
      <c r="D335" s="23" t="str">
        <f>IF(ISBLANK([1]PitScoutingInfo!M335),"",[1]PitScoutingInfo!M335)</f>
        <v/>
      </c>
      <c r="E335" s="23" t="str">
        <f>IF(ISBLANK([1]PitScoutingInfo!N335),"",[1]PitScoutingInfo!N335)</f>
        <v/>
      </c>
      <c r="F335" s="23" t="str">
        <f>IF(ISBLANK([1]PitScoutingInfo!V335),"",[1]PitScoutingInfo!V335)</f>
        <v/>
      </c>
      <c r="G335" s="23" t="str">
        <f>IF(ISBLANK([1]PitScoutingInfo!W335),"",[1]PitScoutingInfo!W335)</f>
        <v/>
      </c>
      <c r="H335" s="23" t="str">
        <f>IF(ISBLANK([1]PitScoutingInfo!Z335),"",[1]PitScoutingInfo!Z335)</f>
        <v/>
      </c>
    </row>
    <row r="336" spans="1:8" x14ac:dyDescent="0.45">
      <c r="A336" s="23" t="str">
        <f>IF(ISBLANK([1]PitScoutingInfo!A336),"",[1]PitScoutingInfo!A336)</f>
        <v/>
      </c>
      <c r="B336" s="23" t="str">
        <f>IF(ISBLANK([1]PitScoutingInfo!B336),"",[1]PitScoutingInfo!B336)</f>
        <v/>
      </c>
      <c r="C336" s="23" t="str">
        <f>IF(ISBLANK([1]PitScoutingInfo!J336),"",[1]PitScoutingInfo!J336)</f>
        <v/>
      </c>
      <c r="D336" s="23" t="str">
        <f>IF(ISBLANK([1]PitScoutingInfo!M336),"",[1]PitScoutingInfo!M336)</f>
        <v/>
      </c>
      <c r="E336" s="23" t="str">
        <f>IF(ISBLANK([1]PitScoutingInfo!N336),"",[1]PitScoutingInfo!N336)</f>
        <v/>
      </c>
      <c r="F336" s="23" t="str">
        <f>IF(ISBLANK([1]PitScoutingInfo!V336),"",[1]PitScoutingInfo!V336)</f>
        <v/>
      </c>
      <c r="G336" s="23" t="str">
        <f>IF(ISBLANK([1]PitScoutingInfo!W336),"",[1]PitScoutingInfo!W336)</f>
        <v/>
      </c>
      <c r="H336" s="23" t="str">
        <f>IF(ISBLANK([1]PitScoutingInfo!Z336),"",[1]PitScoutingInfo!Z336)</f>
        <v/>
      </c>
    </row>
    <row r="337" spans="1:8" x14ac:dyDescent="0.45">
      <c r="A337" s="23" t="str">
        <f>IF(ISBLANK([1]PitScoutingInfo!A337),"",[1]PitScoutingInfo!A337)</f>
        <v/>
      </c>
      <c r="B337" s="23" t="str">
        <f>IF(ISBLANK([1]PitScoutingInfo!B337),"",[1]PitScoutingInfo!B337)</f>
        <v/>
      </c>
      <c r="C337" s="23" t="str">
        <f>IF(ISBLANK([1]PitScoutingInfo!J337),"",[1]PitScoutingInfo!J337)</f>
        <v/>
      </c>
      <c r="D337" s="23" t="str">
        <f>IF(ISBLANK([1]PitScoutingInfo!M337),"",[1]PitScoutingInfo!M337)</f>
        <v/>
      </c>
      <c r="E337" s="23" t="str">
        <f>IF(ISBLANK([1]PitScoutingInfo!N337),"",[1]PitScoutingInfo!N337)</f>
        <v/>
      </c>
      <c r="F337" s="23" t="str">
        <f>IF(ISBLANK([1]PitScoutingInfo!V337),"",[1]PitScoutingInfo!V337)</f>
        <v/>
      </c>
      <c r="G337" s="23" t="str">
        <f>IF(ISBLANK([1]PitScoutingInfo!W337),"",[1]PitScoutingInfo!W337)</f>
        <v/>
      </c>
      <c r="H337" s="23" t="str">
        <f>IF(ISBLANK([1]PitScoutingInfo!Z337),"",[1]PitScoutingInfo!Z337)</f>
        <v/>
      </c>
    </row>
    <row r="338" spans="1:8" x14ac:dyDescent="0.45">
      <c r="A338" s="23" t="str">
        <f>IF(ISBLANK([1]PitScoutingInfo!A338),"",[1]PitScoutingInfo!A338)</f>
        <v/>
      </c>
      <c r="B338" s="23" t="str">
        <f>IF(ISBLANK([1]PitScoutingInfo!B338),"",[1]PitScoutingInfo!B338)</f>
        <v/>
      </c>
      <c r="C338" s="23" t="str">
        <f>IF(ISBLANK([1]PitScoutingInfo!J338),"",[1]PitScoutingInfo!J338)</f>
        <v/>
      </c>
      <c r="D338" s="23" t="str">
        <f>IF(ISBLANK([1]PitScoutingInfo!M338),"",[1]PitScoutingInfo!M338)</f>
        <v/>
      </c>
      <c r="E338" s="23" t="str">
        <f>IF(ISBLANK([1]PitScoutingInfo!N338),"",[1]PitScoutingInfo!N338)</f>
        <v/>
      </c>
      <c r="F338" s="23" t="str">
        <f>IF(ISBLANK([1]PitScoutingInfo!V338),"",[1]PitScoutingInfo!V338)</f>
        <v/>
      </c>
      <c r="G338" s="23" t="str">
        <f>IF(ISBLANK([1]PitScoutingInfo!W338),"",[1]PitScoutingInfo!W338)</f>
        <v/>
      </c>
      <c r="H338" s="23" t="str">
        <f>IF(ISBLANK([1]PitScoutingInfo!Z338),"",[1]PitScoutingInfo!Z338)</f>
        <v/>
      </c>
    </row>
    <row r="339" spans="1:8" x14ac:dyDescent="0.45">
      <c r="A339" s="23" t="str">
        <f>IF(ISBLANK([1]PitScoutingInfo!A339),"",[1]PitScoutingInfo!A339)</f>
        <v/>
      </c>
      <c r="B339" s="23" t="str">
        <f>IF(ISBLANK([1]PitScoutingInfo!B339),"",[1]PitScoutingInfo!B339)</f>
        <v/>
      </c>
      <c r="C339" s="23" t="str">
        <f>IF(ISBLANK([1]PitScoutingInfo!J339),"",[1]PitScoutingInfo!J339)</f>
        <v/>
      </c>
      <c r="D339" s="23" t="str">
        <f>IF(ISBLANK([1]PitScoutingInfo!M339),"",[1]PitScoutingInfo!M339)</f>
        <v/>
      </c>
      <c r="E339" s="23" t="str">
        <f>IF(ISBLANK([1]PitScoutingInfo!N339),"",[1]PitScoutingInfo!N339)</f>
        <v/>
      </c>
      <c r="F339" s="23" t="str">
        <f>IF(ISBLANK([1]PitScoutingInfo!V339),"",[1]PitScoutingInfo!V339)</f>
        <v/>
      </c>
      <c r="G339" s="23" t="str">
        <f>IF(ISBLANK([1]PitScoutingInfo!W339),"",[1]PitScoutingInfo!W339)</f>
        <v/>
      </c>
      <c r="H339" s="23" t="str">
        <f>IF(ISBLANK([1]PitScoutingInfo!Z339),"",[1]PitScoutingInfo!Z339)</f>
        <v/>
      </c>
    </row>
    <row r="340" spans="1:8" x14ac:dyDescent="0.45">
      <c r="A340" s="23" t="str">
        <f>IF(ISBLANK([1]PitScoutingInfo!A340),"",[1]PitScoutingInfo!A340)</f>
        <v/>
      </c>
      <c r="B340" s="23" t="str">
        <f>IF(ISBLANK([1]PitScoutingInfo!B340),"",[1]PitScoutingInfo!B340)</f>
        <v/>
      </c>
      <c r="C340" s="23" t="str">
        <f>IF(ISBLANK([1]PitScoutingInfo!J340),"",[1]PitScoutingInfo!J340)</f>
        <v/>
      </c>
      <c r="D340" s="23" t="str">
        <f>IF(ISBLANK([1]PitScoutingInfo!M340),"",[1]PitScoutingInfo!M340)</f>
        <v/>
      </c>
      <c r="E340" s="23" t="str">
        <f>IF(ISBLANK([1]PitScoutingInfo!N340),"",[1]PitScoutingInfo!N340)</f>
        <v/>
      </c>
      <c r="F340" s="23" t="str">
        <f>IF(ISBLANK([1]PitScoutingInfo!V340),"",[1]PitScoutingInfo!V340)</f>
        <v/>
      </c>
      <c r="G340" s="23" t="str">
        <f>IF(ISBLANK([1]PitScoutingInfo!W340),"",[1]PitScoutingInfo!W340)</f>
        <v/>
      </c>
      <c r="H340" s="23" t="str">
        <f>IF(ISBLANK([1]PitScoutingInfo!Z340),"",[1]PitScoutingInfo!Z340)</f>
        <v/>
      </c>
    </row>
    <row r="341" spans="1:8" x14ac:dyDescent="0.45">
      <c r="A341" s="23" t="str">
        <f>IF(ISBLANK([1]PitScoutingInfo!A341),"",[1]PitScoutingInfo!A341)</f>
        <v/>
      </c>
      <c r="B341" s="23" t="str">
        <f>IF(ISBLANK([1]PitScoutingInfo!B341),"",[1]PitScoutingInfo!B341)</f>
        <v/>
      </c>
      <c r="C341" s="23" t="str">
        <f>IF(ISBLANK([1]PitScoutingInfo!J341),"",[1]PitScoutingInfo!J341)</f>
        <v/>
      </c>
      <c r="D341" s="23" t="str">
        <f>IF(ISBLANK([1]PitScoutingInfo!M341),"",[1]PitScoutingInfo!M341)</f>
        <v/>
      </c>
      <c r="E341" s="23" t="str">
        <f>IF(ISBLANK([1]PitScoutingInfo!N341),"",[1]PitScoutingInfo!N341)</f>
        <v/>
      </c>
      <c r="F341" s="23" t="str">
        <f>IF(ISBLANK([1]PitScoutingInfo!V341),"",[1]PitScoutingInfo!V341)</f>
        <v/>
      </c>
      <c r="G341" s="23" t="str">
        <f>IF(ISBLANK([1]PitScoutingInfo!W341),"",[1]PitScoutingInfo!W341)</f>
        <v/>
      </c>
      <c r="H341" s="23" t="str">
        <f>IF(ISBLANK([1]PitScoutingInfo!Z341),"",[1]PitScoutingInfo!Z341)</f>
        <v/>
      </c>
    </row>
    <row r="342" spans="1:8" x14ac:dyDescent="0.45">
      <c r="A342" s="23" t="str">
        <f>IF(ISBLANK([1]PitScoutingInfo!A342),"",[1]PitScoutingInfo!A342)</f>
        <v/>
      </c>
      <c r="B342" s="23" t="str">
        <f>IF(ISBLANK([1]PitScoutingInfo!B342),"",[1]PitScoutingInfo!B342)</f>
        <v/>
      </c>
      <c r="C342" s="23" t="str">
        <f>IF(ISBLANK([1]PitScoutingInfo!J342),"",[1]PitScoutingInfo!J342)</f>
        <v/>
      </c>
      <c r="D342" s="23" t="str">
        <f>IF(ISBLANK([1]PitScoutingInfo!M342),"",[1]PitScoutingInfo!M342)</f>
        <v/>
      </c>
      <c r="E342" s="23" t="str">
        <f>IF(ISBLANK([1]PitScoutingInfo!N342),"",[1]PitScoutingInfo!N342)</f>
        <v/>
      </c>
      <c r="F342" s="23" t="str">
        <f>IF(ISBLANK([1]PitScoutingInfo!V342),"",[1]PitScoutingInfo!V342)</f>
        <v/>
      </c>
      <c r="G342" s="23" t="str">
        <f>IF(ISBLANK([1]PitScoutingInfo!W342),"",[1]PitScoutingInfo!W342)</f>
        <v/>
      </c>
      <c r="H342" s="23" t="str">
        <f>IF(ISBLANK([1]PitScoutingInfo!Z342),"",[1]PitScoutingInfo!Z342)</f>
        <v/>
      </c>
    </row>
    <row r="343" spans="1:8" x14ac:dyDescent="0.45">
      <c r="A343" s="23" t="str">
        <f>IF(ISBLANK([1]PitScoutingInfo!A343),"",[1]PitScoutingInfo!A343)</f>
        <v/>
      </c>
      <c r="B343" s="23" t="str">
        <f>IF(ISBLANK([1]PitScoutingInfo!B343),"",[1]PitScoutingInfo!B343)</f>
        <v/>
      </c>
      <c r="C343" s="23" t="str">
        <f>IF(ISBLANK([1]PitScoutingInfo!J343),"",[1]PitScoutingInfo!J343)</f>
        <v/>
      </c>
      <c r="D343" s="23" t="str">
        <f>IF(ISBLANK([1]PitScoutingInfo!M343),"",[1]PitScoutingInfo!M343)</f>
        <v/>
      </c>
      <c r="E343" s="23" t="str">
        <f>IF(ISBLANK([1]PitScoutingInfo!N343),"",[1]PitScoutingInfo!N343)</f>
        <v/>
      </c>
      <c r="F343" s="23" t="str">
        <f>IF(ISBLANK([1]PitScoutingInfo!V343),"",[1]PitScoutingInfo!V343)</f>
        <v/>
      </c>
      <c r="G343" s="23" t="str">
        <f>IF(ISBLANK([1]PitScoutingInfo!W343),"",[1]PitScoutingInfo!W343)</f>
        <v/>
      </c>
      <c r="H343" s="23" t="str">
        <f>IF(ISBLANK([1]PitScoutingInfo!Z343),"",[1]PitScoutingInfo!Z343)</f>
        <v/>
      </c>
    </row>
    <row r="344" spans="1:8" x14ac:dyDescent="0.45">
      <c r="A344" s="23" t="str">
        <f>IF(ISBLANK([1]PitScoutingInfo!A344),"",[1]PitScoutingInfo!A344)</f>
        <v/>
      </c>
      <c r="B344" s="23" t="str">
        <f>IF(ISBLANK([1]PitScoutingInfo!B344),"",[1]PitScoutingInfo!B344)</f>
        <v/>
      </c>
      <c r="C344" s="23" t="str">
        <f>IF(ISBLANK([1]PitScoutingInfo!J344),"",[1]PitScoutingInfo!J344)</f>
        <v/>
      </c>
      <c r="D344" s="23" t="str">
        <f>IF(ISBLANK([1]PitScoutingInfo!M344),"",[1]PitScoutingInfo!M344)</f>
        <v/>
      </c>
      <c r="E344" s="23" t="str">
        <f>IF(ISBLANK([1]PitScoutingInfo!N344),"",[1]PitScoutingInfo!N344)</f>
        <v/>
      </c>
      <c r="F344" s="23" t="str">
        <f>IF(ISBLANK([1]PitScoutingInfo!V344),"",[1]PitScoutingInfo!V344)</f>
        <v/>
      </c>
      <c r="G344" s="23" t="str">
        <f>IF(ISBLANK([1]PitScoutingInfo!W344),"",[1]PitScoutingInfo!W344)</f>
        <v/>
      </c>
      <c r="H344" s="23" t="str">
        <f>IF(ISBLANK([1]PitScoutingInfo!Z344),"",[1]PitScoutingInfo!Z344)</f>
        <v/>
      </c>
    </row>
    <row r="345" spans="1:8" x14ac:dyDescent="0.45">
      <c r="A345" s="23" t="str">
        <f>IF(ISBLANK([1]PitScoutingInfo!A345),"",[1]PitScoutingInfo!A345)</f>
        <v/>
      </c>
      <c r="B345" s="23" t="str">
        <f>IF(ISBLANK([1]PitScoutingInfo!B345),"",[1]PitScoutingInfo!B345)</f>
        <v/>
      </c>
      <c r="C345" s="23" t="str">
        <f>IF(ISBLANK([1]PitScoutingInfo!J345),"",[1]PitScoutingInfo!J345)</f>
        <v/>
      </c>
      <c r="D345" s="23" t="str">
        <f>IF(ISBLANK([1]PitScoutingInfo!M345),"",[1]PitScoutingInfo!M345)</f>
        <v/>
      </c>
      <c r="E345" s="23" t="str">
        <f>IF(ISBLANK([1]PitScoutingInfo!N345),"",[1]PitScoutingInfo!N345)</f>
        <v/>
      </c>
      <c r="F345" s="23" t="str">
        <f>IF(ISBLANK([1]PitScoutingInfo!V345),"",[1]PitScoutingInfo!V345)</f>
        <v/>
      </c>
      <c r="G345" s="23" t="str">
        <f>IF(ISBLANK([1]PitScoutingInfo!W345),"",[1]PitScoutingInfo!W345)</f>
        <v/>
      </c>
      <c r="H345" s="23" t="str">
        <f>IF(ISBLANK([1]PitScoutingInfo!Z345),"",[1]PitScoutingInfo!Z345)</f>
        <v/>
      </c>
    </row>
    <row r="346" spans="1:8" x14ac:dyDescent="0.45">
      <c r="A346" s="23" t="str">
        <f>IF(ISBLANK([1]PitScoutingInfo!A346),"",[1]PitScoutingInfo!A346)</f>
        <v/>
      </c>
      <c r="B346" s="23" t="str">
        <f>IF(ISBLANK([1]PitScoutingInfo!B346),"",[1]PitScoutingInfo!B346)</f>
        <v/>
      </c>
      <c r="C346" s="23" t="str">
        <f>IF(ISBLANK([1]PitScoutingInfo!J346),"",[1]PitScoutingInfo!J346)</f>
        <v/>
      </c>
      <c r="D346" s="23" t="str">
        <f>IF(ISBLANK([1]PitScoutingInfo!M346),"",[1]PitScoutingInfo!M346)</f>
        <v/>
      </c>
      <c r="E346" s="23" t="str">
        <f>IF(ISBLANK([1]PitScoutingInfo!N346),"",[1]PitScoutingInfo!N346)</f>
        <v/>
      </c>
      <c r="F346" s="23" t="str">
        <f>IF(ISBLANK([1]PitScoutingInfo!V346),"",[1]PitScoutingInfo!V346)</f>
        <v/>
      </c>
      <c r="G346" s="23" t="str">
        <f>IF(ISBLANK([1]PitScoutingInfo!W346),"",[1]PitScoutingInfo!W346)</f>
        <v/>
      </c>
      <c r="H346" s="23" t="str">
        <f>IF(ISBLANK([1]PitScoutingInfo!Z346),"",[1]PitScoutingInfo!Z346)</f>
        <v/>
      </c>
    </row>
    <row r="347" spans="1:8" x14ac:dyDescent="0.45">
      <c r="A347" s="23" t="str">
        <f>IF(ISBLANK([1]PitScoutingInfo!A347),"",[1]PitScoutingInfo!A347)</f>
        <v/>
      </c>
      <c r="B347" s="23" t="str">
        <f>IF(ISBLANK([1]PitScoutingInfo!B347),"",[1]PitScoutingInfo!B347)</f>
        <v/>
      </c>
      <c r="C347" s="23" t="str">
        <f>IF(ISBLANK([1]PitScoutingInfo!J347),"",[1]PitScoutingInfo!J347)</f>
        <v/>
      </c>
      <c r="D347" s="23" t="str">
        <f>IF(ISBLANK([1]PitScoutingInfo!M347),"",[1]PitScoutingInfo!M347)</f>
        <v/>
      </c>
      <c r="E347" s="23" t="str">
        <f>IF(ISBLANK([1]PitScoutingInfo!N347),"",[1]PitScoutingInfo!N347)</f>
        <v/>
      </c>
      <c r="F347" s="23" t="str">
        <f>IF(ISBLANK([1]PitScoutingInfo!V347),"",[1]PitScoutingInfo!V347)</f>
        <v/>
      </c>
      <c r="G347" s="23" t="str">
        <f>IF(ISBLANK([1]PitScoutingInfo!W347),"",[1]PitScoutingInfo!W347)</f>
        <v/>
      </c>
      <c r="H347" s="23" t="str">
        <f>IF(ISBLANK([1]PitScoutingInfo!Z347),"",[1]PitScoutingInfo!Z347)</f>
        <v/>
      </c>
    </row>
    <row r="348" spans="1:8" x14ac:dyDescent="0.45">
      <c r="A348" s="23" t="str">
        <f>IF(ISBLANK([1]PitScoutingInfo!A348),"",[1]PitScoutingInfo!A348)</f>
        <v/>
      </c>
      <c r="B348" s="23" t="str">
        <f>IF(ISBLANK([1]PitScoutingInfo!B348),"",[1]PitScoutingInfo!B348)</f>
        <v/>
      </c>
      <c r="C348" s="23" t="str">
        <f>IF(ISBLANK([1]PitScoutingInfo!J348),"",[1]PitScoutingInfo!J348)</f>
        <v/>
      </c>
      <c r="D348" s="23" t="str">
        <f>IF(ISBLANK([1]PitScoutingInfo!M348),"",[1]PitScoutingInfo!M348)</f>
        <v/>
      </c>
      <c r="E348" s="23" t="str">
        <f>IF(ISBLANK([1]PitScoutingInfo!N348),"",[1]PitScoutingInfo!N348)</f>
        <v/>
      </c>
      <c r="F348" s="23" t="str">
        <f>IF(ISBLANK([1]PitScoutingInfo!V348),"",[1]PitScoutingInfo!V348)</f>
        <v/>
      </c>
      <c r="G348" s="23" t="str">
        <f>IF(ISBLANK([1]PitScoutingInfo!W348),"",[1]PitScoutingInfo!W348)</f>
        <v/>
      </c>
      <c r="H348" s="23" t="str">
        <f>IF(ISBLANK([1]PitScoutingInfo!Z348),"",[1]PitScoutingInfo!Z348)</f>
        <v/>
      </c>
    </row>
    <row r="349" spans="1:8" x14ac:dyDescent="0.45">
      <c r="A349" s="23" t="str">
        <f>IF(ISBLANK([1]PitScoutingInfo!A349),"",[1]PitScoutingInfo!A349)</f>
        <v/>
      </c>
      <c r="B349" s="23" t="str">
        <f>IF(ISBLANK([1]PitScoutingInfo!B349),"",[1]PitScoutingInfo!B349)</f>
        <v/>
      </c>
      <c r="C349" s="23" t="str">
        <f>IF(ISBLANK([1]PitScoutingInfo!J349),"",[1]PitScoutingInfo!J349)</f>
        <v/>
      </c>
      <c r="D349" s="23" t="str">
        <f>IF(ISBLANK([1]PitScoutingInfo!M349),"",[1]PitScoutingInfo!M349)</f>
        <v/>
      </c>
      <c r="E349" s="23" t="str">
        <f>IF(ISBLANK([1]PitScoutingInfo!N349),"",[1]PitScoutingInfo!N349)</f>
        <v/>
      </c>
      <c r="F349" s="23" t="str">
        <f>IF(ISBLANK([1]PitScoutingInfo!V349),"",[1]PitScoutingInfo!V349)</f>
        <v/>
      </c>
      <c r="G349" s="23" t="str">
        <f>IF(ISBLANK([1]PitScoutingInfo!W349),"",[1]PitScoutingInfo!W349)</f>
        <v/>
      </c>
      <c r="H349" s="23" t="str">
        <f>IF(ISBLANK([1]PitScoutingInfo!Z349),"",[1]PitScoutingInfo!Z349)</f>
        <v/>
      </c>
    </row>
    <row r="350" spans="1:8" x14ac:dyDescent="0.45">
      <c r="A350" s="23" t="str">
        <f>IF(ISBLANK([1]PitScoutingInfo!A350),"",[1]PitScoutingInfo!A350)</f>
        <v/>
      </c>
      <c r="B350" s="23" t="str">
        <f>IF(ISBLANK([1]PitScoutingInfo!B350),"",[1]PitScoutingInfo!B350)</f>
        <v/>
      </c>
      <c r="C350" s="23" t="str">
        <f>IF(ISBLANK([1]PitScoutingInfo!J350),"",[1]PitScoutingInfo!J350)</f>
        <v/>
      </c>
      <c r="D350" s="23" t="str">
        <f>IF(ISBLANK([1]PitScoutingInfo!M350),"",[1]PitScoutingInfo!M350)</f>
        <v/>
      </c>
      <c r="E350" s="23" t="str">
        <f>IF(ISBLANK([1]PitScoutingInfo!N350),"",[1]PitScoutingInfo!N350)</f>
        <v/>
      </c>
      <c r="F350" s="23" t="str">
        <f>IF(ISBLANK([1]PitScoutingInfo!V350),"",[1]PitScoutingInfo!V350)</f>
        <v/>
      </c>
      <c r="G350" s="23" t="str">
        <f>IF(ISBLANK([1]PitScoutingInfo!W350),"",[1]PitScoutingInfo!W350)</f>
        <v/>
      </c>
      <c r="H350" s="23" t="str">
        <f>IF(ISBLANK([1]PitScoutingInfo!Z350),"",[1]PitScoutingInfo!Z350)</f>
        <v/>
      </c>
    </row>
    <row r="351" spans="1:8" x14ac:dyDescent="0.45">
      <c r="A351" s="23" t="str">
        <f>IF(ISBLANK([1]PitScoutingInfo!A351),"",[1]PitScoutingInfo!A351)</f>
        <v/>
      </c>
      <c r="B351" s="23" t="str">
        <f>IF(ISBLANK([1]PitScoutingInfo!B351),"",[1]PitScoutingInfo!B351)</f>
        <v/>
      </c>
      <c r="C351" s="23" t="str">
        <f>IF(ISBLANK([1]PitScoutingInfo!J351),"",[1]PitScoutingInfo!J351)</f>
        <v/>
      </c>
      <c r="D351" s="23" t="str">
        <f>IF(ISBLANK([1]PitScoutingInfo!M351),"",[1]PitScoutingInfo!M351)</f>
        <v/>
      </c>
      <c r="E351" s="23" t="str">
        <f>IF(ISBLANK([1]PitScoutingInfo!N351),"",[1]PitScoutingInfo!N351)</f>
        <v/>
      </c>
      <c r="F351" s="23" t="str">
        <f>IF(ISBLANK([1]PitScoutingInfo!V351),"",[1]PitScoutingInfo!V351)</f>
        <v/>
      </c>
      <c r="G351" s="23" t="str">
        <f>IF(ISBLANK([1]PitScoutingInfo!W351),"",[1]PitScoutingInfo!W351)</f>
        <v/>
      </c>
      <c r="H351" s="23" t="str">
        <f>IF(ISBLANK([1]PitScoutingInfo!Z351),"",[1]PitScoutingInfo!Z351)</f>
        <v/>
      </c>
    </row>
    <row r="352" spans="1:8" x14ac:dyDescent="0.45">
      <c r="A352" s="23" t="str">
        <f>IF(ISBLANK([1]PitScoutingInfo!A352),"",[1]PitScoutingInfo!A352)</f>
        <v/>
      </c>
      <c r="B352" s="23" t="str">
        <f>IF(ISBLANK([1]PitScoutingInfo!B352),"",[1]PitScoutingInfo!B352)</f>
        <v/>
      </c>
      <c r="C352" s="23" t="str">
        <f>IF(ISBLANK([1]PitScoutingInfo!J352),"",[1]PitScoutingInfo!J352)</f>
        <v/>
      </c>
      <c r="D352" s="23" t="str">
        <f>IF(ISBLANK([1]PitScoutingInfo!M352),"",[1]PitScoutingInfo!M352)</f>
        <v/>
      </c>
      <c r="E352" s="23" t="str">
        <f>IF(ISBLANK([1]PitScoutingInfo!N352),"",[1]PitScoutingInfo!N352)</f>
        <v/>
      </c>
      <c r="F352" s="23" t="str">
        <f>IF(ISBLANK([1]PitScoutingInfo!V352),"",[1]PitScoutingInfo!V352)</f>
        <v/>
      </c>
      <c r="G352" s="23" t="str">
        <f>IF(ISBLANK([1]PitScoutingInfo!W352),"",[1]PitScoutingInfo!W352)</f>
        <v/>
      </c>
      <c r="H352" s="23" t="str">
        <f>IF(ISBLANK([1]PitScoutingInfo!Z352),"",[1]PitScoutingInfo!Z352)</f>
        <v/>
      </c>
    </row>
    <row r="353" spans="1:8" x14ac:dyDescent="0.45">
      <c r="A353" s="23" t="str">
        <f>IF(ISBLANK([1]PitScoutingInfo!A353),"",[1]PitScoutingInfo!A353)</f>
        <v/>
      </c>
      <c r="B353" s="23" t="str">
        <f>IF(ISBLANK([1]PitScoutingInfo!B353),"",[1]PitScoutingInfo!B353)</f>
        <v/>
      </c>
      <c r="C353" s="23" t="str">
        <f>IF(ISBLANK([1]PitScoutingInfo!J353),"",[1]PitScoutingInfo!J353)</f>
        <v/>
      </c>
      <c r="D353" s="23" t="str">
        <f>IF(ISBLANK([1]PitScoutingInfo!M353),"",[1]PitScoutingInfo!M353)</f>
        <v/>
      </c>
      <c r="E353" s="23" t="str">
        <f>IF(ISBLANK([1]PitScoutingInfo!N353),"",[1]PitScoutingInfo!N353)</f>
        <v/>
      </c>
      <c r="F353" s="23" t="str">
        <f>IF(ISBLANK([1]PitScoutingInfo!V353),"",[1]PitScoutingInfo!V353)</f>
        <v/>
      </c>
      <c r="G353" s="23" t="str">
        <f>IF(ISBLANK([1]PitScoutingInfo!W353),"",[1]PitScoutingInfo!W353)</f>
        <v/>
      </c>
      <c r="H353" s="23" t="str">
        <f>IF(ISBLANK([1]PitScoutingInfo!Z353),"",[1]PitScoutingInfo!Z353)</f>
        <v/>
      </c>
    </row>
    <row r="354" spans="1:8" x14ac:dyDescent="0.45">
      <c r="A354" s="23" t="str">
        <f>IF(ISBLANK([1]PitScoutingInfo!A354),"",[1]PitScoutingInfo!A354)</f>
        <v/>
      </c>
      <c r="B354" s="23" t="str">
        <f>IF(ISBLANK([1]PitScoutingInfo!B354),"",[1]PitScoutingInfo!B354)</f>
        <v/>
      </c>
      <c r="C354" s="23" t="str">
        <f>IF(ISBLANK([1]PitScoutingInfo!J354),"",[1]PitScoutingInfo!J354)</f>
        <v/>
      </c>
      <c r="D354" s="23" t="str">
        <f>IF(ISBLANK([1]PitScoutingInfo!M354),"",[1]PitScoutingInfo!M354)</f>
        <v/>
      </c>
      <c r="E354" s="23" t="str">
        <f>IF(ISBLANK([1]PitScoutingInfo!N354),"",[1]PitScoutingInfo!N354)</f>
        <v/>
      </c>
      <c r="F354" s="23" t="str">
        <f>IF(ISBLANK([1]PitScoutingInfo!V354),"",[1]PitScoutingInfo!V354)</f>
        <v/>
      </c>
      <c r="G354" s="23" t="str">
        <f>IF(ISBLANK([1]PitScoutingInfo!W354),"",[1]PitScoutingInfo!W354)</f>
        <v/>
      </c>
      <c r="H354" s="23" t="str">
        <f>IF(ISBLANK([1]PitScoutingInfo!Z354),"",[1]PitScoutingInfo!Z354)</f>
        <v/>
      </c>
    </row>
    <row r="355" spans="1:8" x14ac:dyDescent="0.45">
      <c r="A355" s="23" t="str">
        <f>IF(ISBLANK([1]PitScoutingInfo!A355),"",[1]PitScoutingInfo!A355)</f>
        <v/>
      </c>
      <c r="B355" s="23" t="str">
        <f>IF(ISBLANK([1]PitScoutingInfo!B355),"",[1]PitScoutingInfo!B355)</f>
        <v/>
      </c>
      <c r="C355" s="23" t="str">
        <f>IF(ISBLANK([1]PitScoutingInfo!J355),"",[1]PitScoutingInfo!J355)</f>
        <v/>
      </c>
      <c r="D355" s="23" t="str">
        <f>IF(ISBLANK([1]PitScoutingInfo!M355),"",[1]PitScoutingInfo!M355)</f>
        <v/>
      </c>
      <c r="E355" s="23" t="str">
        <f>IF(ISBLANK([1]PitScoutingInfo!N355),"",[1]PitScoutingInfo!N355)</f>
        <v/>
      </c>
      <c r="F355" s="23" t="str">
        <f>IF(ISBLANK([1]PitScoutingInfo!V355),"",[1]PitScoutingInfo!V355)</f>
        <v/>
      </c>
      <c r="G355" s="23" t="str">
        <f>IF(ISBLANK([1]PitScoutingInfo!W355),"",[1]PitScoutingInfo!W355)</f>
        <v/>
      </c>
      <c r="H355" s="23" t="str">
        <f>IF(ISBLANK([1]PitScoutingInfo!Z355),"",[1]PitScoutingInfo!Z355)</f>
        <v/>
      </c>
    </row>
    <row r="356" spans="1:8" x14ac:dyDescent="0.45">
      <c r="A356" s="23" t="str">
        <f>IF(ISBLANK([1]PitScoutingInfo!A356),"",[1]PitScoutingInfo!A356)</f>
        <v/>
      </c>
      <c r="B356" s="23" t="str">
        <f>IF(ISBLANK([1]PitScoutingInfo!B356),"",[1]PitScoutingInfo!B356)</f>
        <v/>
      </c>
      <c r="C356" s="23" t="str">
        <f>IF(ISBLANK([1]PitScoutingInfo!J356),"",[1]PitScoutingInfo!J356)</f>
        <v/>
      </c>
      <c r="D356" s="23" t="str">
        <f>IF(ISBLANK([1]PitScoutingInfo!M356),"",[1]PitScoutingInfo!M356)</f>
        <v/>
      </c>
      <c r="E356" s="23" t="str">
        <f>IF(ISBLANK([1]PitScoutingInfo!N356),"",[1]PitScoutingInfo!N356)</f>
        <v/>
      </c>
      <c r="F356" s="23" t="str">
        <f>IF(ISBLANK([1]PitScoutingInfo!V356),"",[1]PitScoutingInfo!V356)</f>
        <v/>
      </c>
      <c r="G356" s="23" t="str">
        <f>IF(ISBLANK([1]PitScoutingInfo!W356),"",[1]PitScoutingInfo!W356)</f>
        <v/>
      </c>
      <c r="H356" s="23" t="str">
        <f>IF(ISBLANK([1]PitScoutingInfo!Z356),"",[1]PitScoutingInfo!Z356)</f>
        <v/>
      </c>
    </row>
    <row r="357" spans="1:8" x14ac:dyDescent="0.45">
      <c r="A357" s="23" t="str">
        <f>IF(ISBLANK([1]PitScoutingInfo!A357),"",[1]PitScoutingInfo!A357)</f>
        <v/>
      </c>
      <c r="B357" s="23" t="str">
        <f>IF(ISBLANK([1]PitScoutingInfo!B357),"",[1]PitScoutingInfo!B357)</f>
        <v/>
      </c>
      <c r="C357" s="23" t="str">
        <f>IF(ISBLANK([1]PitScoutingInfo!J357),"",[1]PitScoutingInfo!J357)</f>
        <v/>
      </c>
      <c r="D357" s="23" t="str">
        <f>IF(ISBLANK([1]PitScoutingInfo!M357),"",[1]PitScoutingInfo!M357)</f>
        <v/>
      </c>
      <c r="E357" s="23" t="str">
        <f>IF(ISBLANK([1]PitScoutingInfo!N357),"",[1]PitScoutingInfo!N357)</f>
        <v/>
      </c>
      <c r="F357" s="23" t="str">
        <f>IF(ISBLANK([1]PitScoutingInfo!V357),"",[1]PitScoutingInfo!V357)</f>
        <v/>
      </c>
      <c r="G357" s="23" t="str">
        <f>IF(ISBLANK([1]PitScoutingInfo!W357),"",[1]PitScoutingInfo!W357)</f>
        <v/>
      </c>
      <c r="H357" s="23" t="str">
        <f>IF(ISBLANK([1]PitScoutingInfo!Z357),"",[1]PitScoutingInfo!Z357)</f>
        <v/>
      </c>
    </row>
    <row r="358" spans="1:8" x14ac:dyDescent="0.45">
      <c r="A358" s="23" t="str">
        <f>IF(ISBLANK([1]PitScoutingInfo!A358),"",[1]PitScoutingInfo!A358)</f>
        <v/>
      </c>
      <c r="B358" s="23" t="str">
        <f>IF(ISBLANK([1]PitScoutingInfo!B358),"",[1]PitScoutingInfo!B358)</f>
        <v/>
      </c>
      <c r="C358" s="23" t="str">
        <f>IF(ISBLANK([1]PitScoutingInfo!J358),"",[1]PitScoutingInfo!J358)</f>
        <v/>
      </c>
      <c r="D358" s="23" t="str">
        <f>IF(ISBLANK([1]PitScoutingInfo!M358),"",[1]PitScoutingInfo!M358)</f>
        <v/>
      </c>
      <c r="E358" s="23" t="str">
        <f>IF(ISBLANK([1]PitScoutingInfo!N358),"",[1]PitScoutingInfo!N358)</f>
        <v/>
      </c>
      <c r="F358" s="23" t="str">
        <f>IF(ISBLANK([1]PitScoutingInfo!V358),"",[1]PitScoutingInfo!V358)</f>
        <v/>
      </c>
      <c r="G358" s="23" t="str">
        <f>IF(ISBLANK([1]PitScoutingInfo!W358),"",[1]PitScoutingInfo!W358)</f>
        <v/>
      </c>
      <c r="H358" s="23" t="str">
        <f>IF(ISBLANK([1]PitScoutingInfo!Z358),"",[1]PitScoutingInfo!Z358)</f>
        <v/>
      </c>
    </row>
    <row r="359" spans="1:8" x14ac:dyDescent="0.45">
      <c r="A359" s="23" t="str">
        <f>IF(ISBLANK([1]PitScoutingInfo!A359),"",[1]PitScoutingInfo!A359)</f>
        <v/>
      </c>
      <c r="B359" s="23" t="str">
        <f>IF(ISBLANK([1]PitScoutingInfo!B359),"",[1]PitScoutingInfo!B359)</f>
        <v/>
      </c>
      <c r="C359" s="23" t="str">
        <f>IF(ISBLANK([1]PitScoutingInfo!J359),"",[1]PitScoutingInfo!J359)</f>
        <v/>
      </c>
      <c r="D359" s="23" t="str">
        <f>IF(ISBLANK([1]PitScoutingInfo!M359),"",[1]PitScoutingInfo!M359)</f>
        <v/>
      </c>
      <c r="E359" s="23" t="str">
        <f>IF(ISBLANK([1]PitScoutingInfo!N359),"",[1]PitScoutingInfo!N359)</f>
        <v/>
      </c>
      <c r="F359" s="23" t="str">
        <f>IF(ISBLANK([1]PitScoutingInfo!V359),"",[1]PitScoutingInfo!V359)</f>
        <v/>
      </c>
      <c r="G359" s="23" t="str">
        <f>IF(ISBLANK([1]PitScoutingInfo!W359),"",[1]PitScoutingInfo!W359)</f>
        <v/>
      </c>
      <c r="H359" s="23" t="str">
        <f>IF(ISBLANK([1]PitScoutingInfo!Z359),"",[1]PitScoutingInfo!Z359)</f>
        <v/>
      </c>
    </row>
    <row r="360" spans="1:8" x14ac:dyDescent="0.45">
      <c r="A360" s="23" t="str">
        <f>IF(ISBLANK([1]PitScoutingInfo!A360),"",[1]PitScoutingInfo!A360)</f>
        <v/>
      </c>
      <c r="B360" s="23" t="str">
        <f>IF(ISBLANK([1]PitScoutingInfo!B360),"",[1]PitScoutingInfo!B360)</f>
        <v/>
      </c>
      <c r="C360" s="23" t="str">
        <f>IF(ISBLANK([1]PitScoutingInfo!J360),"",[1]PitScoutingInfo!J360)</f>
        <v/>
      </c>
      <c r="D360" s="23" t="str">
        <f>IF(ISBLANK([1]PitScoutingInfo!M360),"",[1]PitScoutingInfo!M360)</f>
        <v/>
      </c>
      <c r="E360" s="23" t="str">
        <f>IF(ISBLANK([1]PitScoutingInfo!N360),"",[1]PitScoutingInfo!N360)</f>
        <v/>
      </c>
      <c r="F360" s="23" t="str">
        <f>IF(ISBLANK([1]PitScoutingInfo!V360),"",[1]PitScoutingInfo!V360)</f>
        <v/>
      </c>
      <c r="G360" s="23" t="str">
        <f>IF(ISBLANK([1]PitScoutingInfo!W360),"",[1]PitScoutingInfo!W360)</f>
        <v/>
      </c>
      <c r="H360" s="23" t="str">
        <f>IF(ISBLANK([1]PitScoutingInfo!Z360),"",[1]PitScoutingInfo!Z360)</f>
        <v/>
      </c>
    </row>
    <row r="361" spans="1:8" x14ac:dyDescent="0.45">
      <c r="A361" s="23" t="str">
        <f>IF(ISBLANK([1]PitScoutingInfo!A361),"",[1]PitScoutingInfo!A361)</f>
        <v/>
      </c>
      <c r="B361" s="23" t="str">
        <f>IF(ISBLANK([1]PitScoutingInfo!B361),"",[1]PitScoutingInfo!B361)</f>
        <v/>
      </c>
      <c r="C361" s="23" t="str">
        <f>IF(ISBLANK([1]PitScoutingInfo!J361),"",[1]PitScoutingInfo!J361)</f>
        <v/>
      </c>
      <c r="D361" s="23" t="str">
        <f>IF(ISBLANK([1]PitScoutingInfo!M361),"",[1]PitScoutingInfo!M361)</f>
        <v/>
      </c>
      <c r="E361" s="23" t="str">
        <f>IF(ISBLANK([1]PitScoutingInfo!N361),"",[1]PitScoutingInfo!N361)</f>
        <v/>
      </c>
      <c r="F361" s="23" t="str">
        <f>IF(ISBLANK([1]PitScoutingInfo!V361),"",[1]PitScoutingInfo!V361)</f>
        <v/>
      </c>
      <c r="G361" s="23" t="str">
        <f>IF(ISBLANK([1]PitScoutingInfo!W361),"",[1]PitScoutingInfo!W361)</f>
        <v/>
      </c>
      <c r="H361" s="23" t="str">
        <f>IF(ISBLANK([1]PitScoutingInfo!Z361),"",[1]PitScoutingInfo!Z361)</f>
        <v/>
      </c>
    </row>
    <row r="362" spans="1:8" x14ac:dyDescent="0.45">
      <c r="A362" s="23" t="str">
        <f>IF(ISBLANK([1]PitScoutingInfo!A362),"",[1]PitScoutingInfo!A362)</f>
        <v/>
      </c>
      <c r="B362" s="23" t="str">
        <f>IF(ISBLANK([1]PitScoutingInfo!B362),"",[1]PitScoutingInfo!B362)</f>
        <v/>
      </c>
      <c r="C362" s="23" t="str">
        <f>IF(ISBLANK([1]PitScoutingInfo!J362),"",[1]PitScoutingInfo!J362)</f>
        <v/>
      </c>
      <c r="D362" s="23" t="str">
        <f>IF(ISBLANK([1]PitScoutingInfo!M362),"",[1]PitScoutingInfo!M362)</f>
        <v/>
      </c>
      <c r="E362" s="23" t="str">
        <f>IF(ISBLANK([1]PitScoutingInfo!N362),"",[1]PitScoutingInfo!N362)</f>
        <v/>
      </c>
      <c r="F362" s="23" t="str">
        <f>IF(ISBLANK([1]PitScoutingInfo!V362),"",[1]PitScoutingInfo!V362)</f>
        <v/>
      </c>
      <c r="G362" s="23" t="str">
        <f>IF(ISBLANK([1]PitScoutingInfo!W362),"",[1]PitScoutingInfo!W362)</f>
        <v/>
      </c>
      <c r="H362" s="23" t="str">
        <f>IF(ISBLANK([1]PitScoutingInfo!Z362),"",[1]PitScoutingInfo!Z362)</f>
        <v/>
      </c>
    </row>
    <row r="363" spans="1:8" x14ac:dyDescent="0.45">
      <c r="A363" s="23" t="str">
        <f>IF(ISBLANK([1]PitScoutingInfo!A363),"",[1]PitScoutingInfo!A363)</f>
        <v/>
      </c>
      <c r="B363" s="23" t="str">
        <f>IF(ISBLANK([1]PitScoutingInfo!B363),"",[1]PitScoutingInfo!B363)</f>
        <v/>
      </c>
      <c r="C363" s="23" t="str">
        <f>IF(ISBLANK([1]PitScoutingInfo!J363),"",[1]PitScoutingInfo!J363)</f>
        <v/>
      </c>
      <c r="D363" s="23" t="str">
        <f>IF(ISBLANK([1]PitScoutingInfo!M363),"",[1]PitScoutingInfo!M363)</f>
        <v/>
      </c>
      <c r="E363" s="23" t="str">
        <f>IF(ISBLANK([1]PitScoutingInfo!N363),"",[1]PitScoutingInfo!N363)</f>
        <v/>
      </c>
      <c r="F363" s="23" t="str">
        <f>IF(ISBLANK([1]PitScoutingInfo!V363),"",[1]PitScoutingInfo!V363)</f>
        <v/>
      </c>
      <c r="G363" s="23" t="str">
        <f>IF(ISBLANK([1]PitScoutingInfo!W363),"",[1]PitScoutingInfo!W363)</f>
        <v/>
      </c>
      <c r="H363" s="23" t="str">
        <f>IF(ISBLANK([1]PitScoutingInfo!Z363),"",[1]PitScoutingInfo!Z363)</f>
        <v/>
      </c>
    </row>
    <row r="364" spans="1:8" x14ac:dyDescent="0.45">
      <c r="A364" s="23" t="str">
        <f>IF(ISBLANK([1]PitScoutingInfo!A364),"",[1]PitScoutingInfo!A364)</f>
        <v/>
      </c>
      <c r="B364" s="23" t="str">
        <f>IF(ISBLANK([1]PitScoutingInfo!B364),"",[1]PitScoutingInfo!B364)</f>
        <v/>
      </c>
      <c r="C364" s="23" t="str">
        <f>IF(ISBLANK([1]PitScoutingInfo!J364),"",[1]PitScoutingInfo!J364)</f>
        <v/>
      </c>
      <c r="D364" s="23" t="str">
        <f>IF(ISBLANK([1]PitScoutingInfo!M364),"",[1]PitScoutingInfo!M364)</f>
        <v/>
      </c>
      <c r="E364" s="23" t="str">
        <f>IF(ISBLANK([1]PitScoutingInfo!N364),"",[1]PitScoutingInfo!N364)</f>
        <v/>
      </c>
      <c r="F364" s="23" t="str">
        <f>IF(ISBLANK([1]PitScoutingInfo!V364),"",[1]PitScoutingInfo!V364)</f>
        <v/>
      </c>
      <c r="G364" s="23" t="str">
        <f>IF(ISBLANK([1]PitScoutingInfo!W364),"",[1]PitScoutingInfo!W364)</f>
        <v/>
      </c>
      <c r="H364" s="23" t="str">
        <f>IF(ISBLANK([1]PitScoutingInfo!Z364),"",[1]PitScoutingInfo!Z364)</f>
        <v/>
      </c>
    </row>
    <row r="365" spans="1:8" x14ac:dyDescent="0.45">
      <c r="A365" s="23" t="str">
        <f>IF(ISBLANK([1]PitScoutingInfo!A365),"",[1]PitScoutingInfo!A365)</f>
        <v/>
      </c>
      <c r="B365" s="23" t="str">
        <f>IF(ISBLANK([1]PitScoutingInfo!B365),"",[1]PitScoutingInfo!B365)</f>
        <v/>
      </c>
      <c r="C365" s="23" t="str">
        <f>IF(ISBLANK([1]PitScoutingInfo!J365),"",[1]PitScoutingInfo!J365)</f>
        <v/>
      </c>
      <c r="D365" s="23" t="str">
        <f>IF(ISBLANK([1]PitScoutingInfo!M365),"",[1]PitScoutingInfo!M365)</f>
        <v/>
      </c>
      <c r="E365" s="23" t="str">
        <f>IF(ISBLANK([1]PitScoutingInfo!N365),"",[1]PitScoutingInfo!N365)</f>
        <v/>
      </c>
      <c r="F365" s="23" t="str">
        <f>IF(ISBLANK([1]PitScoutingInfo!V365),"",[1]PitScoutingInfo!V365)</f>
        <v/>
      </c>
      <c r="G365" s="23" t="str">
        <f>IF(ISBLANK([1]PitScoutingInfo!W365),"",[1]PitScoutingInfo!W365)</f>
        <v/>
      </c>
      <c r="H365" s="23" t="str">
        <f>IF(ISBLANK([1]PitScoutingInfo!Z365),"",[1]PitScoutingInfo!Z365)</f>
        <v/>
      </c>
    </row>
    <row r="366" spans="1:8" x14ac:dyDescent="0.45">
      <c r="A366" s="23" t="str">
        <f>IF(ISBLANK([1]PitScoutingInfo!A366),"",[1]PitScoutingInfo!A366)</f>
        <v/>
      </c>
      <c r="B366" s="23" t="str">
        <f>IF(ISBLANK([1]PitScoutingInfo!B366),"",[1]PitScoutingInfo!B366)</f>
        <v/>
      </c>
      <c r="C366" s="23" t="str">
        <f>IF(ISBLANK([1]PitScoutingInfo!J366),"",[1]PitScoutingInfo!J366)</f>
        <v/>
      </c>
      <c r="D366" s="23" t="str">
        <f>IF(ISBLANK([1]PitScoutingInfo!M366),"",[1]PitScoutingInfo!M366)</f>
        <v/>
      </c>
      <c r="E366" s="23" t="str">
        <f>IF(ISBLANK([1]PitScoutingInfo!N366),"",[1]PitScoutingInfo!N366)</f>
        <v/>
      </c>
      <c r="F366" s="23" t="str">
        <f>IF(ISBLANK([1]PitScoutingInfo!V366),"",[1]PitScoutingInfo!V366)</f>
        <v/>
      </c>
      <c r="G366" s="23" t="str">
        <f>IF(ISBLANK([1]PitScoutingInfo!W366),"",[1]PitScoutingInfo!W366)</f>
        <v/>
      </c>
      <c r="H366" s="23" t="str">
        <f>IF(ISBLANK([1]PitScoutingInfo!Z366),"",[1]PitScoutingInfo!Z366)</f>
        <v/>
      </c>
    </row>
    <row r="367" spans="1:8" x14ac:dyDescent="0.45">
      <c r="A367" s="23" t="str">
        <f>IF(ISBLANK([1]PitScoutingInfo!A367),"",[1]PitScoutingInfo!A367)</f>
        <v/>
      </c>
      <c r="B367" s="23" t="str">
        <f>IF(ISBLANK([1]PitScoutingInfo!B367),"",[1]PitScoutingInfo!B367)</f>
        <v/>
      </c>
      <c r="C367" s="23" t="str">
        <f>IF(ISBLANK([1]PitScoutingInfo!J367),"",[1]PitScoutingInfo!J367)</f>
        <v/>
      </c>
      <c r="D367" s="23" t="str">
        <f>IF(ISBLANK([1]PitScoutingInfo!M367),"",[1]PitScoutingInfo!M367)</f>
        <v/>
      </c>
      <c r="E367" s="23" t="str">
        <f>IF(ISBLANK([1]PitScoutingInfo!N367),"",[1]PitScoutingInfo!N367)</f>
        <v/>
      </c>
      <c r="F367" s="23" t="str">
        <f>IF(ISBLANK([1]PitScoutingInfo!V367),"",[1]PitScoutingInfo!V367)</f>
        <v/>
      </c>
      <c r="G367" s="23" t="str">
        <f>IF(ISBLANK([1]PitScoutingInfo!W367),"",[1]PitScoutingInfo!W367)</f>
        <v/>
      </c>
      <c r="H367" s="23" t="str">
        <f>IF(ISBLANK([1]PitScoutingInfo!Z367),"",[1]PitScoutingInfo!Z367)</f>
        <v/>
      </c>
    </row>
    <row r="368" spans="1:8" x14ac:dyDescent="0.45">
      <c r="A368" s="23" t="str">
        <f>IF(ISBLANK([1]PitScoutingInfo!A368),"",[1]PitScoutingInfo!A368)</f>
        <v/>
      </c>
      <c r="B368" s="23" t="str">
        <f>IF(ISBLANK([1]PitScoutingInfo!B368),"",[1]PitScoutingInfo!B368)</f>
        <v/>
      </c>
      <c r="C368" s="23" t="str">
        <f>IF(ISBLANK([1]PitScoutingInfo!J368),"",[1]PitScoutingInfo!J368)</f>
        <v/>
      </c>
      <c r="D368" s="23" t="str">
        <f>IF(ISBLANK([1]PitScoutingInfo!M368),"",[1]PitScoutingInfo!M368)</f>
        <v/>
      </c>
      <c r="E368" s="23" t="str">
        <f>IF(ISBLANK([1]PitScoutingInfo!N368),"",[1]PitScoutingInfo!N368)</f>
        <v/>
      </c>
      <c r="F368" s="23" t="str">
        <f>IF(ISBLANK([1]PitScoutingInfo!V368),"",[1]PitScoutingInfo!V368)</f>
        <v/>
      </c>
      <c r="G368" s="23" t="str">
        <f>IF(ISBLANK([1]PitScoutingInfo!W368),"",[1]PitScoutingInfo!W368)</f>
        <v/>
      </c>
      <c r="H368" s="23" t="str">
        <f>IF(ISBLANK([1]PitScoutingInfo!Z368),"",[1]PitScoutingInfo!Z368)</f>
        <v/>
      </c>
    </row>
    <row r="369" spans="1:8" x14ac:dyDescent="0.45">
      <c r="A369" s="23" t="str">
        <f>IF(ISBLANK([1]PitScoutingInfo!A369),"",[1]PitScoutingInfo!A369)</f>
        <v/>
      </c>
      <c r="B369" s="23" t="str">
        <f>IF(ISBLANK([1]PitScoutingInfo!B369),"",[1]PitScoutingInfo!B369)</f>
        <v/>
      </c>
      <c r="C369" s="23" t="str">
        <f>IF(ISBLANK([1]PitScoutingInfo!J369),"",[1]PitScoutingInfo!J369)</f>
        <v/>
      </c>
      <c r="D369" s="23" t="str">
        <f>IF(ISBLANK([1]PitScoutingInfo!M369),"",[1]PitScoutingInfo!M369)</f>
        <v/>
      </c>
      <c r="E369" s="23" t="str">
        <f>IF(ISBLANK([1]PitScoutingInfo!N369),"",[1]PitScoutingInfo!N369)</f>
        <v/>
      </c>
      <c r="F369" s="23" t="str">
        <f>IF(ISBLANK([1]PitScoutingInfo!V369),"",[1]PitScoutingInfo!V369)</f>
        <v/>
      </c>
      <c r="G369" s="23" t="str">
        <f>IF(ISBLANK([1]PitScoutingInfo!W369),"",[1]PitScoutingInfo!W369)</f>
        <v/>
      </c>
      <c r="H369" s="23" t="str">
        <f>IF(ISBLANK([1]PitScoutingInfo!Z369),"",[1]PitScoutingInfo!Z369)</f>
        <v/>
      </c>
    </row>
    <row r="370" spans="1:8" x14ac:dyDescent="0.45">
      <c r="A370" s="23" t="str">
        <f>IF(ISBLANK([1]PitScoutingInfo!A370),"",[1]PitScoutingInfo!A370)</f>
        <v/>
      </c>
      <c r="B370" s="23" t="str">
        <f>IF(ISBLANK([1]PitScoutingInfo!B370),"",[1]PitScoutingInfo!B370)</f>
        <v/>
      </c>
      <c r="C370" s="23" t="str">
        <f>IF(ISBLANK([1]PitScoutingInfo!J370),"",[1]PitScoutingInfo!J370)</f>
        <v/>
      </c>
      <c r="D370" s="23" t="str">
        <f>IF(ISBLANK([1]PitScoutingInfo!M370),"",[1]PitScoutingInfo!M370)</f>
        <v/>
      </c>
      <c r="E370" s="23" t="str">
        <f>IF(ISBLANK([1]PitScoutingInfo!N370),"",[1]PitScoutingInfo!N370)</f>
        <v/>
      </c>
      <c r="F370" s="23" t="str">
        <f>IF(ISBLANK([1]PitScoutingInfo!V370),"",[1]PitScoutingInfo!V370)</f>
        <v/>
      </c>
      <c r="G370" s="23" t="str">
        <f>IF(ISBLANK([1]PitScoutingInfo!W370),"",[1]PitScoutingInfo!W370)</f>
        <v/>
      </c>
      <c r="H370" s="23" t="str">
        <f>IF(ISBLANK([1]PitScoutingInfo!Z370),"",[1]PitScoutingInfo!Z370)</f>
        <v/>
      </c>
    </row>
    <row r="371" spans="1:8" x14ac:dyDescent="0.45">
      <c r="A371" s="23" t="str">
        <f>IF(ISBLANK([1]PitScoutingInfo!A371),"",[1]PitScoutingInfo!A371)</f>
        <v/>
      </c>
      <c r="B371" s="23" t="str">
        <f>IF(ISBLANK([1]PitScoutingInfo!B371),"",[1]PitScoutingInfo!B371)</f>
        <v/>
      </c>
      <c r="C371" s="23" t="str">
        <f>IF(ISBLANK([1]PitScoutingInfo!J371),"",[1]PitScoutingInfo!J371)</f>
        <v/>
      </c>
      <c r="D371" s="23" t="str">
        <f>IF(ISBLANK([1]PitScoutingInfo!M371),"",[1]PitScoutingInfo!M371)</f>
        <v/>
      </c>
      <c r="E371" s="23" t="str">
        <f>IF(ISBLANK([1]PitScoutingInfo!N371),"",[1]PitScoutingInfo!N371)</f>
        <v/>
      </c>
      <c r="F371" s="23" t="str">
        <f>IF(ISBLANK([1]PitScoutingInfo!V371),"",[1]PitScoutingInfo!V371)</f>
        <v/>
      </c>
      <c r="G371" s="23" t="str">
        <f>IF(ISBLANK([1]PitScoutingInfo!W371),"",[1]PitScoutingInfo!W371)</f>
        <v/>
      </c>
      <c r="H371" s="23" t="str">
        <f>IF(ISBLANK([1]PitScoutingInfo!Z371),"",[1]PitScoutingInfo!Z371)</f>
        <v/>
      </c>
    </row>
    <row r="372" spans="1:8" x14ac:dyDescent="0.45">
      <c r="A372" s="23" t="str">
        <f>IF(ISBLANK([1]PitScoutingInfo!A372),"",[1]PitScoutingInfo!A372)</f>
        <v/>
      </c>
      <c r="B372" s="23" t="str">
        <f>IF(ISBLANK([1]PitScoutingInfo!B372),"",[1]PitScoutingInfo!B372)</f>
        <v/>
      </c>
      <c r="C372" s="23" t="str">
        <f>IF(ISBLANK([1]PitScoutingInfo!J372),"",[1]PitScoutingInfo!J372)</f>
        <v/>
      </c>
      <c r="D372" s="23" t="str">
        <f>IF(ISBLANK([1]PitScoutingInfo!M372),"",[1]PitScoutingInfo!M372)</f>
        <v/>
      </c>
      <c r="E372" s="23" t="str">
        <f>IF(ISBLANK([1]PitScoutingInfo!N372),"",[1]PitScoutingInfo!N372)</f>
        <v/>
      </c>
      <c r="F372" s="23" t="str">
        <f>IF(ISBLANK([1]PitScoutingInfo!V372),"",[1]PitScoutingInfo!V372)</f>
        <v/>
      </c>
      <c r="G372" s="23" t="str">
        <f>IF(ISBLANK([1]PitScoutingInfo!W372),"",[1]PitScoutingInfo!W372)</f>
        <v/>
      </c>
      <c r="H372" s="23" t="str">
        <f>IF(ISBLANK([1]PitScoutingInfo!Z372),"",[1]PitScoutingInfo!Z372)</f>
        <v/>
      </c>
    </row>
    <row r="373" spans="1:8" x14ac:dyDescent="0.45">
      <c r="A373" s="23" t="str">
        <f>IF(ISBLANK([1]PitScoutingInfo!A373),"",[1]PitScoutingInfo!A373)</f>
        <v/>
      </c>
      <c r="B373" s="23" t="str">
        <f>IF(ISBLANK([1]PitScoutingInfo!B373),"",[1]PitScoutingInfo!B373)</f>
        <v/>
      </c>
      <c r="C373" s="23" t="str">
        <f>IF(ISBLANK([1]PitScoutingInfo!J373),"",[1]PitScoutingInfo!J373)</f>
        <v/>
      </c>
      <c r="D373" s="23" t="str">
        <f>IF(ISBLANK([1]PitScoutingInfo!M373),"",[1]PitScoutingInfo!M373)</f>
        <v/>
      </c>
      <c r="E373" s="23" t="str">
        <f>IF(ISBLANK([1]PitScoutingInfo!N373),"",[1]PitScoutingInfo!N373)</f>
        <v/>
      </c>
      <c r="F373" s="23" t="str">
        <f>IF(ISBLANK([1]PitScoutingInfo!V373),"",[1]PitScoutingInfo!V373)</f>
        <v/>
      </c>
      <c r="G373" s="23" t="str">
        <f>IF(ISBLANK([1]PitScoutingInfo!W373),"",[1]PitScoutingInfo!W373)</f>
        <v/>
      </c>
      <c r="H373" s="23" t="str">
        <f>IF(ISBLANK([1]PitScoutingInfo!Z373),"",[1]PitScoutingInfo!Z373)</f>
        <v/>
      </c>
    </row>
    <row r="374" spans="1:8" x14ac:dyDescent="0.45">
      <c r="A374" s="23" t="str">
        <f>IF(ISBLANK([1]PitScoutingInfo!A374),"",[1]PitScoutingInfo!A374)</f>
        <v/>
      </c>
      <c r="B374" s="23" t="str">
        <f>IF(ISBLANK([1]PitScoutingInfo!B374),"",[1]PitScoutingInfo!B374)</f>
        <v/>
      </c>
      <c r="C374" s="23" t="str">
        <f>IF(ISBLANK([1]PitScoutingInfo!J374),"",[1]PitScoutingInfo!J374)</f>
        <v/>
      </c>
      <c r="D374" s="23" t="str">
        <f>IF(ISBLANK([1]PitScoutingInfo!M374),"",[1]PitScoutingInfo!M374)</f>
        <v/>
      </c>
      <c r="E374" s="23" t="str">
        <f>IF(ISBLANK([1]PitScoutingInfo!N374),"",[1]PitScoutingInfo!N374)</f>
        <v/>
      </c>
      <c r="F374" s="23" t="str">
        <f>IF(ISBLANK([1]PitScoutingInfo!V374),"",[1]PitScoutingInfo!V374)</f>
        <v/>
      </c>
      <c r="G374" s="23" t="str">
        <f>IF(ISBLANK([1]PitScoutingInfo!W374),"",[1]PitScoutingInfo!W374)</f>
        <v/>
      </c>
      <c r="H374" s="23" t="str">
        <f>IF(ISBLANK([1]PitScoutingInfo!Z374),"",[1]PitScoutingInfo!Z374)</f>
        <v/>
      </c>
    </row>
    <row r="375" spans="1:8" x14ac:dyDescent="0.45">
      <c r="A375" s="23" t="str">
        <f>IF(ISBLANK([1]PitScoutingInfo!A375),"",[1]PitScoutingInfo!A375)</f>
        <v/>
      </c>
      <c r="B375" s="23" t="str">
        <f>IF(ISBLANK([1]PitScoutingInfo!B375),"",[1]PitScoutingInfo!B375)</f>
        <v/>
      </c>
      <c r="C375" s="23" t="str">
        <f>IF(ISBLANK([1]PitScoutingInfo!J375),"",[1]PitScoutingInfo!J375)</f>
        <v/>
      </c>
      <c r="D375" s="23" t="str">
        <f>IF(ISBLANK([1]PitScoutingInfo!M375),"",[1]PitScoutingInfo!M375)</f>
        <v/>
      </c>
      <c r="E375" s="23" t="str">
        <f>IF(ISBLANK([1]PitScoutingInfo!N375),"",[1]PitScoutingInfo!N375)</f>
        <v/>
      </c>
      <c r="F375" s="23" t="str">
        <f>IF(ISBLANK([1]PitScoutingInfo!V375),"",[1]PitScoutingInfo!V375)</f>
        <v/>
      </c>
      <c r="G375" s="23" t="str">
        <f>IF(ISBLANK([1]PitScoutingInfo!W375),"",[1]PitScoutingInfo!W375)</f>
        <v/>
      </c>
      <c r="H375" s="23" t="str">
        <f>IF(ISBLANK([1]PitScoutingInfo!Z375),"",[1]PitScoutingInfo!Z375)</f>
        <v/>
      </c>
    </row>
    <row r="376" spans="1:8" x14ac:dyDescent="0.45">
      <c r="A376" s="23" t="str">
        <f>IF(ISBLANK([1]PitScoutingInfo!A376),"",[1]PitScoutingInfo!A376)</f>
        <v/>
      </c>
      <c r="B376" s="23" t="str">
        <f>IF(ISBLANK([1]PitScoutingInfo!B376),"",[1]PitScoutingInfo!B376)</f>
        <v/>
      </c>
      <c r="C376" s="23" t="str">
        <f>IF(ISBLANK([1]PitScoutingInfo!J376),"",[1]PitScoutingInfo!J376)</f>
        <v/>
      </c>
      <c r="D376" s="23" t="str">
        <f>IF(ISBLANK([1]PitScoutingInfo!M376),"",[1]PitScoutingInfo!M376)</f>
        <v/>
      </c>
      <c r="E376" s="23" t="str">
        <f>IF(ISBLANK([1]PitScoutingInfo!N376),"",[1]PitScoutingInfo!N376)</f>
        <v/>
      </c>
      <c r="F376" s="23" t="str">
        <f>IF(ISBLANK([1]PitScoutingInfo!V376),"",[1]PitScoutingInfo!V376)</f>
        <v/>
      </c>
      <c r="G376" s="23" t="str">
        <f>IF(ISBLANK([1]PitScoutingInfo!W376),"",[1]PitScoutingInfo!W376)</f>
        <v/>
      </c>
      <c r="H376" s="23" t="str">
        <f>IF(ISBLANK([1]PitScoutingInfo!Z376),"",[1]PitScoutingInfo!Z376)</f>
        <v/>
      </c>
    </row>
    <row r="377" spans="1:8" x14ac:dyDescent="0.45">
      <c r="A377" s="23" t="str">
        <f>IF(ISBLANK([1]PitScoutingInfo!A377),"",[1]PitScoutingInfo!A377)</f>
        <v/>
      </c>
      <c r="B377" s="23" t="str">
        <f>IF(ISBLANK([1]PitScoutingInfo!B377),"",[1]PitScoutingInfo!B377)</f>
        <v/>
      </c>
      <c r="C377" s="23" t="str">
        <f>IF(ISBLANK([1]PitScoutingInfo!J377),"",[1]PitScoutingInfo!J377)</f>
        <v/>
      </c>
      <c r="D377" s="23" t="str">
        <f>IF(ISBLANK([1]PitScoutingInfo!M377),"",[1]PitScoutingInfo!M377)</f>
        <v/>
      </c>
      <c r="E377" s="23" t="str">
        <f>IF(ISBLANK([1]PitScoutingInfo!N377),"",[1]PitScoutingInfo!N377)</f>
        <v/>
      </c>
      <c r="F377" s="23" t="str">
        <f>IF(ISBLANK([1]PitScoutingInfo!V377),"",[1]PitScoutingInfo!V377)</f>
        <v/>
      </c>
      <c r="G377" s="23" t="str">
        <f>IF(ISBLANK([1]PitScoutingInfo!W377),"",[1]PitScoutingInfo!W377)</f>
        <v/>
      </c>
      <c r="H377" s="23" t="str">
        <f>IF(ISBLANK([1]PitScoutingInfo!Z377),"",[1]PitScoutingInfo!Z377)</f>
        <v/>
      </c>
    </row>
    <row r="378" spans="1:8" x14ac:dyDescent="0.45">
      <c r="A378" s="23" t="str">
        <f>IF(ISBLANK([1]PitScoutingInfo!A378),"",[1]PitScoutingInfo!A378)</f>
        <v/>
      </c>
      <c r="B378" s="23" t="str">
        <f>IF(ISBLANK([1]PitScoutingInfo!B378),"",[1]PitScoutingInfo!B378)</f>
        <v/>
      </c>
      <c r="C378" s="23" t="str">
        <f>IF(ISBLANK([1]PitScoutingInfo!J378),"",[1]PitScoutingInfo!J378)</f>
        <v/>
      </c>
      <c r="D378" s="23" t="str">
        <f>IF(ISBLANK([1]PitScoutingInfo!M378),"",[1]PitScoutingInfo!M378)</f>
        <v/>
      </c>
      <c r="E378" s="23" t="str">
        <f>IF(ISBLANK([1]PitScoutingInfo!N378),"",[1]PitScoutingInfo!N378)</f>
        <v/>
      </c>
      <c r="F378" s="23" t="str">
        <f>IF(ISBLANK([1]PitScoutingInfo!V378),"",[1]PitScoutingInfo!V378)</f>
        <v/>
      </c>
      <c r="G378" s="23" t="str">
        <f>IF(ISBLANK([1]PitScoutingInfo!W378),"",[1]PitScoutingInfo!W378)</f>
        <v/>
      </c>
      <c r="H378" s="23" t="str">
        <f>IF(ISBLANK([1]PitScoutingInfo!Z378),"",[1]PitScoutingInfo!Z378)</f>
        <v/>
      </c>
    </row>
    <row r="379" spans="1:8" x14ac:dyDescent="0.45">
      <c r="A379" s="23" t="str">
        <f>IF(ISBLANK([1]PitScoutingInfo!A379),"",[1]PitScoutingInfo!A379)</f>
        <v/>
      </c>
      <c r="B379" s="23" t="str">
        <f>IF(ISBLANK([1]PitScoutingInfo!B379),"",[1]PitScoutingInfo!B379)</f>
        <v/>
      </c>
      <c r="C379" s="23" t="str">
        <f>IF(ISBLANK([1]PitScoutingInfo!J379),"",[1]PitScoutingInfo!J379)</f>
        <v/>
      </c>
      <c r="D379" s="23" t="str">
        <f>IF(ISBLANK([1]PitScoutingInfo!M379),"",[1]PitScoutingInfo!M379)</f>
        <v/>
      </c>
      <c r="E379" s="23" t="str">
        <f>IF(ISBLANK([1]PitScoutingInfo!N379),"",[1]PitScoutingInfo!N379)</f>
        <v/>
      </c>
      <c r="F379" s="23" t="str">
        <f>IF(ISBLANK([1]PitScoutingInfo!V379),"",[1]PitScoutingInfo!V379)</f>
        <v/>
      </c>
      <c r="G379" s="23" t="str">
        <f>IF(ISBLANK([1]PitScoutingInfo!W379),"",[1]PitScoutingInfo!W379)</f>
        <v/>
      </c>
      <c r="H379" s="23" t="str">
        <f>IF(ISBLANK([1]PitScoutingInfo!Z379),"",[1]PitScoutingInfo!Z379)</f>
        <v/>
      </c>
    </row>
    <row r="380" spans="1:8" x14ac:dyDescent="0.45">
      <c r="A380" s="23" t="str">
        <f>IF(ISBLANK([1]PitScoutingInfo!A380),"",[1]PitScoutingInfo!A380)</f>
        <v/>
      </c>
      <c r="B380" s="23" t="str">
        <f>IF(ISBLANK([1]PitScoutingInfo!B380),"",[1]PitScoutingInfo!B380)</f>
        <v/>
      </c>
      <c r="C380" s="23" t="str">
        <f>IF(ISBLANK([1]PitScoutingInfo!J380),"",[1]PitScoutingInfo!J380)</f>
        <v/>
      </c>
      <c r="D380" s="23" t="str">
        <f>IF(ISBLANK([1]PitScoutingInfo!M380),"",[1]PitScoutingInfo!M380)</f>
        <v/>
      </c>
      <c r="E380" s="23" t="str">
        <f>IF(ISBLANK([1]PitScoutingInfo!N380),"",[1]PitScoutingInfo!N380)</f>
        <v/>
      </c>
      <c r="F380" s="23" t="str">
        <f>IF(ISBLANK([1]PitScoutingInfo!V380),"",[1]PitScoutingInfo!V380)</f>
        <v/>
      </c>
      <c r="G380" s="23" t="str">
        <f>IF(ISBLANK([1]PitScoutingInfo!W380),"",[1]PitScoutingInfo!W380)</f>
        <v/>
      </c>
      <c r="H380" s="23" t="str">
        <f>IF(ISBLANK([1]PitScoutingInfo!Z380),"",[1]PitScoutingInfo!Z380)</f>
        <v/>
      </c>
    </row>
    <row r="381" spans="1:8" x14ac:dyDescent="0.45">
      <c r="A381" s="23" t="str">
        <f>IF(ISBLANK([1]PitScoutingInfo!A381),"",[1]PitScoutingInfo!A381)</f>
        <v/>
      </c>
      <c r="B381" s="23" t="str">
        <f>IF(ISBLANK([1]PitScoutingInfo!B381),"",[1]PitScoutingInfo!B381)</f>
        <v/>
      </c>
      <c r="C381" s="23" t="str">
        <f>IF(ISBLANK([1]PitScoutingInfo!J381),"",[1]PitScoutingInfo!J381)</f>
        <v/>
      </c>
      <c r="D381" s="23" t="str">
        <f>IF(ISBLANK([1]PitScoutingInfo!M381),"",[1]PitScoutingInfo!M381)</f>
        <v/>
      </c>
      <c r="E381" s="23" t="str">
        <f>IF(ISBLANK([1]PitScoutingInfo!N381),"",[1]PitScoutingInfo!N381)</f>
        <v/>
      </c>
      <c r="F381" s="23" t="str">
        <f>IF(ISBLANK([1]PitScoutingInfo!V381),"",[1]PitScoutingInfo!V381)</f>
        <v/>
      </c>
      <c r="G381" s="23" t="str">
        <f>IF(ISBLANK([1]PitScoutingInfo!W381),"",[1]PitScoutingInfo!W381)</f>
        <v/>
      </c>
      <c r="H381" s="23" t="str">
        <f>IF(ISBLANK([1]PitScoutingInfo!Z381),"",[1]PitScoutingInfo!Z381)</f>
        <v/>
      </c>
    </row>
    <row r="382" spans="1:8" x14ac:dyDescent="0.45">
      <c r="A382" s="23" t="str">
        <f>IF(ISBLANK([1]PitScoutingInfo!A382),"",[1]PitScoutingInfo!A382)</f>
        <v/>
      </c>
      <c r="B382" s="23" t="str">
        <f>IF(ISBLANK([1]PitScoutingInfo!B382),"",[1]PitScoutingInfo!B382)</f>
        <v/>
      </c>
      <c r="C382" s="23" t="str">
        <f>IF(ISBLANK([1]PitScoutingInfo!J382),"",[1]PitScoutingInfo!J382)</f>
        <v/>
      </c>
      <c r="D382" s="23" t="str">
        <f>IF(ISBLANK([1]PitScoutingInfo!M382),"",[1]PitScoutingInfo!M382)</f>
        <v/>
      </c>
      <c r="E382" s="23" t="str">
        <f>IF(ISBLANK([1]PitScoutingInfo!N382),"",[1]PitScoutingInfo!N382)</f>
        <v/>
      </c>
      <c r="F382" s="23" t="str">
        <f>IF(ISBLANK([1]PitScoutingInfo!V382),"",[1]PitScoutingInfo!V382)</f>
        <v/>
      </c>
      <c r="G382" s="23" t="str">
        <f>IF(ISBLANK([1]PitScoutingInfo!W382),"",[1]PitScoutingInfo!W382)</f>
        <v/>
      </c>
      <c r="H382" s="23" t="str">
        <f>IF(ISBLANK([1]PitScoutingInfo!Z382),"",[1]PitScoutingInfo!Z382)</f>
        <v/>
      </c>
    </row>
    <row r="383" spans="1:8" x14ac:dyDescent="0.45">
      <c r="A383" s="23" t="str">
        <f>IF(ISBLANK([1]PitScoutingInfo!A383),"",[1]PitScoutingInfo!A383)</f>
        <v/>
      </c>
      <c r="B383" s="23" t="str">
        <f>IF(ISBLANK([1]PitScoutingInfo!B383),"",[1]PitScoutingInfo!B383)</f>
        <v/>
      </c>
      <c r="C383" s="23" t="str">
        <f>IF(ISBLANK([1]PitScoutingInfo!J383),"",[1]PitScoutingInfo!J383)</f>
        <v/>
      </c>
      <c r="D383" s="23" t="str">
        <f>IF(ISBLANK([1]PitScoutingInfo!M383),"",[1]PitScoutingInfo!M383)</f>
        <v/>
      </c>
      <c r="E383" s="23" t="str">
        <f>IF(ISBLANK([1]PitScoutingInfo!N383),"",[1]PitScoutingInfo!N383)</f>
        <v/>
      </c>
      <c r="F383" s="23" t="str">
        <f>IF(ISBLANK([1]PitScoutingInfo!V383),"",[1]PitScoutingInfo!V383)</f>
        <v/>
      </c>
      <c r="G383" s="23" t="str">
        <f>IF(ISBLANK([1]PitScoutingInfo!W383),"",[1]PitScoutingInfo!W383)</f>
        <v/>
      </c>
      <c r="H383" s="23" t="str">
        <f>IF(ISBLANK([1]PitScoutingInfo!Z383),"",[1]PitScoutingInfo!Z383)</f>
        <v/>
      </c>
    </row>
    <row r="384" spans="1:8" x14ac:dyDescent="0.45">
      <c r="A384" s="23" t="str">
        <f>IF(ISBLANK([1]PitScoutingInfo!A384),"",[1]PitScoutingInfo!A384)</f>
        <v/>
      </c>
      <c r="B384" s="23" t="str">
        <f>IF(ISBLANK([1]PitScoutingInfo!B384),"",[1]PitScoutingInfo!B384)</f>
        <v/>
      </c>
      <c r="C384" s="23" t="str">
        <f>IF(ISBLANK([1]PitScoutingInfo!J384),"",[1]PitScoutingInfo!J384)</f>
        <v/>
      </c>
      <c r="D384" s="23" t="str">
        <f>IF(ISBLANK([1]PitScoutingInfo!M384),"",[1]PitScoutingInfo!M384)</f>
        <v/>
      </c>
      <c r="E384" s="23" t="str">
        <f>IF(ISBLANK([1]PitScoutingInfo!N384),"",[1]PitScoutingInfo!N384)</f>
        <v/>
      </c>
      <c r="F384" s="23" t="str">
        <f>IF(ISBLANK([1]PitScoutingInfo!V384),"",[1]PitScoutingInfo!V384)</f>
        <v/>
      </c>
      <c r="G384" s="23" t="str">
        <f>IF(ISBLANK([1]PitScoutingInfo!W384),"",[1]PitScoutingInfo!W384)</f>
        <v/>
      </c>
      <c r="H384" s="23" t="str">
        <f>IF(ISBLANK([1]PitScoutingInfo!Z384),"",[1]PitScoutingInfo!Z384)</f>
        <v/>
      </c>
    </row>
    <row r="385" spans="1:8" x14ac:dyDescent="0.45">
      <c r="A385" s="23" t="str">
        <f>IF(ISBLANK([1]PitScoutingInfo!A385),"",[1]PitScoutingInfo!A385)</f>
        <v/>
      </c>
      <c r="B385" s="23" t="str">
        <f>IF(ISBLANK([1]PitScoutingInfo!B385),"",[1]PitScoutingInfo!B385)</f>
        <v/>
      </c>
      <c r="C385" s="23" t="str">
        <f>IF(ISBLANK([1]PitScoutingInfo!J385),"",[1]PitScoutingInfo!J385)</f>
        <v/>
      </c>
      <c r="D385" s="23" t="str">
        <f>IF(ISBLANK([1]PitScoutingInfo!M385),"",[1]PitScoutingInfo!M385)</f>
        <v/>
      </c>
      <c r="E385" s="23" t="str">
        <f>IF(ISBLANK([1]PitScoutingInfo!N385),"",[1]PitScoutingInfo!N385)</f>
        <v/>
      </c>
      <c r="F385" s="23" t="str">
        <f>IF(ISBLANK([1]PitScoutingInfo!V385),"",[1]PitScoutingInfo!V385)</f>
        <v/>
      </c>
      <c r="G385" s="23" t="str">
        <f>IF(ISBLANK([1]PitScoutingInfo!W385),"",[1]PitScoutingInfo!W385)</f>
        <v/>
      </c>
      <c r="H385" s="23" t="str">
        <f>IF(ISBLANK([1]PitScoutingInfo!Z385),"",[1]PitScoutingInfo!Z385)</f>
        <v/>
      </c>
    </row>
    <row r="386" spans="1:8" x14ac:dyDescent="0.45">
      <c r="A386" s="23" t="str">
        <f>IF(ISBLANK([1]PitScoutingInfo!A386),"",[1]PitScoutingInfo!A386)</f>
        <v/>
      </c>
      <c r="B386" s="23" t="str">
        <f>IF(ISBLANK([1]PitScoutingInfo!B386),"",[1]PitScoutingInfo!B386)</f>
        <v/>
      </c>
      <c r="C386" s="23" t="str">
        <f>IF(ISBLANK([1]PitScoutingInfo!J386),"",[1]PitScoutingInfo!J386)</f>
        <v/>
      </c>
      <c r="D386" s="23" t="str">
        <f>IF(ISBLANK([1]PitScoutingInfo!M386),"",[1]PitScoutingInfo!M386)</f>
        <v/>
      </c>
      <c r="E386" s="23" t="str">
        <f>IF(ISBLANK([1]PitScoutingInfo!N386),"",[1]PitScoutingInfo!N386)</f>
        <v/>
      </c>
      <c r="F386" s="23" t="str">
        <f>IF(ISBLANK([1]PitScoutingInfo!V386),"",[1]PitScoutingInfo!V386)</f>
        <v/>
      </c>
      <c r="G386" s="23" t="str">
        <f>IF(ISBLANK([1]PitScoutingInfo!W386),"",[1]PitScoutingInfo!W386)</f>
        <v/>
      </c>
      <c r="H386" s="23" t="str">
        <f>IF(ISBLANK([1]PitScoutingInfo!Z386),"",[1]PitScoutingInfo!Z386)</f>
        <v/>
      </c>
    </row>
    <row r="387" spans="1:8" x14ac:dyDescent="0.45">
      <c r="A387" s="23" t="str">
        <f>IF(ISBLANK([1]PitScoutingInfo!A387),"",[1]PitScoutingInfo!A387)</f>
        <v/>
      </c>
      <c r="B387" s="23" t="str">
        <f>IF(ISBLANK([1]PitScoutingInfo!B387),"",[1]PitScoutingInfo!B387)</f>
        <v/>
      </c>
      <c r="C387" s="23" t="str">
        <f>IF(ISBLANK([1]PitScoutingInfo!J387),"",[1]PitScoutingInfo!J387)</f>
        <v/>
      </c>
      <c r="D387" s="23" t="str">
        <f>IF(ISBLANK([1]PitScoutingInfo!M387),"",[1]PitScoutingInfo!M387)</f>
        <v/>
      </c>
      <c r="E387" s="23" t="str">
        <f>IF(ISBLANK([1]PitScoutingInfo!N387),"",[1]PitScoutingInfo!N387)</f>
        <v/>
      </c>
      <c r="F387" s="23" t="str">
        <f>IF(ISBLANK([1]PitScoutingInfo!V387),"",[1]PitScoutingInfo!V387)</f>
        <v/>
      </c>
      <c r="G387" s="23" t="str">
        <f>IF(ISBLANK([1]PitScoutingInfo!W387),"",[1]PitScoutingInfo!W387)</f>
        <v/>
      </c>
      <c r="H387" s="23" t="str">
        <f>IF(ISBLANK([1]PitScoutingInfo!Z387),"",[1]PitScoutingInfo!Z387)</f>
        <v/>
      </c>
    </row>
    <row r="388" spans="1:8" x14ac:dyDescent="0.45">
      <c r="A388" s="23" t="str">
        <f>IF(ISBLANK([1]PitScoutingInfo!A388),"",[1]PitScoutingInfo!A388)</f>
        <v/>
      </c>
      <c r="B388" s="23" t="str">
        <f>IF(ISBLANK([1]PitScoutingInfo!B388),"",[1]PitScoutingInfo!B388)</f>
        <v/>
      </c>
      <c r="C388" s="23" t="str">
        <f>IF(ISBLANK([1]PitScoutingInfo!J388),"",[1]PitScoutingInfo!J388)</f>
        <v/>
      </c>
      <c r="D388" s="23" t="str">
        <f>IF(ISBLANK([1]PitScoutingInfo!M388),"",[1]PitScoutingInfo!M388)</f>
        <v/>
      </c>
      <c r="E388" s="23" t="str">
        <f>IF(ISBLANK([1]PitScoutingInfo!N388),"",[1]PitScoutingInfo!N388)</f>
        <v/>
      </c>
      <c r="F388" s="23" t="str">
        <f>IF(ISBLANK([1]PitScoutingInfo!V388),"",[1]PitScoutingInfo!V388)</f>
        <v/>
      </c>
      <c r="G388" s="23" t="str">
        <f>IF(ISBLANK([1]PitScoutingInfo!W388),"",[1]PitScoutingInfo!W388)</f>
        <v/>
      </c>
      <c r="H388" s="23" t="str">
        <f>IF(ISBLANK([1]PitScoutingInfo!Z388),"",[1]PitScoutingInfo!Z388)</f>
        <v/>
      </c>
    </row>
    <row r="389" spans="1:8" x14ac:dyDescent="0.45">
      <c r="A389" s="23" t="str">
        <f>IF(ISBLANK([1]PitScoutingInfo!A389),"",[1]PitScoutingInfo!A389)</f>
        <v/>
      </c>
      <c r="B389" s="23" t="str">
        <f>IF(ISBLANK([1]PitScoutingInfo!B389),"",[1]PitScoutingInfo!B389)</f>
        <v/>
      </c>
      <c r="C389" s="23" t="str">
        <f>IF(ISBLANK([1]PitScoutingInfo!J389),"",[1]PitScoutingInfo!J389)</f>
        <v/>
      </c>
      <c r="D389" s="23" t="str">
        <f>IF(ISBLANK([1]PitScoutingInfo!M389),"",[1]PitScoutingInfo!M389)</f>
        <v/>
      </c>
      <c r="E389" s="23" t="str">
        <f>IF(ISBLANK([1]PitScoutingInfo!N389),"",[1]PitScoutingInfo!N389)</f>
        <v/>
      </c>
      <c r="F389" s="23" t="str">
        <f>IF(ISBLANK([1]PitScoutingInfo!V389),"",[1]PitScoutingInfo!V389)</f>
        <v/>
      </c>
      <c r="G389" s="23" t="str">
        <f>IF(ISBLANK([1]PitScoutingInfo!W389),"",[1]PitScoutingInfo!W389)</f>
        <v/>
      </c>
      <c r="H389" s="23" t="str">
        <f>IF(ISBLANK([1]PitScoutingInfo!Z389),"",[1]PitScoutingInfo!Z389)</f>
        <v/>
      </c>
    </row>
    <row r="390" spans="1:8" x14ac:dyDescent="0.45">
      <c r="A390" s="23" t="str">
        <f>IF(ISBLANK([1]PitScoutingInfo!A390),"",[1]PitScoutingInfo!A390)</f>
        <v/>
      </c>
      <c r="B390" s="23" t="str">
        <f>IF(ISBLANK([1]PitScoutingInfo!B390),"",[1]PitScoutingInfo!B390)</f>
        <v/>
      </c>
      <c r="C390" s="23" t="str">
        <f>IF(ISBLANK([1]PitScoutingInfo!J390),"",[1]PitScoutingInfo!J390)</f>
        <v/>
      </c>
      <c r="D390" s="23" t="str">
        <f>IF(ISBLANK([1]PitScoutingInfo!M390),"",[1]PitScoutingInfo!M390)</f>
        <v/>
      </c>
      <c r="E390" s="23" t="str">
        <f>IF(ISBLANK([1]PitScoutingInfo!N390),"",[1]PitScoutingInfo!N390)</f>
        <v/>
      </c>
      <c r="F390" s="23" t="str">
        <f>IF(ISBLANK([1]PitScoutingInfo!V390),"",[1]PitScoutingInfo!V390)</f>
        <v/>
      </c>
      <c r="G390" s="23" t="str">
        <f>IF(ISBLANK([1]PitScoutingInfo!W390),"",[1]PitScoutingInfo!W390)</f>
        <v/>
      </c>
      <c r="H390" s="23" t="str">
        <f>IF(ISBLANK([1]PitScoutingInfo!Z390),"",[1]PitScoutingInfo!Z390)</f>
        <v/>
      </c>
    </row>
    <row r="391" spans="1:8" x14ac:dyDescent="0.45">
      <c r="A391" s="23" t="str">
        <f>IF(ISBLANK([1]PitScoutingInfo!A391),"",[1]PitScoutingInfo!A391)</f>
        <v/>
      </c>
      <c r="B391" s="23" t="str">
        <f>IF(ISBLANK([1]PitScoutingInfo!B391),"",[1]PitScoutingInfo!B391)</f>
        <v/>
      </c>
      <c r="C391" s="23" t="str">
        <f>IF(ISBLANK([1]PitScoutingInfo!J391),"",[1]PitScoutingInfo!J391)</f>
        <v/>
      </c>
      <c r="D391" s="23" t="str">
        <f>IF(ISBLANK([1]PitScoutingInfo!M391),"",[1]PitScoutingInfo!M391)</f>
        <v/>
      </c>
      <c r="E391" s="23" t="str">
        <f>IF(ISBLANK([1]PitScoutingInfo!N391),"",[1]PitScoutingInfo!N391)</f>
        <v/>
      </c>
      <c r="F391" s="23" t="str">
        <f>IF(ISBLANK([1]PitScoutingInfo!V391),"",[1]PitScoutingInfo!V391)</f>
        <v/>
      </c>
      <c r="G391" s="23" t="str">
        <f>IF(ISBLANK([1]PitScoutingInfo!W391),"",[1]PitScoutingInfo!W391)</f>
        <v/>
      </c>
      <c r="H391" s="23" t="str">
        <f>IF(ISBLANK([1]PitScoutingInfo!Z391),"",[1]PitScoutingInfo!Z391)</f>
        <v/>
      </c>
    </row>
    <row r="392" spans="1:8" x14ac:dyDescent="0.45">
      <c r="A392" s="23" t="str">
        <f>IF(ISBLANK([1]PitScoutingInfo!A392),"",[1]PitScoutingInfo!A392)</f>
        <v/>
      </c>
      <c r="B392" s="23" t="str">
        <f>IF(ISBLANK([1]PitScoutingInfo!B392),"",[1]PitScoutingInfo!B392)</f>
        <v/>
      </c>
      <c r="C392" s="23" t="str">
        <f>IF(ISBLANK([1]PitScoutingInfo!J392),"",[1]PitScoutingInfo!J392)</f>
        <v/>
      </c>
      <c r="D392" s="23" t="str">
        <f>IF(ISBLANK([1]PitScoutingInfo!M392),"",[1]PitScoutingInfo!M392)</f>
        <v/>
      </c>
      <c r="E392" s="23" t="str">
        <f>IF(ISBLANK([1]PitScoutingInfo!N392),"",[1]PitScoutingInfo!N392)</f>
        <v/>
      </c>
      <c r="F392" s="23" t="str">
        <f>IF(ISBLANK([1]PitScoutingInfo!V392),"",[1]PitScoutingInfo!V392)</f>
        <v/>
      </c>
      <c r="G392" s="23" t="str">
        <f>IF(ISBLANK([1]PitScoutingInfo!W392),"",[1]PitScoutingInfo!W392)</f>
        <v/>
      </c>
      <c r="H392" s="23" t="str">
        <f>IF(ISBLANK([1]PitScoutingInfo!Z392),"",[1]PitScoutingInfo!Z392)</f>
        <v/>
      </c>
    </row>
    <row r="393" spans="1:8" x14ac:dyDescent="0.45">
      <c r="A393" s="23" t="str">
        <f>IF(ISBLANK([1]PitScoutingInfo!A393),"",[1]PitScoutingInfo!A393)</f>
        <v/>
      </c>
      <c r="B393" s="23" t="str">
        <f>IF(ISBLANK([1]PitScoutingInfo!B393),"",[1]PitScoutingInfo!B393)</f>
        <v/>
      </c>
      <c r="C393" s="23" t="str">
        <f>IF(ISBLANK([1]PitScoutingInfo!J393),"",[1]PitScoutingInfo!J393)</f>
        <v/>
      </c>
      <c r="D393" s="23" t="str">
        <f>IF(ISBLANK([1]PitScoutingInfo!M393),"",[1]PitScoutingInfo!M393)</f>
        <v/>
      </c>
      <c r="E393" s="23" t="str">
        <f>IF(ISBLANK([1]PitScoutingInfo!N393),"",[1]PitScoutingInfo!N393)</f>
        <v/>
      </c>
      <c r="F393" s="23" t="str">
        <f>IF(ISBLANK([1]PitScoutingInfo!V393),"",[1]PitScoutingInfo!V393)</f>
        <v/>
      </c>
      <c r="G393" s="23" t="str">
        <f>IF(ISBLANK([1]PitScoutingInfo!W393),"",[1]PitScoutingInfo!W393)</f>
        <v/>
      </c>
      <c r="H393" s="23" t="str">
        <f>IF(ISBLANK([1]PitScoutingInfo!Z393),"",[1]PitScoutingInfo!Z393)</f>
        <v/>
      </c>
    </row>
    <row r="394" spans="1:8" x14ac:dyDescent="0.45">
      <c r="A394" s="23" t="str">
        <f>IF(ISBLANK([1]PitScoutingInfo!A394),"",[1]PitScoutingInfo!A394)</f>
        <v/>
      </c>
      <c r="B394" s="23" t="str">
        <f>IF(ISBLANK([1]PitScoutingInfo!B394),"",[1]PitScoutingInfo!B394)</f>
        <v/>
      </c>
      <c r="C394" s="23" t="str">
        <f>IF(ISBLANK([1]PitScoutingInfo!J394),"",[1]PitScoutingInfo!J394)</f>
        <v/>
      </c>
      <c r="D394" s="23" t="str">
        <f>IF(ISBLANK([1]PitScoutingInfo!M394),"",[1]PitScoutingInfo!M394)</f>
        <v/>
      </c>
      <c r="E394" s="23" t="str">
        <f>IF(ISBLANK([1]PitScoutingInfo!N394),"",[1]PitScoutingInfo!N394)</f>
        <v/>
      </c>
      <c r="F394" s="23" t="str">
        <f>IF(ISBLANK([1]PitScoutingInfo!V394),"",[1]PitScoutingInfo!V394)</f>
        <v/>
      </c>
      <c r="G394" s="23" t="str">
        <f>IF(ISBLANK([1]PitScoutingInfo!W394),"",[1]PitScoutingInfo!W394)</f>
        <v/>
      </c>
      <c r="H394" s="23" t="str">
        <f>IF(ISBLANK([1]PitScoutingInfo!Z394),"",[1]PitScoutingInfo!Z394)</f>
        <v/>
      </c>
    </row>
    <row r="395" spans="1:8" x14ac:dyDescent="0.45">
      <c r="A395" s="23" t="str">
        <f>IF(ISBLANK([1]PitScoutingInfo!A395),"",[1]PitScoutingInfo!A395)</f>
        <v/>
      </c>
      <c r="B395" s="23" t="str">
        <f>IF(ISBLANK([1]PitScoutingInfo!B395),"",[1]PitScoutingInfo!B395)</f>
        <v/>
      </c>
      <c r="C395" s="23" t="str">
        <f>IF(ISBLANK([1]PitScoutingInfo!J395),"",[1]PitScoutingInfo!J395)</f>
        <v/>
      </c>
      <c r="D395" s="23" t="str">
        <f>IF(ISBLANK([1]PitScoutingInfo!M395),"",[1]PitScoutingInfo!M395)</f>
        <v/>
      </c>
      <c r="E395" s="23" t="str">
        <f>IF(ISBLANK([1]PitScoutingInfo!N395),"",[1]PitScoutingInfo!N395)</f>
        <v/>
      </c>
      <c r="F395" s="23" t="str">
        <f>IF(ISBLANK([1]PitScoutingInfo!V395),"",[1]PitScoutingInfo!V395)</f>
        <v/>
      </c>
      <c r="G395" s="23" t="str">
        <f>IF(ISBLANK([1]PitScoutingInfo!W395),"",[1]PitScoutingInfo!W395)</f>
        <v/>
      </c>
      <c r="H395" s="23" t="str">
        <f>IF(ISBLANK([1]PitScoutingInfo!Z395),"",[1]PitScoutingInfo!Z395)</f>
        <v/>
      </c>
    </row>
    <row r="396" spans="1:8" x14ac:dyDescent="0.45">
      <c r="A396" s="23" t="str">
        <f>IF(ISBLANK([1]PitScoutingInfo!A396),"",[1]PitScoutingInfo!A396)</f>
        <v/>
      </c>
      <c r="B396" s="23" t="str">
        <f>IF(ISBLANK([1]PitScoutingInfo!B396),"",[1]PitScoutingInfo!B396)</f>
        <v/>
      </c>
      <c r="C396" s="23" t="str">
        <f>IF(ISBLANK([1]PitScoutingInfo!J396),"",[1]PitScoutingInfo!J396)</f>
        <v/>
      </c>
      <c r="D396" s="23" t="str">
        <f>IF(ISBLANK([1]PitScoutingInfo!M396),"",[1]PitScoutingInfo!M396)</f>
        <v/>
      </c>
      <c r="E396" s="23" t="str">
        <f>IF(ISBLANK([1]PitScoutingInfo!N396),"",[1]PitScoutingInfo!N396)</f>
        <v/>
      </c>
      <c r="F396" s="23" t="str">
        <f>IF(ISBLANK([1]PitScoutingInfo!V396),"",[1]PitScoutingInfo!V396)</f>
        <v/>
      </c>
      <c r="G396" s="23" t="str">
        <f>IF(ISBLANK([1]PitScoutingInfo!W396),"",[1]PitScoutingInfo!W396)</f>
        <v/>
      </c>
      <c r="H396" s="23" t="str">
        <f>IF(ISBLANK([1]PitScoutingInfo!Z396),"",[1]PitScoutingInfo!Z396)</f>
        <v/>
      </c>
    </row>
    <row r="397" spans="1:8" x14ac:dyDescent="0.45">
      <c r="A397" s="23" t="str">
        <f>IF(ISBLANK([1]PitScoutingInfo!A397),"",[1]PitScoutingInfo!A397)</f>
        <v/>
      </c>
      <c r="B397" s="23" t="str">
        <f>IF(ISBLANK([1]PitScoutingInfo!B397),"",[1]PitScoutingInfo!B397)</f>
        <v/>
      </c>
      <c r="C397" s="23" t="str">
        <f>IF(ISBLANK([1]PitScoutingInfo!J397),"",[1]PitScoutingInfo!J397)</f>
        <v/>
      </c>
      <c r="D397" s="23" t="str">
        <f>IF(ISBLANK([1]PitScoutingInfo!M397),"",[1]PitScoutingInfo!M397)</f>
        <v/>
      </c>
      <c r="E397" s="23" t="str">
        <f>IF(ISBLANK([1]PitScoutingInfo!N397),"",[1]PitScoutingInfo!N397)</f>
        <v/>
      </c>
      <c r="F397" s="23" t="str">
        <f>IF(ISBLANK([1]PitScoutingInfo!V397),"",[1]PitScoutingInfo!V397)</f>
        <v/>
      </c>
      <c r="G397" s="23" t="str">
        <f>IF(ISBLANK([1]PitScoutingInfo!W397),"",[1]PitScoutingInfo!W397)</f>
        <v/>
      </c>
      <c r="H397" s="23" t="str">
        <f>IF(ISBLANK([1]PitScoutingInfo!Z397),"",[1]PitScoutingInfo!Z397)</f>
        <v/>
      </c>
    </row>
    <row r="398" spans="1:8" x14ac:dyDescent="0.45">
      <c r="A398" s="23" t="str">
        <f>IF(ISBLANK([1]PitScoutingInfo!A398),"",[1]PitScoutingInfo!A398)</f>
        <v/>
      </c>
      <c r="B398" s="23" t="str">
        <f>IF(ISBLANK([1]PitScoutingInfo!B398),"",[1]PitScoutingInfo!B398)</f>
        <v/>
      </c>
      <c r="C398" s="23" t="str">
        <f>IF(ISBLANK([1]PitScoutingInfo!J398),"",[1]PitScoutingInfo!J398)</f>
        <v/>
      </c>
      <c r="D398" s="23" t="str">
        <f>IF(ISBLANK([1]PitScoutingInfo!M398),"",[1]PitScoutingInfo!M398)</f>
        <v/>
      </c>
      <c r="E398" s="23" t="str">
        <f>IF(ISBLANK([1]PitScoutingInfo!N398),"",[1]PitScoutingInfo!N398)</f>
        <v/>
      </c>
      <c r="F398" s="23" t="str">
        <f>IF(ISBLANK([1]PitScoutingInfo!V398),"",[1]PitScoutingInfo!V398)</f>
        <v/>
      </c>
      <c r="G398" s="23" t="str">
        <f>IF(ISBLANK([1]PitScoutingInfo!W398),"",[1]PitScoutingInfo!W398)</f>
        <v/>
      </c>
      <c r="H398" s="23" t="str">
        <f>IF(ISBLANK([1]PitScoutingInfo!Z398),"",[1]PitScoutingInfo!Z398)</f>
        <v/>
      </c>
    </row>
    <row r="399" spans="1:8" x14ac:dyDescent="0.45">
      <c r="A399" s="23" t="str">
        <f>IF(ISBLANK([1]PitScoutingInfo!A399),"",[1]PitScoutingInfo!A399)</f>
        <v/>
      </c>
      <c r="B399" s="23" t="str">
        <f>IF(ISBLANK([1]PitScoutingInfo!B399),"",[1]PitScoutingInfo!B399)</f>
        <v/>
      </c>
      <c r="C399" s="23" t="str">
        <f>IF(ISBLANK([1]PitScoutingInfo!J399),"",[1]PitScoutingInfo!J399)</f>
        <v/>
      </c>
      <c r="D399" s="23" t="str">
        <f>IF(ISBLANK([1]PitScoutingInfo!M399),"",[1]PitScoutingInfo!M399)</f>
        <v/>
      </c>
      <c r="E399" s="23" t="str">
        <f>IF(ISBLANK([1]PitScoutingInfo!N399),"",[1]PitScoutingInfo!N399)</f>
        <v/>
      </c>
      <c r="F399" s="23" t="str">
        <f>IF(ISBLANK([1]PitScoutingInfo!V399),"",[1]PitScoutingInfo!V399)</f>
        <v/>
      </c>
      <c r="G399" s="23" t="str">
        <f>IF(ISBLANK([1]PitScoutingInfo!W399),"",[1]PitScoutingInfo!W399)</f>
        <v/>
      </c>
      <c r="H399" s="23" t="str">
        <f>IF(ISBLANK([1]PitScoutingInfo!Z399),"",[1]PitScoutingInfo!Z399)</f>
        <v/>
      </c>
    </row>
    <row r="400" spans="1:8" x14ac:dyDescent="0.45">
      <c r="A400" s="23" t="str">
        <f>IF(ISBLANK([1]PitScoutingInfo!A400),"",[1]PitScoutingInfo!A400)</f>
        <v/>
      </c>
      <c r="B400" s="23" t="str">
        <f>IF(ISBLANK([1]PitScoutingInfo!B400),"",[1]PitScoutingInfo!B400)</f>
        <v/>
      </c>
      <c r="C400" s="23" t="str">
        <f>IF(ISBLANK([1]PitScoutingInfo!J400),"",[1]PitScoutingInfo!J400)</f>
        <v/>
      </c>
      <c r="D400" s="23" t="str">
        <f>IF(ISBLANK([1]PitScoutingInfo!M400),"",[1]PitScoutingInfo!M400)</f>
        <v/>
      </c>
      <c r="E400" s="23" t="str">
        <f>IF(ISBLANK([1]PitScoutingInfo!N400),"",[1]PitScoutingInfo!N400)</f>
        <v/>
      </c>
      <c r="F400" s="23" t="str">
        <f>IF(ISBLANK([1]PitScoutingInfo!V400),"",[1]PitScoutingInfo!V400)</f>
        <v/>
      </c>
      <c r="G400" s="23" t="str">
        <f>IF(ISBLANK([1]PitScoutingInfo!W400),"",[1]PitScoutingInfo!W400)</f>
        <v/>
      </c>
      <c r="H400" s="23" t="str">
        <f>IF(ISBLANK([1]PitScoutingInfo!Z400),"",[1]PitScoutingInfo!Z400)</f>
        <v/>
      </c>
    </row>
    <row r="401" spans="1:8" x14ac:dyDescent="0.45">
      <c r="A401" s="23" t="str">
        <f>IF(ISBLANK([1]PitScoutingInfo!A401),"",[1]PitScoutingInfo!A401)</f>
        <v/>
      </c>
      <c r="B401" s="23" t="str">
        <f>IF(ISBLANK([1]PitScoutingInfo!B401),"",[1]PitScoutingInfo!B401)</f>
        <v/>
      </c>
      <c r="C401" s="23" t="str">
        <f>IF(ISBLANK([1]PitScoutingInfo!J401),"",[1]PitScoutingInfo!J401)</f>
        <v/>
      </c>
      <c r="D401" s="23" t="str">
        <f>IF(ISBLANK([1]PitScoutingInfo!M401),"",[1]PitScoutingInfo!M401)</f>
        <v/>
      </c>
      <c r="E401" s="23" t="str">
        <f>IF(ISBLANK([1]PitScoutingInfo!N401),"",[1]PitScoutingInfo!N401)</f>
        <v/>
      </c>
      <c r="F401" s="23" t="str">
        <f>IF(ISBLANK([1]PitScoutingInfo!V401),"",[1]PitScoutingInfo!V401)</f>
        <v/>
      </c>
      <c r="G401" s="23" t="str">
        <f>IF(ISBLANK([1]PitScoutingInfo!W401),"",[1]PitScoutingInfo!W401)</f>
        <v/>
      </c>
      <c r="H401" s="23" t="str">
        <f>IF(ISBLANK([1]PitScoutingInfo!Z401),"",[1]PitScoutingInfo!Z401)</f>
        <v/>
      </c>
    </row>
    <row r="402" spans="1:8" x14ac:dyDescent="0.45">
      <c r="A402" s="23" t="str">
        <f>IF(ISBLANK([1]PitScoutingInfo!A402),"",[1]PitScoutingInfo!A402)</f>
        <v/>
      </c>
      <c r="B402" s="23" t="str">
        <f>IF(ISBLANK([1]PitScoutingInfo!B402),"",[1]PitScoutingInfo!B402)</f>
        <v/>
      </c>
      <c r="C402" s="23" t="str">
        <f>IF(ISBLANK([1]PitScoutingInfo!J402),"",[1]PitScoutingInfo!J402)</f>
        <v/>
      </c>
      <c r="D402" s="23" t="str">
        <f>IF(ISBLANK([1]PitScoutingInfo!M402),"",[1]PitScoutingInfo!M402)</f>
        <v/>
      </c>
      <c r="E402" s="23" t="str">
        <f>IF(ISBLANK([1]PitScoutingInfo!N402),"",[1]PitScoutingInfo!N402)</f>
        <v/>
      </c>
      <c r="F402" s="23" t="str">
        <f>IF(ISBLANK([1]PitScoutingInfo!V402),"",[1]PitScoutingInfo!V402)</f>
        <v/>
      </c>
      <c r="G402" s="23" t="str">
        <f>IF(ISBLANK([1]PitScoutingInfo!W402),"",[1]PitScoutingInfo!W402)</f>
        <v/>
      </c>
      <c r="H402" s="23" t="str">
        <f>IF(ISBLANK([1]PitScoutingInfo!Z402),"",[1]PitScoutingInfo!Z402)</f>
        <v/>
      </c>
    </row>
    <row r="403" spans="1:8" x14ac:dyDescent="0.45">
      <c r="A403" s="23" t="str">
        <f>IF(ISBLANK([1]PitScoutingInfo!A403),"",[1]PitScoutingInfo!A403)</f>
        <v/>
      </c>
      <c r="B403" s="23" t="str">
        <f>IF(ISBLANK([1]PitScoutingInfo!B403),"",[1]PitScoutingInfo!B403)</f>
        <v/>
      </c>
      <c r="C403" s="23" t="str">
        <f>IF(ISBLANK([1]PitScoutingInfo!J403),"",[1]PitScoutingInfo!J403)</f>
        <v/>
      </c>
      <c r="D403" s="23" t="str">
        <f>IF(ISBLANK([1]PitScoutingInfo!M403),"",[1]PitScoutingInfo!M403)</f>
        <v/>
      </c>
      <c r="E403" s="23" t="str">
        <f>IF(ISBLANK([1]PitScoutingInfo!N403),"",[1]PitScoutingInfo!N403)</f>
        <v/>
      </c>
      <c r="F403" s="23" t="str">
        <f>IF(ISBLANK([1]PitScoutingInfo!V403),"",[1]PitScoutingInfo!V403)</f>
        <v/>
      </c>
      <c r="G403" s="23" t="str">
        <f>IF(ISBLANK([1]PitScoutingInfo!W403),"",[1]PitScoutingInfo!W403)</f>
        <v/>
      </c>
      <c r="H403" s="23" t="str">
        <f>IF(ISBLANK([1]PitScoutingInfo!Z403),"",[1]PitScoutingInfo!Z403)</f>
        <v/>
      </c>
    </row>
    <row r="404" spans="1:8" x14ac:dyDescent="0.45">
      <c r="A404" s="23" t="str">
        <f>IF(ISBLANK([1]PitScoutingInfo!A404),"",[1]PitScoutingInfo!A404)</f>
        <v/>
      </c>
      <c r="B404" s="23" t="str">
        <f>IF(ISBLANK([1]PitScoutingInfo!B404),"",[1]PitScoutingInfo!B404)</f>
        <v/>
      </c>
      <c r="C404" s="23" t="str">
        <f>IF(ISBLANK([1]PitScoutingInfo!J404),"",[1]PitScoutingInfo!J404)</f>
        <v/>
      </c>
      <c r="D404" s="23" t="str">
        <f>IF(ISBLANK([1]PitScoutingInfo!M404),"",[1]PitScoutingInfo!M404)</f>
        <v/>
      </c>
      <c r="E404" s="23" t="str">
        <f>IF(ISBLANK([1]PitScoutingInfo!N404),"",[1]PitScoutingInfo!N404)</f>
        <v/>
      </c>
      <c r="F404" s="23" t="str">
        <f>IF(ISBLANK([1]PitScoutingInfo!V404),"",[1]PitScoutingInfo!V404)</f>
        <v/>
      </c>
      <c r="G404" s="23" t="str">
        <f>IF(ISBLANK([1]PitScoutingInfo!W404),"",[1]PitScoutingInfo!W404)</f>
        <v/>
      </c>
      <c r="H404" s="23" t="str">
        <f>IF(ISBLANK([1]PitScoutingInfo!Z404),"",[1]PitScoutingInfo!Z404)</f>
        <v/>
      </c>
    </row>
    <row r="405" spans="1:8" x14ac:dyDescent="0.45">
      <c r="A405" s="23" t="str">
        <f>IF(ISBLANK([1]PitScoutingInfo!A405),"",[1]PitScoutingInfo!A405)</f>
        <v/>
      </c>
      <c r="B405" s="23" t="str">
        <f>IF(ISBLANK([1]PitScoutingInfo!B405),"",[1]PitScoutingInfo!B405)</f>
        <v/>
      </c>
      <c r="C405" s="23" t="str">
        <f>IF(ISBLANK([1]PitScoutingInfo!J405),"",[1]PitScoutingInfo!J405)</f>
        <v/>
      </c>
      <c r="D405" s="23" t="str">
        <f>IF(ISBLANK([1]PitScoutingInfo!M405),"",[1]PitScoutingInfo!M405)</f>
        <v/>
      </c>
      <c r="E405" s="23" t="str">
        <f>IF(ISBLANK([1]PitScoutingInfo!N405),"",[1]PitScoutingInfo!N405)</f>
        <v/>
      </c>
      <c r="F405" s="23" t="str">
        <f>IF(ISBLANK([1]PitScoutingInfo!V405),"",[1]PitScoutingInfo!V405)</f>
        <v/>
      </c>
      <c r="G405" s="23" t="str">
        <f>IF(ISBLANK([1]PitScoutingInfo!W405),"",[1]PitScoutingInfo!W405)</f>
        <v/>
      </c>
      <c r="H405" s="23" t="str">
        <f>IF(ISBLANK([1]PitScoutingInfo!Z405),"",[1]PitScoutingInfo!Z405)</f>
        <v/>
      </c>
    </row>
    <row r="406" spans="1:8" x14ac:dyDescent="0.45">
      <c r="A406" s="23" t="str">
        <f>IF(ISBLANK([1]PitScoutingInfo!A406),"",[1]PitScoutingInfo!A406)</f>
        <v/>
      </c>
      <c r="B406" s="23" t="str">
        <f>IF(ISBLANK([1]PitScoutingInfo!B406),"",[1]PitScoutingInfo!B406)</f>
        <v/>
      </c>
      <c r="C406" s="23" t="str">
        <f>IF(ISBLANK([1]PitScoutingInfo!J406),"",[1]PitScoutingInfo!J406)</f>
        <v/>
      </c>
      <c r="D406" s="23" t="str">
        <f>IF(ISBLANK([1]PitScoutingInfo!M406),"",[1]PitScoutingInfo!M406)</f>
        <v/>
      </c>
      <c r="E406" s="23" t="str">
        <f>IF(ISBLANK([1]PitScoutingInfo!N406),"",[1]PitScoutingInfo!N406)</f>
        <v/>
      </c>
      <c r="F406" s="23" t="str">
        <f>IF(ISBLANK([1]PitScoutingInfo!V406),"",[1]PitScoutingInfo!V406)</f>
        <v/>
      </c>
      <c r="G406" s="23" t="str">
        <f>IF(ISBLANK([1]PitScoutingInfo!W406),"",[1]PitScoutingInfo!W406)</f>
        <v/>
      </c>
      <c r="H406" s="23" t="str">
        <f>IF(ISBLANK([1]PitScoutingInfo!Z406),"",[1]PitScoutingInfo!Z406)</f>
        <v/>
      </c>
    </row>
    <row r="407" spans="1:8" x14ac:dyDescent="0.45">
      <c r="A407" s="23" t="str">
        <f>IF(ISBLANK([1]PitScoutingInfo!A407),"",[1]PitScoutingInfo!A407)</f>
        <v/>
      </c>
      <c r="B407" s="23" t="str">
        <f>IF(ISBLANK([1]PitScoutingInfo!B407),"",[1]PitScoutingInfo!B407)</f>
        <v/>
      </c>
      <c r="C407" s="23" t="str">
        <f>IF(ISBLANK([1]PitScoutingInfo!J407),"",[1]PitScoutingInfo!J407)</f>
        <v/>
      </c>
      <c r="D407" s="23" t="str">
        <f>IF(ISBLANK([1]PitScoutingInfo!M407),"",[1]PitScoutingInfo!M407)</f>
        <v/>
      </c>
      <c r="E407" s="23" t="str">
        <f>IF(ISBLANK([1]PitScoutingInfo!N407),"",[1]PitScoutingInfo!N407)</f>
        <v/>
      </c>
      <c r="F407" s="23" t="str">
        <f>IF(ISBLANK([1]PitScoutingInfo!V407),"",[1]PitScoutingInfo!V407)</f>
        <v/>
      </c>
      <c r="G407" s="23" t="str">
        <f>IF(ISBLANK([1]PitScoutingInfo!W407),"",[1]PitScoutingInfo!W407)</f>
        <v/>
      </c>
      <c r="H407" s="23" t="str">
        <f>IF(ISBLANK([1]PitScoutingInfo!Z407),"",[1]PitScoutingInfo!Z407)</f>
        <v/>
      </c>
    </row>
    <row r="408" spans="1:8" x14ac:dyDescent="0.45">
      <c r="A408" s="23" t="str">
        <f>IF(ISBLANK([1]PitScoutingInfo!A408),"",[1]PitScoutingInfo!A408)</f>
        <v/>
      </c>
      <c r="B408" s="23" t="str">
        <f>IF(ISBLANK([1]PitScoutingInfo!B408),"",[1]PitScoutingInfo!B408)</f>
        <v/>
      </c>
      <c r="C408" s="23" t="str">
        <f>IF(ISBLANK([1]PitScoutingInfo!J408),"",[1]PitScoutingInfo!J408)</f>
        <v/>
      </c>
      <c r="D408" s="23" t="str">
        <f>IF(ISBLANK([1]PitScoutingInfo!M408),"",[1]PitScoutingInfo!M408)</f>
        <v/>
      </c>
      <c r="E408" s="23" t="str">
        <f>IF(ISBLANK([1]PitScoutingInfo!N408),"",[1]PitScoutingInfo!N408)</f>
        <v/>
      </c>
      <c r="F408" s="23" t="str">
        <f>IF(ISBLANK([1]PitScoutingInfo!V408),"",[1]PitScoutingInfo!V408)</f>
        <v/>
      </c>
      <c r="G408" s="23" t="str">
        <f>IF(ISBLANK([1]PitScoutingInfo!W408),"",[1]PitScoutingInfo!W408)</f>
        <v/>
      </c>
      <c r="H408" s="23" t="str">
        <f>IF(ISBLANK([1]PitScoutingInfo!Z408),"",[1]PitScoutingInfo!Z408)</f>
        <v/>
      </c>
    </row>
    <row r="409" spans="1:8" x14ac:dyDescent="0.45">
      <c r="A409" s="23" t="str">
        <f>IF(ISBLANK([1]PitScoutingInfo!A409),"",[1]PitScoutingInfo!A409)</f>
        <v/>
      </c>
      <c r="B409" s="23" t="str">
        <f>IF(ISBLANK([1]PitScoutingInfo!B409),"",[1]PitScoutingInfo!B409)</f>
        <v/>
      </c>
      <c r="C409" s="23" t="str">
        <f>IF(ISBLANK([1]PitScoutingInfo!J409),"",[1]PitScoutingInfo!J409)</f>
        <v/>
      </c>
      <c r="D409" s="23" t="str">
        <f>IF(ISBLANK([1]PitScoutingInfo!M409),"",[1]PitScoutingInfo!M409)</f>
        <v/>
      </c>
      <c r="E409" s="23" t="str">
        <f>IF(ISBLANK([1]PitScoutingInfo!N409),"",[1]PitScoutingInfo!N409)</f>
        <v/>
      </c>
      <c r="F409" s="23" t="str">
        <f>IF(ISBLANK([1]PitScoutingInfo!V409),"",[1]PitScoutingInfo!V409)</f>
        <v/>
      </c>
      <c r="G409" s="23" t="str">
        <f>IF(ISBLANK([1]PitScoutingInfo!W409),"",[1]PitScoutingInfo!W409)</f>
        <v/>
      </c>
      <c r="H409" s="23" t="str">
        <f>IF(ISBLANK([1]PitScoutingInfo!Z409),"",[1]PitScoutingInfo!Z409)</f>
        <v/>
      </c>
    </row>
    <row r="410" spans="1:8" x14ac:dyDescent="0.45">
      <c r="A410" s="23" t="str">
        <f>IF(ISBLANK([1]PitScoutingInfo!A410),"",[1]PitScoutingInfo!A410)</f>
        <v/>
      </c>
      <c r="B410" s="23" t="str">
        <f>IF(ISBLANK([1]PitScoutingInfo!B410),"",[1]PitScoutingInfo!B410)</f>
        <v/>
      </c>
      <c r="C410" s="23" t="str">
        <f>IF(ISBLANK([1]PitScoutingInfo!J410),"",[1]PitScoutingInfo!J410)</f>
        <v/>
      </c>
      <c r="D410" s="23" t="str">
        <f>IF(ISBLANK([1]PitScoutingInfo!M410),"",[1]PitScoutingInfo!M410)</f>
        <v/>
      </c>
      <c r="E410" s="23" t="str">
        <f>IF(ISBLANK([1]PitScoutingInfo!N410),"",[1]PitScoutingInfo!N410)</f>
        <v/>
      </c>
      <c r="F410" s="23" t="str">
        <f>IF(ISBLANK([1]PitScoutingInfo!V410),"",[1]PitScoutingInfo!V410)</f>
        <v/>
      </c>
      <c r="G410" s="23" t="str">
        <f>IF(ISBLANK([1]PitScoutingInfo!W410),"",[1]PitScoutingInfo!W410)</f>
        <v/>
      </c>
      <c r="H410" s="23" t="str">
        <f>IF(ISBLANK([1]PitScoutingInfo!Z410),"",[1]PitScoutingInfo!Z410)</f>
        <v/>
      </c>
    </row>
    <row r="411" spans="1:8" x14ac:dyDescent="0.45">
      <c r="A411" s="23" t="str">
        <f>IF(ISBLANK([1]PitScoutingInfo!A411),"",[1]PitScoutingInfo!A411)</f>
        <v/>
      </c>
      <c r="B411" s="23" t="str">
        <f>IF(ISBLANK([1]PitScoutingInfo!B411),"",[1]PitScoutingInfo!B411)</f>
        <v/>
      </c>
      <c r="C411" s="23" t="str">
        <f>IF(ISBLANK([1]PitScoutingInfo!J411),"",[1]PitScoutingInfo!J411)</f>
        <v/>
      </c>
      <c r="D411" s="23" t="str">
        <f>IF(ISBLANK([1]PitScoutingInfo!M411),"",[1]PitScoutingInfo!M411)</f>
        <v/>
      </c>
      <c r="E411" s="23" t="str">
        <f>IF(ISBLANK([1]PitScoutingInfo!N411),"",[1]PitScoutingInfo!N411)</f>
        <v/>
      </c>
      <c r="F411" s="23" t="str">
        <f>IF(ISBLANK([1]PitScoutingInfo!V411),"",[1]PitScoutingInfo!V411)</f>
        <v/>
      </c>
      <c r="G411" s="23" t="str">
        <f>IF(ISBLANK([1]PitScoutingInfo!W411),"",[1]PitScoutingInfo!W411)</f>
        <v/>
      </c>
      <c r="H411" s="23" t="str">
        <f>IF(ISBLANK([1]PitScoutingInfo!Z411),"",[1]PitScoutingInfo!Z411)</f>
        <v/>
      </c>
    </row>
    <row r="412" spans="1:8" x14ac:dyDescent="0.45">
      <c r="A412" s="23" t="str">
        <f>IF(ISBLANK([1]PitScoutingInfo!A412),"",[1]PitScoutingInfo!A412)</f>
        <v/>
      </c>
      <c r="B412" s="23" t="str">
        <f>IF(ISBLANK([1]PitScoutingInfo!B412),"",[1]PitScoutingInfo!B412)</f>
        <v/>
      </c>
      <c r="C412" s="23" t="str">
        <f>IF(ISBLANK([1]PitScoutingInfo!J412),"",[1]PitScoutingInfo!J412)</f>
        <v/>
      </c>
      <c r="D412" s="23" t="str">
        <f>IF(ISBLANK([1]PitScoutingInfo!M412),"",[1]PitScoutingInfo!M412)</f>
        <v/>
      </c>
      <c r="E412" s="23" t="str">
        <f>IF(ISBLANK([1]PitScoutingInfo!N412),"",[1]PitScoutingInfo!N412)</f>
        <v/>
      </c>
      <c r="F412" s="23" t="str">
        <f>IF(ISBLANK([1]PitScoutingInfo!V412),"",[1]PitScoutingInfo!V412)</f>
        <v/>
      </c>
      <c r="G412" s="23" t="str">
        <f>IF(ISBLANK([1]PitScoutingInfo!W412),"",[1]PitScoutingInfo!W412)</f>
        <v/>
      </c>
      <c r="H412" s="23" t="str">
        <f>IF(ISBLANK([1]PitScoutingInfo!Z412),"",[1]PitScoutingInfo!Z412)</f>
        <v/>
      </c>
    </row>
    <row r="413" spans="1:8" x14ac:dyDescent="0.45">
      <c r="A413" s="23" t="str">
        <f>IF(ISBLANK([1]PitScoutingInfo!A413),"",[1]PitScoutingInfo!A413)</f>
        <v/>
      </c>
      <c r="B413" s="23" t="str">
        <f>IF(ISBLANK([1]PitScoutingInfo!B413),"",[1]PitScoutingInfo!B413)</f>
        <v/>
      </c>
      <c r="C413" s="23" t="str">
        <f>IF(ISBLANK([1]PitScoutingInfo!J413),"",[1]PitScoutingInfo!J413)</f>
        <v/>
      </c>
      <c r="D413" s="23" t="str">
        <f>IF(ISBLANK([1]PitScoutingInfo!M413),"",[1]PitScoutingInfo!M413)</f>
        <v/>
      </c>
      <c r="E413" s="23" t="str">
        <f>IF(ISBLANK([1]PitScoutingInfo!N413),"",[1]PitScoutingInfo!N413)</f>
        <v/>
      </c>
      <c r="F413" s="23" t="str">
        <f>IF(ISBLANK([1]PitScoutingInfo!V413),"",[1]PitScoutingInfo!V413)</f>
        <v/>
      </c>
      <c r="G413" s="23" t="str">
        <f>IF(ISBLANK([1]PitScoutingInfo!W413),"",[1]PitScoutingInfo!W413)</f>
        <v/>
      </c>
      <c r="H413" s="23" t="str">
        <f>IF(ISBLANK([1]PitScoutingInfo!Z413),"",[1]PitScoutingInfo!Z413)</f>
        <v/>
      </c>
    </row>
    <row r="414" spans="1:8" x14ac:dyDescent="0.45">
      <c r="A414" s="23" t="str">
        <f>IF(ISBLANK([1]PitScoutingInfo!A414),"",[1]PitScoutingInfo!A414)</f>
        <v/>
      </c>
      <c r="B414" s="23" t="str">
        <f>IF(ISBLANK([1]PitScoutingInfo!B414),"",[1]PitScoutingInfo!B414)</f>
        <v/>
      </c>
      <c r="C414" s="23" t="str">
        <f>IF(ISBLANK([1]PitScoutingInfo!J414),"",[1]PitScoutingInfo!J414)</f>
        <v/>
      </c>
      <c r="D414" s="23" t="str">
        <f>IF(ISBLANK([1]PitScoutingInfo!M414),"",[1]PitScoutingInfo!M414)</f>
        <v/>
      </c>
      <c r="E414" s="23" t="str">
        <f>IF(ISBLANK([1]PitScoutingInfo!N414),"",[1]PitScoutingInfo!N414)</f>
        <v/>
      </c>
      <c r="F414" s="23" t="str">
        <f>IF(ISBLANK([1]PitScoutingInfo!V414),"",[1]PitScoutingInfo!V414)</f>
        <v/>
      </c>
      <c r="G414" s="23" t="str">
        <f>IF(ISBLANK([1]PitScoutingInfo!W414),"",[1]PitScoutingInfo!W414)</f>
        <v/>
      </c>
      <c r="H414" s="23" t="str">
        <f>IF(ISBLANK([1]PitScoutingInfo!Z414),"",[1]PitScoutingInfo!Z414)</f>
        <v/>
      </c>
    </row>
    <row r="415" spans="1:8" x14ac:dyDescent="0.45">
      <c r="A415" s="23" t="str">
        <f>IF(ISBLANK([1]PitScoutingInfo!A415),"",[1]PitScoutingInfo!A415)</f>
        <v/>
      </c>
      <c r="B415" s="23" t="str">
        <f>IF(ISBLANK([1]PitScoutingInfo!B415),"",[1]PitScoutingInfo!B415)</f>
        <v/>
      </c>
      <c r="C415" s="23" t="str">
        <f>IF(ISBLANK([1]PitScoutingInfo!J415),"",[1]PitScoutingInfo!J415)</f>
        <v/>
      </c>
      <c r="D415" s="23" t="str">
        <f>IF(ISBLANK([1]PitScoutingInfo!M415),"",[1]PitScoutingInfo!M415)</f>
        <v/>
      </c>
      <c r="E415" s="23" t="str">
        <f>IF(ISBLANK([1]PitScoutingInfo!N415),"",[1]PitScoutingInfo!N415)</f>
        <v/>
      </c>
      <c r="F415" s="23" t="str">
        <f>IF(ISBLANK([1]PitScoutingInfo!V415),"",[1]PitScoutingInfo!V415)</f>
        <v/>
      </c>
      <c r="G415" s="23" t="str">
        <f>IF(ISBLANK([1]PitScoutingInfo!W415),"",[1]PitScoutingInfo!W415)</f>
        <v/>
      </c>
      <c r="H415" s="23" t="str">
        <f>IF(ISBLANK([1]PitScoutingInfo!Z415),"",[1]PitScoutingInfo!Z415)</f>
        <v/>
      </c>
    </row>
    <row r="416" spans="1:8" x14ac:dyDescent="0.45">
      <c r="A416" s="23" t="str">
        <f>IF(ISBLANK([1]PitScoutingInfo!A416),"",[1]PitScoutingInfo!A416)</f>
        <v/>
      </c>
      <c r="B416" s="23" t="str">
        <f>IF(ISBLANK([1]PitScoutingInfo!B416),"",[1]PitScoutingInfo!B416)</f>
        <v/>
      </c>
      <c r="C416" s="23" t="str">
        <f>IF(ISBLANK([1]PitScoutingInfo!J416),"",[1]PitScoutingInfo!J416)</f>
        <v/>
      </c>
      <c r="D416" s="23" t="str">
        <f>IF(ISBLANK([1]PitScoutingInfo!M416),"",[1]PitScoutingInfo!M416)</f>
        <v/>
      </c>
      <c r="E416" s="23" t="str">
        <f>IF(ISBLANK([1]PitScoutingInfo!N416),"",[1]PitScoutingInfo!N416)</f>
        <v/>
      </c>
      <c r="F416" s="23" t="str">
        <f>IF(ISBLANK([1]PitScoutingInfo!V416),"",[1]PitScoutingInfo!V416)</f>
        <v/>
      </c>
      <c r="G416" s="23" t="str">
        <f>IF(ISBLANK([1]PitScoutingInfo!W416),"",[1]PitScoutingInfo!W416)</f>
        <v/>
      </c>
      <c r="H416" s="23" t="str">
        <f>IF(ISBLANK([1]PitScoutingInfo!Z416),"",[1]PitScoutingInfo!Z416)</f>
        <v/>
      </c>
    </row>
    <row r="417" spans="1:8" x14ac:dyDescent="0.45">
      <c r="A417" s="23" t="str">
        <f>IF(ISBLANK([1]PitScoutingInfo!A417),"",[1]PitScoutingInfo!A417)</f>
        <v/>
      </c>
      <c r="B417" s="23" t="str">
        <f>IF(ISBLANK([1]PitScoutingInfo!B417),"",[1]PitScoutingInfo!B417)</f>
        <v/>
      </c>
      <c r="C417" s="23" t="str">
        <f>IF(ISBLANK([1]PitScoutingInfo!J417),"",[1]PitScoutingInfo!J417)</f>
        <v/>
      </c>
      <c r="D417" s="23" t="str">
        <f>IF(ISBLANK([1]PitScoutingInfo!M417),"",[1]PitScoutingInfo!M417)</f>
        <v/>
      </c>
      <c r="E417" s="23" t="str">
        <f>IF(ISBLANK([1]PitScoutingInfo!N417),"",[1]PitScoutingInfo!N417)</f>
        <v/>
      </c>
      <c r="F417" s="23" t="str">
        <f>IF(ISBLANK([1]PitScoutingInfo!V417),"",[1]PitScoutingInfo!V417)</f>
        <v/>
      </c>
      <c r="G417" s="23" t="str">
        <f>IF(ISBLANK([1]PitScoutingInfo!W417),"",[1]PitScoutingInfo!W417)</f>
        <v/>
      </c>
      <c r="H417" s="23" t="str">
        <f>IF(ISBLANK([1]PitScoutingInfo!Z417),"",[1]PitScoutingInfo!Z417)</f>
        <v/>
      </c>
    </row>
    <row r="418" spans="1:8" x14ac:dyDescent="0.45">
      <c r="A418" s="23" t="str">
        <f>IF(ISBLANK([1]PitScoutingInfo!A418),"",[1]PitScoutingInfo!A418)</f>
        <v/>
      </c>
      <c r="B418" s="23" t="str">
        <f>IF(ISBLANK([1]PitScoutingInfo!B418),"",[1]PitScoutingInfo!B418)</f>
        <v/>
      </c>
      <c r="C418" s="23" t="str">
        <f>IF(ISBLANK([1]PitScoutingInfo!J418),"",[1]PitScoutingInfo!J418)</f>
        <v/>
      </c>
      <c r="D418" s="23" t="str">
        <f>IF(ISBLANK([1]PitScoutingInfo!M418),"",[1]PitScoutingInfo!M418)</f>
        <v/>
      </c>
      <c r="E418" s="23" t="str">
        <f>IF(ISBLANK([1]PitScoutingInfo!N418),"",[1]PitScoutingInfo!N418)</f>
        <v/>
      </c>
      <c r="F418" s="23" t="str">
        <f>IF(ISBLANK([1]PitScoutingInfo!V418),"",[1]PitScoutingInfo!V418)</f>
        <v/>
      </c>
      <c r="G418" s="23" t="str">
        <f>IF(ISBLANK([1]PitScoutingInfo!W418),"",[1]PitScoutingInfo!W418)</f>
        <v/>
      </c>
      <c r="H418" s="23" t="str">
        <f>IF(ISBLANK([1]PitScoutingInfo!Z418),"",[1]PitScoutingInfo!Z418)</f>
        <v/>
      </c>
    </row>
    <row r="419" spans="1:8" x14ac:dyDescent="0.45">
      <c r="A419" s="23" t="str">
        <f>IF(ISBLANK([1]PitScoutingInfo!A419),"",[1]PitScoutingInfo!A419)</f>
        <v/>
      </c>
      <c r="B419" s="23" t="str">
        <f>IF(ISBLANK([1]PitScoutingInfo!B419),"",[1]PitScoutingInfo!B419)</f>
        <v/>
      </c>
      <c r="C419" s="23" t="str">
        <f>IF(ISBLANK([1]PitScoutingInfo!J419),"",[1]PitScoutingInfo!J419)</f>
        <v/>
      </c>
      <c r="D419" s="23" t="str">
        <f>IF(ISBLANK([1]PitScoutingInfo!M419),"",[1]PitScoutingInfo!M419)</f>
        <v/>
      </c>
      <c r="E419" s="23" t="str">
        <f>IF(ISBLANK([1]PitScoutingInfo!N419),"",[1]PitScoutingInfo!N419)</f>
        <v/>
      </c>
      <c r="F419" s="23" t="str">
        <f>IF(ISBLANK([1]PitScoutingInfo!V419),"",[1]PitScoutingInfo!V419)</f>
        <v/>
      </c>
      <c r="G419" s="23" t="str">
        <f>IF(ISBLANK([1]PitScoutingInfo!W419),"",[1]PitScoutingInfo!W419)</f>
        <v/>
      </c>
      <c r="H419" s="23" t="str">
        <f>IF(ISBLANK([1]PitScoutingInfo!Z419),"",[1]PitScoutingInfo!Z419)</f>
        <v/>
      </c>
    </row>
    <row r="420" spans="1:8" x14ac:dyDescent="0.45">
      <c r="A420" s="23" t="str">
        <f>IF(ISBLANK([1]PitScoutingInfo!A420),"",[1]PitScoutingInfo!A420)</f>
        <v/>
      </c>
      <c r="B420" s="23" t="str">
        <f>IF(ISBLANK([1]PitScoutingInfo!B420),"",[1]PitScoutingInfo!B420)</f>
        <v/>
      </c>
      <c r="C420" s="23" t="str">
        <f>IF(ISBLANK([1]PitScoutingInfo!J420),"",[1]PitScoutingInfo!J420)</f>
        <v/>
      </c>
      <c r="D420" s="23" t="str">
        <f>IF(ISBLANK([1]PitScoutingInfo!M420),"",[1]PitScoutingInfo!M420)</f>
        <v/>
      </c>
      <c r="E420" s="23" t="str">
        <f>IF(ISBLANK([1]PitScoutingInfo!N420),"",[1]PitScoutingInfo!N420)</f>
        <v/>
      </c>
      <c r="F420" s="23" t="str">
        <f>IF(ISBLANK([1]PitScoutingInfo!V420),"",[1]PitScoutingInfo!V420)</f>
        <v/>
      </c>
      <c r="G420" s="23" t="str">
        <f>IF(ISBLANK([1]PitScoutingInfo!W420),"",[1]PitScoutingInfo!W420)</f>
        <v/>
      </c>
      <c r="H420" s="23" t="str">
        <f>IF(ISBLANK([1]PitScoutingInfo!Z420),"",[1]PitScoutingInfo!Z420)</f>
        <v/>
      </c>
    </row>
    <row r="421" spans="1:8" x14ac:dyDescent="0.45">
      <c r="A421" s="23" t="str">
        <f>IF(ISBLANK([1]PitScoutingInfo!A421),"",[1]PitScoutingInfo!A421)</f>
        <v/>
      </c>
      <c r="B421" s="23" t="str">
        <f>IF(ISBLANK([1]PitScoutingInfo!B421),"",[1]PitScoutingInfo!B421)</f>
        <v/>
      </c>
      <c r="C421" s="23" t="str">
        <f>IF(ISBLANK([1]PitScoutingInfo!J421),"",[1]PitScoutingInfo!J421)</f>
        <v/>
      </c>
      <c r="D421" s="23" t="str">
        <f>IF(ISBLANK([1]PitScoutingInfo!M421),"",[1]PitScoutingInfo!M421)</f>
        <v/>
      </c>
      <c r="E421" s="23" t="str">
        <f>IF(ISBLANK([1]PitScoutingInfo!N421),"",[1]PitScoutingInfo!N421)</f>
        <v/>
      </c>
      <c r="F421" s="23" t="str">
        <f>IF(ISBLANK([1]PitScoutingInfo!V421),"",[1]PitScoutingInfo!V421)</f>
        <v/>
      </c>
      <c r="G421" s="23" t="str">
        <f>IF(ISBLANK([1]PitScoutingInfo!W421),"",[1]PitScoutingInfo!W421)</f>
        <v/>
      </c>
      <c r="H421" s="23" t="str">
        <f>IF(ISBLANK([1]PitScoutingInfo!Z421),"",[1]PitScoutingInfo!Z421)</f>
        <v/>
      </c>
    </row>
    <row r="422" spans="1:8" x14ac:dyDescent="0.45">
      <c r="A422" s="23" t="str">
        <f>IF(ISBLANK([1]PitScoutingInfo!A422),"",[1]PitScoutingInfo!A422)</f>
        <v/>
      </c>
      <c r="B422" s="23" t="str">
        <f>IF(ISBLANK([1]PitScoutingInfo!B422),"",[1]PitScoutingInfo!B422)</f>
        <v/>
      </c>
      <c r="C422" s="23" t="str">
        <f>IF(ISBLANK([1]PitScoutingInfo!J422),"",[1]PitScoutingInfo!J422)</f>
        <v/>
      </c>
      <c r="D422" s="23" t="str">
        <f>IF(ISBLANK([1]PitScoutingInfo!M422),"",[1]PitScoutingInfo!M422)</f>
        <v/>
      </c>
      <c r="E422" s="23" t="str">
        <f>IF(ISBLANK([1]PitScoutingInfo!N422),"",[1]PitScoutingInfo!N422)</f>
        <v/>
      </c>
      <c r="F422" s="23" t="str">
        <f>IF(ISBLANK([1]PitScoutingInfo!V422),"",[1]PitScoutingInfo!V422)</f>
        <v/>
      </c>
      <c r="G422" s="23" t="str">
        <f>IF(ISBLANK([1]PitScoutingInfo!W422),"",[1]PitScoutingInfo!W422)</f>
        <v/>
      </c>
      <c r="H422" s="23" t="str">
        <f>IF(ISBLANK([1]PitScoutingInfo!Z422),"",[1]PitScoutingInfo!Z422)</f>
        <v/>
      </c>
    </row>
    <row r="423" spans="1:8" x14ac:dyDescent="0.45">
      <c r="A423" s="23" t="str">
        <f>IF(ISBLANK([1]PitScoutingInfo!A423),"",[1]PitScoutingInfo!A423)</f>
        <v/>
      </c>
      <c r="B423" s="23" t="str">
        <f>IF(ISBLANK([1]PitScoutingInfo!B423),"",[1]PitScoutingInfo!B423)</f>
        <v/>
      </c>
      <c r="C423" s="23" t="str">
        <f>IF(ISBLANK([1]PitScoutingInfo!J423),"",[1]PitScoutingInfo!J423)</f>
        <v/>
      </c>
      <c r="D423" s="23" t="str">
        <f>IF(ISBLANK([1]PitScoutingInfo!M423),"",[1]PitScoutingInfo!M423)</f>
        <v/>
      </c>
      <c r="E423" s="23" t="str">
        <f>IF(ISBLANK([1]PitScoutingInfo!N423),"",[1]PitScoutingInfo!N423)</f>
        <v/>
      </c>
      <c r="F423" s="23" t="str">
        <f>IF(ISBLANK([1]PitScoutingInfo!V423),"",[1]PitScoutingInfo!V423)</f>
        <v/>
      </c>
      <c r="G423" s="23" t="str">
        <f>IF(ISBLANK([1]PitScoutingInfo!W423),"",[1]PitScoutingInfo!W423)</f>
        <v/>
      </c>
      <c r="H423" s="23" t="str">
        <f>IF(ISBLANK([1]PitScoutingInfo!Z423),"",[1]PitScoutingInfo!Z423)</f>
        <v/>
      </c>
    </row>
    <row r="424" spans="1:8" x14ac:dyDescent="0.45">
      <c r="A424" s="23" t="str">
        <f>IF(ISBLANK([1]PitScoutingInfo!A424),"",[1]PitScoutingInfo!A424)</f>
        <v/>
      </c>
      <c r="B424" s="23" t="str">
        <f>IF(ISBLANK([1]PitScoutingInfo!B424),"",[1]PitScoutingInfo!B424)</f>
        <v/>
      </c>
      <c r="C424" s="23" t="str">
        <f>IF(ISBLANK([1]PitScoutingInfo!J424),"",[1]PitScoutingInfo!J424)</f>
        <v/>
      </c>
      <c r="D424" s="23" t="str">
        <f>IF(ISBLANK([1]PitScoutingInfo!M424),"",[1]PitScoutingInfo!M424)</f>
        <v/>
      </c>
      <c r="E424" s="23" t="str">
        <f>IF(ISBLANK([1]PitScoutingInfo!N424),"",[1]PitScoutingInfo!N424)</f>
        <v/>
      </c>
      <c r="F424" s="23" t="str">
        <f>IF(ISBLANK([1]PitScoutingInfo!V424),"",[1]PitScoutingInfo!V424)</f>
        <v/>
      </c>
      <c r="G424" s="23" t="str">
        <f>IF(ISBLANK([1]PitScoutingInfo!W424),"",[1]PitScoutingInfo!W424)</f>
        <v/>
      </c>
      <c r="H424" s="23" t="str">
        <f>IF(ISBLANK([1]PitScoutingInfo!Z424),"",[1]PitScoutingInfo!Z424)</f>
        <v/>
      </c>
    </row>
    <row r="425" spans="1:8" x14ac:dyDescent="0.45">
      <c r="A425" s="23" t="str">
        <f>IF(ISBLANK([1]PitScoutingInfo!A425),"",[1]PitScoutingInfo!A425)</f>
        <v/>
      </c>
      <c r="B425" s="23" t="str">
        <f>IF(ISBLANK([1]PitScoutingInfo!B425),"",[1]PitScoutingInfo!B425)</f>
        <v/>
      </c>
      <c r="C425" s="23" t="str">
        <f>IF(ISBLANK([1]PitScoutingInfo!J425),"",[1]PitScoutingInfo!J425)</f>
        <v/>
      </c>
      <c r="D425" s="23" t="str">
        <f>IF(ISBLANK([1]PitScoutingInfo!M425),"",[1]PitScoutingInfo!M425)</f>
        <v/>
      </c>
      <c r="E425" s="23" t="str">
        <f>IF(ISBLANK([1]PitScoutingInfo!N425),"",[1]PitScoutingInfo!N425)</f>
        <v/>
      </c>
      <c r="F425" s="23" t="str">
        <f>IF(ISBLANK([1]PitScoutingInfo!V425),"",[1]PitScoutingInfo!V425)</f>
        <v/>
      </c>
      <c r="G425" s="23" t="str">
        <f>IF(ISBLANK([1]PitScoutingInfo!W425),"",[1]PitScoutingInfo!W425)</f>
        <v/>
      </c>
      <c r="H425" s="23" t="str">
        <f>IF(ISBLANK([1]PitScoutingInfo!Z425),"",[1]PitScoutingInfo!Z425)</f>
        <v/>
      </c>
    </row>
    <row r="426" spans="1:8" x14ac:dyDescent="0.45">
      <c r="A426" s="23" t="str">
        <f>IF(ISBLANK([1]PitScoutingInfo!A426),"",[1]PitScoutingInfo!A426)</f>
        <v/>
      </c>
      <c r="B426" s="23" t="str">
        <f>IF(ISBLANK([1]PitScoutingInfo!B426),"",[1]PitScoutingInfo!B426)</f>
        <v/>
      </c>
      <c r="C426" s="23" t="str">
        <f>IF(ISBLANK([1]PitScoutingInfo!J426),"",[1]PitScoutingInfo!J426)</f>
        <v/>
      </c>
      <c r="D426" s="23" t="str">
        <f>IF(ISBLANK([1]PitScoutingInfo!M426),"",[1]PitScoutingInfo!M426)</f>
        <v/>
      </c>
      <c r="E426" s="23" t="str">
        <f>IF(ISBLANK([1]PitScoutingInfo!N426),"",[1]PitScoutingInfo!N426)</f>
        <v/>
      </c>
      <c r="F426" s="23" t="str">
        <f>IF(ISBLANK([1]PitScoutingInfo!V426),"",[1]PitScoutingInfo!V426)</f>
        <v/>
      </c>
      <c r="G426" s="23" t="str">
        <f>IF(ISBLANK([1]PitScoutingInfo!W426),"",[1]PitScoutingInfo!W426)</f>
        <v/>
      </c>
      <c r="H426" s="23" t="str">
        <f>IF(ISBLANK([1]PitScoutingInfo!Z426),"",[1]PitScoutingInfo!Z426)</f>
        <v/>
      </c>
    </row>
    <row r="427" spans="1:8" x14ac:dyDescent="0.45">
      <c r="A427" s="23" t="str">
        <f>IF(ISBLANK([1]PitScoutingInfo!A427),"",[1]PitScoutingInfo!A427)</f>
        <v/>
      </c>
      <c r="B427" s="23" t="str">
        <f>IF(ISBLANK([1]PitScoutingInfo!B427),"",[1]PitScoutingInfo!B427)</f>
        <v/>
      </c>
      <c r="C427" s="23" t="str">
        <f>IF(ISBLANK([1]PitScoutingInfo!J427),"",[1]PitScoutingInfo!J427)</f>
        <v/>
      </c>
      <c r="D427" s="23" t="str">
        <f>IF(ISBLANK([1]PitScoutingInfo!M427),"",[1]PitScoutingInfo!M427)</f>
        <v/>
      </c>
      <c r="E427" s="23" t="str">
        <f>IF(ISBLANK([1]PitScoutingInfo!N427),"",[1]PitScoutingInfo!N427)</f>
        <v/>
      </c>
      <c r="F427" s="23" t="str">
        <f>IF(ISBLANK([1]PitScoutingInfo!V427),"",[1]PitScoutingInfo!V427)</f>
        <v/>
      </c>
      <c r="G427" s="23" t="str">
        <f>IF(ISBLANK([1]PitScoutingInfo!W427),"",[1]PitScoutingInfo!W427)</f>
        <v/>
      </c>
      <c r="H427" s="23" t="str">
        <f>IF(ISBLANK([1]PitScoutingInfo!Z427),"",[1]PitScoutingInfo!Z427)</f>
        <v/>
      </c>
    </row>
    <row r="428" spans="1:8" x14ac:dyDescent="0.45">
      <c r="A428" s="23" t="str">
        <f>IF(ISBLANK([1]PitScoutingInfo!A428),"",[1]PitScoutingInfo!A428)</f>
        <v/>
      </c>
      <c r="B428" s="23" t="str">
        <f>IF(ISBLANK([1]PitScoutingInfo!B428),"",[1]PitScoutingInfo!B428)</f>
        <v/>
      </c>
      <c r="C428" s="23" t="str">
        <f>IF(ISBLANK([1]PitScoutingInfo!J428),"",[1]PitScoutingInfo!J428)</f>
        <v/>
      </c>
      <c r="D428" s="23" t="str">
        <f>IF(ISBLANK([1]PitScoutingInfo!M428),"",[1]PitScoutingInfo!M428)</f>
        <v/>
      </c>
      <c r="E428" s="23" t="str">
        <f>IF(ISBLANK([1]PitScoutingInfo!N428),"",[1]PitScoutingInfo!N428)</f>
        <v/>
      </c>
      <c r="F428" s="23" t="str">
        <f>IF(ISBLANK([1]PitScoutingInfo!V428),"",[1]PitScoutingInfo!V428)</f>
        <v/>
      </c>
      <c r="G428" s="23" t="str">
        <f>IF(ISBLANK([1]PitScoutingInfo!W428),"",[1]PitScoutingInfo!W428)</f>
        <v/>
      </c>
      <c r="H428" s="23" t="str">
        <f>IF(ISBLANK([1]PitScoutingInfo!Z428),"",[1]PitScoutingInfo!Z428)</f>
        <v/>
      </c>
    </row>
    <row r="429" spans="1:8" x14ac:dyDescent="0.45">
      <c r="A429" s="23" t="str">
        <f>IF(ISBLANK([1]PitScoutingInfo!A429),"",[1]PitScoutingInfo!A429)</f>
        <v/>
      </c>
      <c r="B429" s="23" t="str">
        <f>IF(ISBLANK([1]PitScoutingInfo!B429),"",[1]PitScoutingInfo!B429)</f>
        <v/>
      </c>
      <c r="C429" s="23" t="str">
        <f>IF(ISBLANK([1]PitScoutingInfo!J429),"",[1]PitScoutingInfo!J429)</f>
        <v/>
      </c>
      <c r="D429" s="23" t="str">
        <f>IF(ISBLANK([1]PitScoutingInfo!M429),"",[1]PitScoutingInfo!M429)</f>
        <v/>
      </c>
      <c r="E429" s="23" t="str">
        <f>IF(ISBLANK([1]PitScoutingInfo!N429),"",[1]PitScoutingInfo!N429)</f>
        <v/>
      </c>
      <c r="F429" s="23" t="str">
        <f>IF(ISBLANK([1]PitScoutingInfo!V429),"",[1]PitScoutingInfo!V429)</f>
        <v/>
      </c>
      <c r="G429" s="23" t="str">
        <f>IF(ISBLANK([1]PitScoutingInfo!W429),"",[1]PitScoutingInfo!W429)</f>
        <v/>
      </c>
      <c r="H429" s="23" t="str">
        <f>IF(ISBLANK([1]PitScoutingInfo!Z429),"",[1]PitScoutingInfo!Z429)</f>
        <v/>
      </c>
    </row>
    <row r="430" spans="1:8" x14ac:dyDescent="0.45">
      <c r="A430" s="23" t="str">
        <f>IF(ISBLANK([1]PitScoutingInfo!A430),"",[1]PitScoutingInfo!A430)</f>
        <v/>
      </c>
      <c r="B430" s="23" t="str">
        <f>IF(ISBLANK([1]PitScoutingInfo!B430),"",[1]PitScoutingInfo!B430)</f>
        <v/>
      </c>
      <c r="C430" s="23" t="str">
        <f>IF(ISBLANK([1]PitScoutingInfo!J430),"",[1]PitScoutingInfo!J430)</f>
        <v/>
      </c>
      <c r="D430" s="23" t="str">
        <f>IF(ISBLANK([1]PitScoutingInfo!M430),"",[1]PitScoutingInfo!M430)</f>
        <v/>
      </c>
      <c r="E430" s="23" t="str">
        <f>IF(ISBLANK([1]PitScoutingInfo!N430),"",[1]PitScoutingInfo!N430)</f>
        <v/>
      </c>
      <c r="F430" s="23" t="str">
        <f>IF(ISBLANK([1]PitScoutingInfo!V430),"",[1]PitScoutingInfo!V430)</f>
        <v/>
      </c>
      <c r="G430" s="23" t="str">
        <f>IF(ISBLANK([1]PitScoutingInfo!W430),"",[1]PitScoutingInfo!W430)</f>
        <v/>
      </c>
      <c r="H430" s="23" t="str">
        <f>IF(ISBLANK([1]PitScoutingInfo!Z430),"",[1]PitScoutingInfo!Z430)</f>
        <v/>
      </c>
    </row>
    <row r="431" spans="1:8" x14ac:dyDescent="0.45">
      <c r="A431" s="23" t="str">
        <f>IF(ISBLANK([1]PitScoutingInfo!A431),"",[1]PitScoutingInfo!A431)</f>
        <v/>
      </c>
      <c r="B431" s="23" t="str">
        <f>IF(ISBLANK([1]PitScoutingInfo!B431),"",[1]PitScoutingInfo!B431)</f>
        <v/>
      </c>
      <c r="C431" s="23" t="str">
        <f>IF(ISBLANK([1]PitScoutingInfo!J431),"",[1]PitScoutingInfo!J431)</f>
        <v/>
      </c>
      <c r="D431" s="23" t="str">
        <f>IF(ISBLANK([1]PitScoutingInfo!M431),"",[1]PitScoutingInfo!M431)</f>
        <v/>
      </c>
      <c r="E431" s="23" t="str">
        <f>IF(ISBLANK([1]PitScoutingInfo!N431),"",[1]PitScoutingInfo!N431)</f>
        <v/>
      </c>
      <c r="F431" s="23" t="str">
        <f>IF(ISBLANK([1]PitScoutingInfo!V431),"",[1]PitScoutingInfo!V431)</f>
        <v/>
      </c>
      <c r="G431" s="23" t="str">
        <f>IF(ISBLANK([1]PitScoutingInfo!W431),"",[1]PitScoutingInfo!W431)</f>
        <v/>
      </c>
      <c r="H431" s="23" t="str">
        <f>IF(ISBLANK([1]PitScoutingInfo!Z431),"",[1]PitScoutingInfo!Z431)</f>
        <v/>
      </c>
    </row>
    <row r="432" spans="1:8" x14ac:dyDescent="0.45">
      <c r="A432" s="23" t="str">
        <f>IF(ISBLANK([1]PitScoutingInfo!A432),"",[1]PitScoutingInfo!A432)</f>
        <v/>
      </c>
      <c r="B432" s="23" t="str">
        <f>IF(ISBLANK([1]PitScoutingInfo!B432),"",[1]PitScoutingInfo!B432)</f>
        <v/>
      </c>
      <c r="C432" s="23" t="str">
        <f>IF(ISBLANK([1]PitScoutingInfo!J432),"",[1]PitScoutingInfo!J432)</f>
        <v/>
      </c>
      <c r="D432" s="23" t="str">
        <f>IF(ISBLANK([1]PitScoutingInfo!M432),"",[1]PitScoutingInfo!M432)</f>
        <v/>
      </c>
      <c r="E432" s="23" t="str">
        <f>IF(ISBLANK([1]PitScoutingInfo!N432),"",[1]PitScoutingInfo!N432)</f>
        <v/>
      </c>
      <c r="F432" s="23" t="str">
        <f>IF(ISBLANK([1]PitScoutingInfo!V432),"",[1]PitScoutingInfo!V432)</f>
        <v/>
      </c>
      <c r="G432" s="23" t="str">
        <f>IF(ISBLANK([1]PitScoutingInfo!W432),"",[1]PitScoutingInfo!W432)</f>
        <v/>
      </c>
      <c r="H432" s="23" t="str">
        <f>IF(ISBLANK([1]PitScoutingInfo!Z432),"",[1]PitScoutingInfo!Z432)</f>
        <v/>
      </c>
    </row>
    <row r="433" spans="1:8" x14ac:dyDescent="0.45">
      <c r="A433" s="23" t="str">
        <f>IF(ISBLANK([1]PitScoutingInfo!A433),"",[1]PitScoutingInfo!A433)</f>
        <v/>
      </c>
      <c r="B433" s="23" t="str">
        <f>IF(ISBLANK([1]PitScoutingInfo!B433),"",[1]PitScoutingInfo!B433)</f>
        <v/>
      </c>
      <c r="C433" s="23" t="str">
        <f>IF(ISBLANK([1]PitScoutingInfo!J433),"",[1]PitScoutingInfo!J433)</f>
        <v/>
      </c>
      <c r="D433" s="23" t="str">
        <f>IF(ISBLANK([1]PitScoutingInfo!M433),"",[1]PitScoutingInfo!M433)</f>
        <v/>
      </c>
      <c r="E433" s="23" t="str">
        <f>IF(ISBLANK([1]PitScoutingInfo!N433),"",[1]PitScoutingInfo!N433)</f>
        <v/>
      </c>
      <c r="F433" s="23" t="str">
        <f>IF(ISBLANK([1]PitScoutingInfo!V433),"",[1]PitScoutingInfo!V433)</f>
        <v/>
      </c>
      <c r="G433" s="23" t="str">
        <f>IF(ISBLANK([1]PitScoutingInfo!W433),"",[1]PitScoutingInfo!W433)</f>
        <v/>
      </c>
      <c r="H433" s="23" t="str">
        <f>IF(ISBLANK([1]PitScoutingInfo!Z433),"",[1]PitScoutingInfo!Z433)</f>
        <v/>
      </c>
    </row>
    <row r="434" spans="1:8" x14ac:dyDescent="0.45">
      <c r="A434" s="23" t="str">
        <f>IF(ISBLANK([1]PitScoutingInfo!A434),"",[1]PitScoutingInfo!A434)</f>
        <v/>
      </c>
      <c r="B434" s="23" t="str">
        <f>IF(ISBLANK([1]PitScoutingInfo!B434),"",[1]PitScoutingInfo!B434)</f>
        <v/>
      </c>
      <c r="C434" s="23" t="str">
        <f>IF(ISBLANK([1]PitScoutingInfo!J434),"",[1]PitScoutingInfo!J434)</f>
        <v/>
      </c>
      <c r="D434" s="23" t="str">
        <f>IF(ISBLANK([1]PitScoutingInfo!M434),"",[1]PitScoutingInfo!M434)</f>
        <v/>
      </c>
      <c r="E434" s="23" t="str">
        <f>IF(ISBLANK([1]PitScoutingInfo!N434),"",[1]PitScoutingInfo!N434)</f>
        <v/>
      </c>
      <c r="F434" s="23" t="str">
        <f>IF(ISBLANK([1]PitScoutingInfo!V434),"",[1]PitScoutingInfo!V434)</f>
        <v/>
      </c>
      <c r="G434" s="23" t="str">
        <f>IF(ISBLANK([1]PitScoutingInfo!W434),"",[1]PitScoutingInfo!W434)</f>
        <v/>
      </c>
      <c r="H434" s="23" t="str">
        <f>IF(ISBLANK([1]PitScoutingInfo!Z434),"",[1]PitScoutingInfo!Z434)</f>
        <v/>
      </c>
    </row>
    <row r="435" spans="1:8" x14ac:dyDescent="0.45">
      <c r="A435" s="23" t="str">
        <f>IF(ISBLANK([1]PitScoutingInfo!A435),"",[1]PitScoutingInfo!A435)</f>
        <v/>
      </c>
      <c r="B435" s="23" t="str">
        <f>IF(ISBLANK([1]PitScoutingInfo!B435),"",[1]PitScoutingInfo!B435)</f>
        <v/>
      </c>
      <c r="C435" s="23" t="str">
        <f>IF(ISBLANK([1]PitScoutingInfo!J435),"",[1]PitScoutingInfo!J435)</f>
        <v/>
      </c>
      <c r="D435" s="23" t="str">
        <f>IF(ISBLANK([1]PitScoutingInfo!M435),"",[1]PitScoutingInfo!M435)</f>
        <v/>
      </c>
      <c r="E435" s="23" t="str">
        <f>IF(ISBLANK([1]PitScoutingInfo!N435),"",[1]PitScoutingInfo!N435)</f>
        <v/>
      </c>
      <c r="F435" s="23" t="str">
        <f>IF(ISBLANK([1]PitScoutingInfo!V435),"",[1]PitScoutingInfo!V435)</f>
        <v/>
      </c>
      <c r="G435" s="23" t="str">
        <f>IF(ISBLANK([1]PitScoutingInfo!W435),"",[1]PitScoutingInfo!W435)</f>
        <v/>
      </c>
      <c r="H435" s="23" t="str">
        <f>IF(ISBLANK([1]PitScoutingInfo!Z435),"",[1]PitScoutingInfo!Z435)</f>
        <v/>
      </c>
    </row>
    <row r="436" spans="1:8" x14ac:dyDescent="0.45">
      <c r="A436" s="23" t="str">
        <f>IF(ISBLANK([1]PitScoutingInfo!A436),"",[1]PitScoutingInfo!A436)</f>
        <v/>
      </c>
      <c r="B436" s="23" t="str">
        <f>IF(ISBLANK([1]PitScoutingInfo!B436),"",[1]PitScoutingInfo!B436)</f>
        <v/>
      </c>
      <c r="C436" s="23" t="str">
        <f>IF(ISBLANK([1]PitScoutingInfo!J436),"",[1]PitScoutingInfo!J436)</f>
        <v/>
      </c>
      <c r="D436" s="23" t="str">
        <f>IF(ISBLANK([1]PitScoutingInfo!M436),"",[1]PitScoutingInfo!M436)</f>
        <v/>
      </c>
      <c r="E436" s="23" t="str">
        <f>IF(ISBLANK([1]PitScoutingInfo!N436),"",[1]PitScoutingInfo!N436)</f>
        <v/>
      </c>
      <c r="F436" s="23" t="str">
        <f>IF(ISBLANK([1]PitScoutingInfo!V436),"",[1]PitScoutingInfo!V436)</f>
        <v/>
      </c>
      <c r="G436" s="23" t="str">
        <f>IF(ISBLANK([1]PitScoutingInfo!W436),"",[1]PitScoutingInfo!W436)</f>
        <v/>
      </c>
      <c r="H436" s="23" t="str">
        <f>IF(ISBLANK([1]PitScoutingInfo!Z436),"",[1]PitScoutingInfo!Z436)</f>
        <v/>
      </c>
    </row>
    <row r="437" spans="1:8" x14ac:dyDescent="0.45">
      <c r="A437" s="23" t="str">
        <f>IF(ISBLANK([1]PitScoutingInfo!A437),"",[1]PitScoutingInfo!A437)</f>
        <v/>
      </c>
      <c r="B437" s="23" t="str">
        <f>IF(ISBLANK([1]PitScoutingInfo!B437),"",[1]PitScoutingInfo!B437)</f>
        <v/>
      </c>
      <c r="C437" s="23" t="str">
        <f>IF(ISBLANK([1]PitScoutingInfo!J437),"",[1]PitScoutingInfo!J437)</f>
        <v/>
      </c>
      <c r="D437" s="23" t="str">
        <f>IF(ISBLANK([1]PitScoutingInfo!M437),"",[1]PitScoutingInfo!M437)</f>
        <v/>
      </c>
      <c r="E437" s="23" t="str">
        <f>IF(ISBLANK([1]PitScoutingInfo!N437),"",[1]PitScoutingInfo!N437)</f>
        <v/>
      </c>
      <c r="F437" s="23" t="str">
        <f>IF(ISBLANK([1]PitScoutingInfo!V437),"",[1]PitScoutingInfo!V437)</f>
        <v/>
      </c>
      <c r="G437" s="23" t="str">
        <f>IF(ISBLANK([1]PitScoutingInfo!W437),"",[1]PitScoutingInfo!W437)</f>
        <v/>
      </c>
      <c r="H437" s="23" t="str">
        <f>IF(ISBLANK([1]PitScoutingInfo!Z437),"",[1]PitScoutingInfo!Z437)</f>
        <v/>
      </c>
    </row>
    <row r="438" spans="1:8" x14ac:dyDescent="0.45">
      <c r="A438" s="23" t="str">
        <f>IF(ISBLANK([1]PitScoutingInfo!A438),"",[1]PitScoutingInfo!A438)</f>
        <v/>
      </c>
      <c r="B438" s="23" t="str">
        <f>IF(ISBLANK([1]PitScoutingInfo!B438),"",[1]PitScoutingInfo!B438)</f>
        <v/>
      </c>
      <c r="C438" s="23" t="str">
        <f>IF(ISBLANK([1]PitScoutingInfo!J438),"",[1]PitScoutingInfo!J438)</f>
        <v/>
      </c>
      <c r="D438" s="23" t="str">
        <f>IF(ISBLANK([1]PitScoutingInfo!M438),"",[1]PitScoutingInfo!M438)</f>
        <v/>
      </c>
      <c r="E438" s="23" t="str">
        <f>IF(ISBLANK([1]PitScoutingInfo!N438),"",[1]PitScoutingInfo!N438)</f>
        <v/>
      </c>
      <c r="F438" s="23" t="str">
        <f>IF(ISBLANK([1]PitScoutingInfo!V438),"",[1]PitScoutingInfo!V438)</f>
        <v/>
      </c>
      <c r="G438" s="23" t="str">
        <f>IF(ISBLANK([1]PitScoutingInfo!W438),"",[1]PitScoutingInfo!W438)</f>
        <v/>
      </c>
      <c r="H438" s="23" t="str">
        <f>IF(ISBLANK([1]PitScoutingInfo!Z438),"",[1]PitScoutingInfo!Z438)</f>
        <v/>
      </c>
    </row>
    <row r="439" spans="1:8" x14ac:dyDescent="0.45">
      <c r="A439" s="23" t="str">
        <f>IF(ISBLANK([1]PitScoutingInfo!A439),"",[1]PitScoutingInfo!A439)</f>
        <v/>
      </c>
      <c r="B439" s="23" t="str">
        <f>IF(ISBLANK([1]PitScoutingInfo!B439),"",[1]PitScoutingInfo!B439)</f>
        <v/>
      </c>
      <c r="C439" s="23" t="str">
        <f>IF(ISBLANK([1]PitScoutingInfo!J439),"",[1]PitScoutingInfo!J439)</f>
        <v/>
      </c>
      <c r="D439" s="23" t="str">
        <f>IF(ISBLANK([1]PitScoutingInfo!M439),"",[1]PitScoutingInfo!M439)</f>
        <v/>
      </c>
      <c r="E439" s="23" t="str">
        <f>IF(ISBLANK([1]PitScoutingInfo!N439),"",[1]PitScoutingInfo!N439)</f>
        <v/>
      </c>
      <c r="F439" s="23" t="str">
        <f>IF(ISBLANK([1]PitScoutingInfo!V439),"",[1]PitScoutingInfo!V439)</f>
        <v/>
      </c>
      <c r="G439" s="23" t="str">
        <f>IF(ISBLANK([1]PitScoutingInfo!W439),"",[1]PitScoutingInfo!W439)</f>
        <v/>
      </c>
      <c r="H439" s="23" t="str">
        <f>IF(ISBLANK([1]PitScoutingInfo!Z439),"",[1]PitScoutingInfo!Z439)</f>
        <v/>
      </c>
    </row>
    <row r="440" spans="1:8" x14ac:dyDescent="0.45">
      <c r="A440" s="23" t="str">
        <f>IF(ISBLANK([1]PitScoutingInfo!A440),"",[1]PitScoutingInfo!A440)</f>
        <v/>
      </c>
      <c r="B440" s="23" t="str">
        <f>IF(ISBLANK([1]PitScoutingInfo!B440),"",[1]PitScoutingInfo!B440)</f>
        <v/>
      </c>
      <c r="C440" s="23" t="str">
        <f>IF(ISBLANK([1]PitScoutingInfo!J440),"",[1]PitScoutingInfo!J440)</f>
        <v/>
      </c>
      <c r="D440" s="23" t="str">
        <f>IF(ISBLANK([1]PitScoutingInfo!M440),"",[1]PitScoutingInfo!M440)</f>
        <v/>
      </c>
      <c r="E440" s="23" t="str">
        <f>IF(ISBLANK([1]PitScoutingInfo!N440),"",[1]PitScoutingInfo!N440)</f>
        <v/>
      </c>
      <c r="F440" s="23" t="str">
        <f>IF(ISBLANK([1]PitScoutingInfo!V440),"",[1]PitScoutingInfo!V440)</f>
        <v/>
      </c>
      <c r="G440" s="23" t="str">
        <f>IF(ISBLANK([1]PitScoutingInfo!W440),"",[1]PitScoutingInfo!W440)</f>
        <v/>
      </c>
      <c r="H440" s="23" t="str">
        <f>IF(ISBLANK([1]PitScoutingInfo!Z440),"",[1]PitScoutingInfo!Z440)</f>
        <v/>
      </c>
    </row>
    <row r="441" spans="1:8" x14ac:dyDescent="0.45">
      <c r="A441" s="23" t="str">
        <f>IF(ISBLANK([1]PitScoutingInfo!A441),"",[1]PitScoutingInfo!A441)</f>
        <v/>
      </c>
      <c r="B441" s="23" t="str">
        <f>IF(ISBLANK([1]PitScoutingInfo!B441),"",[1]PitScoutingInfo!B441)</f>
        <v/>
      </c>
      <c r="C441" s="23" t="str">
        <f>IF(ISBLANK([1]PitScoutingInfo!J441),"",[1]PitScoutingInfo!J441)</f>
        <v/>
      </c>
      <c r="D441" s="23" t="str">
        <f>IF(ISBLANK([1]PitScoutingInfo!M441),"",[1]PitScoutingInfo!M441)</f>
        <v/>
      </c>
      <c r="E441" s="23" t="str">
        <f>IF(ISBLANK([1]PitScoutingInfo!N441),"",[1]PitScoutingInfo!N441)</f>
        <v/>
      </c>
      <c r="F441" s="23" t="str">
        <f>IF(ISBLANK([1]PitScoutingInfo!V441),"",[1]PitScoutingInfo!V441)</f>
        <v/>
      </c>
      <c r="G441" s="23" t="str">
        <f>IF(ISBLANK([1]PitScoutingInfo!W441),"",[1]PitScoutingInfo!W441)</f>
        <v/>
      </c>
      <c r="H441" s="23" t="str">
        <f>IF(ISBLANK([1]PitScoutingInfo!Z441),"",[1]PitScoutingInfo!Z441)</f>
        <v/>
      </c>
    </row>
    <row r="442" spans="1:8" x14ac:dyDescent="0.45">
      <c r="A442" s="23" t="str">
        <f>IF(ISBLANK([1]PitScoutingInfo!A442),"",[1]PitScoutingInfo!A442)</f>
        <v/>
      </c>
      <c r="B442" s="23" t="str">
        <f>IF(ISBLANK([1]PitScoutingInfo!B442),"",[1]PitScoutingInfo!B442)</f>
        <v/>
      </c>
      <c r="C442" s="23" t="str">
        <f>IF(ISBLANK([1]PitScoutingInfo!J442),"",[1]PitScoutingInfo!J442)</f>
        <v/>
      </c>
      <c r="D442" s="23" t="str">
        <f>IF(ISBLANK([1]PitScoutingInfo!M442),"",[1]PitScoutingInfo!M442)</f>
        <v/>
      </c>
      <c r="E442" s="23" t="str">
        <f>IF(ISBLANK([1]PitScoutingInfo!N442),"",[1]PitScoutingInfo!N442)</f>
        <v/>
      </c>
      <c r="F442" s="23" t="str">
        <f>IF(ISBLANK([1]PitScoutingInfo!V442),"",[1]PitScoutingInfo!V442)</f>
        <v/>
      </c>
      <c r="G442" s="23" t="str">
        <f>IF(ISBLANK([1]PitScoutingInfo!W442),"",[1]PitScoutingInfo!W442)</f>
        <v/>
      </c>
      <c r="H442" s="23" t="str">
        <f>IF(ISBLANK([1]PitScoutingInfo!Z442),"",[1]PitScoutingInfo!Z442)</f>
        <v/>
      </c>
    </row>
    <row r="443" spans="1:8" x14ac:dyDescent="0.45">
      <c r="A443" s="23" t="str">
        <f>IF(ISBLANK([1]PitScoutingInfo!A443),"",[1]PitScoutingInfo!A443)</f>
        <v/>
      </c>
      <c r="B443" s="23" t="str">
        <f>IF(ISBLANK([1]PitScoutingInfo!B443),"",[1]PitScoutingInfo!B443)</f>
        <v/>
      </c>
      <c r="C443" s="23" t="str">
        <f>IF(ISBLANK([1]PitScoutingInfo!J443),"",[1]PitScoutingInfo!J443)</f>
        <v/>
      </c>
      <c r="D443" s="23" t="str">
        <f>IF(ISBLANK([1]PitScoutingInfo!M443),"",[1]PitScoutingInfo!M443)</f>
        <v/>
      </c>
      <c r="E443" s="23" t="str">
        <f>IF(ISBLANK([1]PitScoutingInfo!N443),"",[1]PitScoutingInfo!N443)</f>
        <v/>
      </c>
      <c r="F443" s="23" t="str">
        <f>IF(ISBLANK([1]PitScoutingInfo!V443),"",[1]PitScoutingInfo!V443)</f>
        <v/>
      </c>
      <c r="G443" s="23" t="str">
        <f>IF(ISBLANK([1]PitScoutingInfo!W443),"",[1]PitScoutingInfo!W443)</f>
        <v/>
      </c>
      <c r="H443" s="23" t="str">
        <f>IF(ISBLANK([1]PitScoutingInfo!Z443),"",[1]PitScoutingInfo!Z443)</f>
        <v/>
      </c>
    </row>
    <row r="444" spans="1:8" x14ac:dyDescent="0.45">
      <c r="A444" s="23" t="str">
        <f>IF(ISBLANK([1]PitScoutingInfo!A444),"",[1]PitScoutingInfo!A444)</f>
        <v/>
      </c>
      <c r="B444" s="23" t="str">
        <f>IF(ISBLANK([1]PitScoutingInfo!B444),"",[1]PitScoutingInfo!B444)</f>
        <v/>
      </c>
      <c r="C444" s="23" t="str">
        <f>IF(ISBLANK([1]PitScoutingInfo!J444),"",[1]PitScoutingInfo!J444)</f>
        <v/>
      </c>
      <c r="D444" s="23" t="str">
        <f>IF(ISBLANK([1]PitScoutingInfo!M444),"",[1]PitScoutingInfo!M444)</f>
        <v/>
      </c>
      <c r="E444" s="23" t="str">
        <f>IF(ISBLANK([1]PitScoutingInfo!N444),"",[1]PitScoutingInfo!N444)</f>
        <v/>
      </c>
      <c r="F444" s="23" t="str">
        <f>IF(ISBLANK([1]PitScoutingInfo!V444),"",[1]PitScoutingInfo!V444)</f>
        <v/>
      </c>
      <c r="G444" s="23" t="str">
        <f>IF(ISBLANK([1]PitScoutingInfo!W444),"",[1]PitScoutingInfo!W444)</f>
        <v/>
      </c>
      <c r="H444" s="23" t="str">
        <f>IF(ISBLANK([1]PitScoutingInfo!Z444),"",[1]PitScoutingInfo!Z444)</f>
        <v/>
      </c>
    </row>
    <row r="445" spans="1:8" x14ac:dyDescent="0.45">
      <c r="A445" s="23" t="str">
        <f>IF(ISBLANK([1]PitScoutingInfo!A445),"",[1]PitScoutingInfo!A445)</f>
        <v/>
      </c>
      <c r="B445" s="23" t="str">
        <f>IF(ISBLANK([1]PitScoutingInfo!B445),"",[1]PitScoutingInfo!B445)</f>
        <v/>
      </c>
      <c r="C445" s="23" t="str">
        <f>IF(ISBLANK([1]PitScoutingInfo!J445),"",[1]PitScoutingInfo!J445)</f>
        <v/>
      </c>
      <c r="D445" s="23" t="str">
        <f>IF(ISBLANK([1]PitScoutingInfo!M445),"",[1]PitScoutingInfo!M445)</f>
        <v/>
      </c>
      <c r="E445" s="23" t="str">
        <f>IF(ISBLANK([1]PitScoutingInfo!N445),"",[1]PitScoutingInfo!N445)</f>
        <v/>
      </c>
      <c r="F445" s="23" t="str">
        <f>IF(ISBLANK([1]PitScoutingInfo!V445),"",[1]PitScoutingInfo!V445)</f>
        <v/>
      </c>
      <c r="G445" s="23" t="str">
        <f>IF(ISBLANK([1]PitScoutingInfo!W445),"",[1]PitScoutingInfo!W445)</f>
        <v/>
      </c>
      <c r="H445" s="23" t="str">
        <f>IF(ISBLANK([1]PitScoutingInfo!Z445),"",[1]PitScoutingInfo!Z445)</f>
        <v/>
      </c>
    </row>
    <row r="446" spans="1:8" x14ac:dyDescent="0.45">
      <c r="A446" s="23" t="str">
        <f>IF(ISBLANK([1]PitScoutingInfo!A446),"",[1]PitScoutingInfo!A446)</f>
        <v/>
      </c>
      <c r="B446" s="23" t="str">
        <f>IF(ISBLANK([1]PitScoutingInfo!B446),"",[1]PitScoutingInfo!B446)</f>
        <v/>
      </c>
      <c r="C446" s="23" t="str">
        <f>IF(ISBLANK([1]PitScoutingInfo!J446),"",[1]PitScoutingInfo!J446)</f>
        <v/>
      </c>
      <c r="D446" s="23" t="str">
        <f>IF(ISBLANK([1]PitScoutingInfo!M446),"",[1]PitScoutingInfo!M446)</f>
        <v/>
      </c>
      <c r="E446" s="23" t="str">
        <f>IF(ISBLANK([1]PitScoutingInfo!N446),"",[1]PitScoutingInfo!N446)</f>
        <v/>
      </c>
      <c r="F446" s="23" t="str">
        <f>IF(ISBLANK([1]PitScoutingInfo!V446),"",[1]PitScoutingInfo!V446)</f>
        <v/>
      </c>
      <c r="G446" s="23" t="str">
        <f>IF(ISBLANK([1]PitScoutingInfo!W446),"",[1]PitScoutingInfo!W446)</f>
        <v/>
      </c>
      <c r="H446" s="23" t="str">
        <f>IF(ISBLANK([1]PitScoutingInfo!Z446),"",[1]PitScoutingInfo!Z446)</f>
        <v/>
      </c>
    </row>
    <row r="447" spans="1:8" x14ac:dyDescent="0.45">
      <c r="A447" s="23" t="str">
        <f>IF(ISBLANK([1]PitScoutingInfo!A447),"",[1]PitScoutingInfo!A447)</f>
        <v/>
      </c>
      <c r="B447" s="23" t="str">
        <f>IF(ISBLANK([1]PitScoutingInfo!B447),"",[1]PitScoutingInfo!B447)</f>
        <v/>
      </c>
      <c r="C447" s="23" t="str">
        <f>IF(ISBLANK([1]PitScoutingInfo!J447),"",[1]PitScoutingInfo!J447)</f>
        <v/>
      </c>
      <c r="D447" s="23" t="str">
        <f>IF(ISBLANK([1]PitScoutingInfo!M447),"",[1]PitScoutingInfo!M447)</f>
        <v/>
      </c>
      <c r="E447" s="23" t="str">
        <f>IF(ISBLANK([1]PitScoutingInfo!N447),"",[1]PitScoutingInfo!N447)</f>
        <v/>
      </c>
      <c r="F447" s="23" t="str">
        <f>IF(ISBLANK([1]PitScoutingInfo!V447),"",[1]PitScoutingInfo!V447)</f>
        <v/>
      </c>
      <c r="G447" s="23" t="str">
        <f>IF(ISBLANK([1]PitScoutingInfo!W447),"",[1]PitScoutingInfo!W447)</f>
        <v/>
      </c>
      <c r="H447" s="23" t="str">
        <f>IF(ISBLANK([1]PitScoutingInfo!Z447),"",[1]PitScoutingInfo!Z447)</f>
        <v/>
      </c>
    </row>
    <row r="448" spans="1:8" x14ac:dyDescent="0.45">
      <c r="A448" s="23" t="str">
        <f>IF(ISBLANK([1]PitScoutingInfo!A448),"",[1]PitScoutingInfo!A448)</f>
        <v/>
      </c>
      <c r="B448" s="23" t="str">
        <f>IF(ISBLANK([1]PitScoutingInfo!B448),"",[1]PitScoutingInfo!B448)</f>
        <v/>
      </c>
      <c r="C448" s="23" t="str">
        <f>IF(ISBLANK([1]PitScoutingInfo!J448),"",[1]PitScoutingInfo!J448)</f>
        <v/>
      </c>
      <c r="D448" s="23" t="str">
        <f>IF(ISBLANK([1]PitScoutingInfo!M448),"",[1]PitScoutingInfo!M448)</f>
        <v/>
      </c>
      <c r="E448" s="23" t="str">
        <f>IF(ISBLANK([1]PitScoutingInfo!N448),"",[1]PitScoutingInfo!N448)</f>
        <v/>
      </c>
      <c r="F448" s="23" t="str">
        <f>IF(ISBLANK([1]PitScoutingInfo!V448),"",[1]PitScoutingInfo!V448)</f>
        <v/>
      </c>
      <c r="G448" s="23" t="str">
        <f>IF(ISBLANK([1]PitScoutingInfo!W448),"",[1]PitScoutingInfo!W448)</f>
        <v/>
      </c>
      <c r="H448" s="23" t="str">
        <f>IF(ISBLANK([1]PitScoutingInfo!Z448),"",[1]PitScoutingInfo!Z448)</f>
        <v/>
      </c>
    </row>
    <row r="449" spans="1:8" x14ac:dyDescent="0.45">
      <c r="A449" s="23" t="str">
        <f>IF(ISBLANK([1]PitScoutingInfo!A449),"",[1]PitScoutingInfo!A449)</f>
        <v/>
      </c>
      <c r="B449" s="23" t="str">
        <f>IF(ISBLANK([1]PitScoutingInfo!B449),"",[1]PitScoutingInfo!B449)</f>
        <v/>
      </c>
      <c r="C449" s="23" t="str">
        <f>IF(ISBLANK([1]PitScoutingInfo!J449),"",[1]PitScoutingInfo!J449)</f>
        <v/>
      </c>
      <c r="D449" s="23" t="str">
        <f>IF(ISBLANK([1]PitScoutingInfo!M449),"",[1]PitScoutingInfo!M449)</f>
        <v/>
      </c>
      <c r="E449" s="23" t="str">
        <f>IF(ISBLANK([1]PitScoutingInfo!N449),"",[1]PitScoutingInfo!N449)</f>
        <v/>
      </c>
      <c r="F449" s="23" t="str">
        <f>IF(ISBLANK([1]PitScoutingInfo!V449),"",[1]PitScoutingInfo!V449)</f>
        <v/>
      </c>
      <c r="G449" s="23" t="str">
        <f>IF(ISBLANK([1]PitScoutingInfo!W449),"",[1]PitScoutingInfo!W449)</f>
        <v/>
      </c>
      <c r="H449" s="23" t="str">
        <f>IF(ISBLANK([1]PitScoutingInfo!Z449),"",[1]PitScoutingInfo!Z449)</f>
        <v/>
      </c>
    </row>
    <row r="450" spans="1:8" x14ac:dyDescent="0.45">
      <c r="A450" s="23" t="str">
        <f>IF(ISBLANK([1]PitScoutingInfo!A450),"",[1]PitScoutingInfo!A450)</f>
        <v/>
      </c>
      <c r="B450" s="23" t="str">
        <f>IF(ISBLANK([1]PitScoutingInfo!B450),"",[1]PitScoutingInfo!B450)</f>
        <v/>
      </c>
      <c r="C450" s="23" t="str">
        <f>IF(ISBLANK([1]PitScoutingInfo!J450),"",[1]PitScoutingInfo!J450)</f>
        <v/>
      </c>
      <c r="D450" s="23" t="str">
        <f>IF(ISBLANK([1]PitScoutingInfo!M450),"",[1]PitScoutingInfo!M450)</f>
        <v/>
      </c>
      <c r="E450" s="23" t="str">
        <f>IF(ISBLANK([1]PitScoutingInfo!N450),"",[1]PitScoutingInfo!N450)</f>
        <v/>
      </c>
      <c r="F450" s="23" t="str">
        <f>IF(ISBLANK([1]PitScoutingInfo!V450),"",[1]PitScoutingInfo!V450)</f>
        <v/>
      </c>
      <c r="G450" s="23" t="str">
        <f>IF(ISBLANK([1]PitScoutingInfo!W450),"",[1]PitScoutingInfo!W450)</f>
        <v/>
      </c>
      <c r="H450" s="23" t="str">
        <f>IF(ISBLANK([1]PitScoutingInfo!Z450),"",[1]PitScoutingInfo!Z450)</f>
        <v/>
      </c>
    </row>
    <row r="451" spans="1:8" x14ac:dyDescent="0.45">
      <c r="A451" s="23" t="str">
        <f>IF(ISBLANK([1]PitScoutingInfo!A451),"",[1]PitScoutingInfo!A451)</f>
        <v/>
      </c>
      <c r="B451" s="23" t="str">
        <f>IF(ISBLANK([1]PitScoutingInfo!B451),"",[1]PitScoutingInfo!B451)</f>
        <v/>
      </c>
      <c r="C451" s="23" t="str">
        <f>IF(ISBLANK([1]PitScoutingInfo!J451),"",[1]PitScoutingInfo!J451)</f>
        <v/>
      </c>
      <c r="D451" s="23" t="str">
        <f>IF(ISBLANK([1]PitScoutingInfo!M451),"",[1]PitScoutingInfo!M451)</f>
        <v/>
      </c>
      <c r="E451" s="23" t="str">
        <f>IF(ISBLANK([1]PitScoutingInfo!N451),"",[1]PitScoutingInfo!N451)</f>
        <v/>
      </c>
      <c r="F451" s="23" t="str">
        <f>IF(ISBLANK([1]PitScoutingInfo!V451),"",[1]PitScoutingInfo!V451)</f>
        <v/>
      </c>
      <c r="G451" s="23" t="str">
        <f>IF(ISBLANK([1]PitScoutingInfo!W451),"",[1]PitScoutingInfo!W451)</f>
        <v/>
      </c>
      <c r="H451" s="23" t="str">
        <f>IF(ISBLANK([1]PitScoutingInfo!Z451),"",[1]PitScoutingInfo!Z451)</f>
        <v/>
      </c>
    </row>
    <row r="452" spans="1:8" x14ac:dyDescent="0.45">
      <c r="A452" s="23" t="str">
        <f>IF(ISBLANK([1]PitScoutingInfo!A452),"",[1]PitScoutingInfo!A452)</f>
        <v/>
      </c>
      <c r="B452" s="23" t="str">
        <f>IF(ISBLANK([1]PitScoutingInfo!B452),"",[1]PitScoutingInfo!B452)</f>
        <v/>
      </c>
      <c r="C452" s="23" t="str">
        <f>IF(ISBLANK([1]PitScoutingInfo!J452),"",[1]PitScoutingInfo!J452)</f>
        <v/>
      </c>
      <c r="D452" s="23" t="str">
        <f>IF(ISBLANK([1]PitScoutingInfo!M452),"",[1]PitScoutingInfo!M452)</f>
        <v/>
      </c>
      <c r="E452" s="23" t="str">
        <f>IF(ISBLANK([1]PitScoutingInfo!N452),"",[1]PitScoutingInfo!N452)</f>
        <v/>
      </c>
      <c r="F452" s="23" t="str">
        <f>IF(ISBLANK([1]PitScoutingInfo!V452),"",[1]PitScoutingInfo!V452)</f>
        <v/>
      </c>
      <c r="G452" s="23" t="str">
        <f>IF(ISBLANK([1]PitScoutingInfo!W452),"",[1]PitScoutingInfo!W452)</f>
        <v/>
      </c>
      <c r="H452" s="23" t="str">
        <f>IF(ISBLANK([1]PitScoutingInfo!Z452),"",[1]PitScoutingInfo!Z452)</f>
        <v/>
      </c>
    </row>
    <row r="453" spans="1:8" x14ac:dyDescent="0.45">
      <c r="A453" s="23" t="str">
        <f>IF(ISBLANK([1]PitScoutingInfo!A453),"",[1]PitScoutingInfo!A453)</f>
        <v/>
      </c>
      <c r="B453" s="23" t="str">
        <f>IF(ISBLANK([1]PitScoutingInfo!B453),"",[1]PitScoutingInfo!B453)</f>
        <v/>
      </c>
      <c r="C453" s="23" t="str">
        <f>IF(ISBLANK([1]PitScoutingInfo!J453),"",[1]PitScoutingInfo!J453)</f>
        <v/>
      </c>
      <c r="D453" s="23" t="str">
        <f>IF(ISBLANK([1]PitScoutingInfo!M453),"",[1]PitScoutingInfo!M453)</f>
        <v/>
      </c>
      <c r="E453" s="23" t="str">
        <f>IF(ISBLANK([1]PitScoutingInfo!N453),"",[1]PitScoutingInfo!N453)</f>
        <v/>
      </c>
      <c r="F453" s="23" t="str">
        <f>IF(ISBLANK([1]PitScoutingInfo!V453),"",[1]PitScoutingInfo!V453)</f>
        <v/>
      </c>
      <c r="G453" s="23" t="str">
        <f>IF(ISBLANK([1]PitScoutingInfo!W453),"",[1]PitScoutingInfo!W453)</f>
        <v/>
      </c>
      <c r="H453" s="23" t="str">
        <f>IF(ISBLANK([1]PitScoutingInfo!Z453),"",[1]PitScoutingInfo!Z453)</f>
        <v/>
      </c>
    </row>
    <row r="454" spans="1:8" x14ac:dyDescent="0.45">
      <c r="A454" s="23" t="str">
        <f>IF(ISBLANK([1]PitScoutingInfo!A454),"",[1]PitScoutingInfo!A454)</f>
        <v/>
      </c>
      <c r="B454" s="23" t="str">
        <f>IF(ISBLANK([1]PitScoutingInfo!B454),"",[1]PitScoutingInfo!B454)</f>
        <v/>
      </c>
      <c r="C454" s="23" t="str">
        <f>IF(ISBLANK([1]PitScoutingInfo!J454),"",[1]PitScoutingInfo!J454)</f>
        <v/>
      </c>
      <c r="D454" s="23" t="str">
        <f>IF(ISBLANK([1]PitScoutingInfo!M454),"",[1]PitScoutingInfo!M454)</f>
        <v/>
      </c>
      <c r="E454" s="23" t="str">
        <f>IF(ISBLANK([1]PitScoutingInfo!N454),"",[1]PitScoutingInfo!N454)</f>
        <v/>
      </c>
      <c r="F454" s="23" t="str">
        <f>IF(ISBLANK([1]PitScoutingInfo!V454),"",[1]PitScoutingInfo!V454)</f>
        <v/>
      </c>
      <c r="G454" s="23" t="str">
        <f>IF(ISBLANK([1]PitScoutingInfo!W454),"",[1]PitScoutingInfo!W454)</f>
        <v/>
      </c>
      <c r="H454" s="23" t="str">
        <f>IF(ISBLANK([1]PitScoutingInfo!Z454),"",[1]PitScoutingInfo!Z454)</f>
        <v/>
      </c>
    </row>
    <row r="455" spans="1:8" x14ac:dyDescent="0.45">
      <c r="A455" s="23" t="str">
        <f>IF(ISBLANK([1]PitScoutingInfo!A455),"",[1]PitScoutingInfo!A455)</f>
        <v/>
      </c>
      <c r="B455" s="23" t="str">
        <f>IF(ISBLANK([1]PitScoutingInfo!B455),"",[1]PitScoutingInfo!B455)</f>
        <v/>
      </c>
      <c r="C455" s="23" t="str">
        <f>IF(ISBLANK([1]PitScoutingInfo!J455),"",[1]PitScoutingInfo!J455)</f>
        <v/>
      </c>
      <c r="D455" s="23" t="str">
        <f>IF(ISBLANK([1]PitScoutingInfo!M455),"",[1]PitScoutingInfo!M455)</f>
        <v/>
      </c>
      <c r="E455" s="23" t="str">
        <f>IF(ISBLANK([1]PitScoutingInfo!N455),"",[1]PitScoutingInfo!N455)</f>
        <v/>
      </c>
      <c r="F455" s="23" t="str">
        <f>IF(ISBLANK([1]PitScoutingInfo!V455),"",[1]PitScoutingInfo!V455)</f>
        <v/>
      </c>
      <c r="G455" s="23" t="str">
        <f>IF(ISBLANK([1]PitScoutingInfo!W455),"",[1]PitScoutingInfo!W455)</f>
        <v/>
      </c>
      <c r="H455" s="23" t="str">
        <f>IF(ISBLANK([1]PitScoutingInfo!Z455),"",[1]PitScoutingInfo!Z455)</f>
        <v/>
      </c>
    </row>
    <row r="456" spans="1:8" x14ac:dyDescent="0.45">
      <c r="A456" s="23" t="str">
        <f>IF(ISBLANK([1]PitScoutingInfo!A456),"",[1]PitScoutingInfo!A456)</f>
        <v/>
      </c>
      <c r="B456" s="23" t="str">
        <f>IF(ISBLANK([1]PitScoutingInfo!B456),"",[1]PitScoutingInfo!B456)</f>
        <v/>
      </c>
      <c r="C456" s="23" t="str">
        <f>IF(ISBLANK([1]PitScoutingInfo!J456),"",[1]PitScoutingInfo!J456)</f>
        <v/>
      </c>
      <c r="D456" s="23" t="str">
        <f>IF(ISBLANK([1]PitScoutingInfo!M456),"",[1]PitScoutingInfo!M456)</f>
        <v/>
      </c>
      <c r="E456" s="23" t="str">
        <f>IF(ISBLANK([1]PitScoutingInfo!N456),"",[1]PitScoutingInfo!N456)</f>
        <v/>
      </c>
      <c r="F456" s="23" t="str">
        <f>IF(ISBLANK([1]PitScoutingInfo!V456),"",[1]PitScoutingInfo!V456)</f>
        <v/>
      </c>
      <c r="G456" s="23" t="str">
        <f>IF(ISBLANK([1]PitScoutingInfo!W456),"",[1]PitScoutingInfo!W456)</f>
        <v/>
      </c>
      <c r="H456" s="23" t="str">
        <f>IF(ISBLANK([1]PitScoutingInfo!Z456),"",[1]PitScoutingInfo!Z456)</f>
        <v/>
      </c>
    </row>
    <row r="457" spans="1:8" x14ac:dyDescent="0.45">
      <c r="A457" s="23" t="str">
        <f>IF(ISBLANK([1]PitScoutingInfo!A457),"",[1]PitScoutingInfo!A457)</f>
        <v/>
      </c>
      <c r="B457" s="23" t="str">
        <f>IF(ISBLANK([1]PitScoutingInfo!B457),"",[1]PitScoutingInfo!B457)</f>
        <v/>
      </c>
      <c r="C457" s="23" t="str">
        <f>IF(ISBLANK([1]PitScoutingInfo!J457),"",[1]PitScoutingInfo!J457)</f>
        <v/>
      </c>
      <c r="D457" s="23" t="str">
        <f>IF(ISBLANK([1]PitScoutingInfo!M457),"",[1]PitScoutingInfo!M457)</f>
        <v/>
      </c>
      <c r="E457" s="23" t="str">
        <f>IF(ISBLANK([1]PitScoutingInfo!N457),"",[1]PitScoutingInfo!N457)</f>
        <v/>
      </c>
      <c r="F457" s="23" t="str">
        <f>IF(ISBLANK([1]PitScoutingInfo!V457),"",[1]PitScoutingInfo!V457)</f>
        <v/>
      </c>
      <c r="G457" s="23" t="str">
        <f>IF(ISBLANK([1]PitScoutingInfo!W457),"",[1]PitScoutingInfo!W457)</f>
        <v/>
      </c>
      <c r="H457" s="23" t="str">
        <f>IF(ISBLANK([1]PitScoutingInfo!Z457),"",[1]PitScoutingInfo!Z457)</f>
        <v/>
      </c>
    </row>
    <row r="458" spans="1:8" x14ac:dyDescent="0.45">
      <c r="A458" s="23" t="str">
        <f>IF(ISBLANK([1]PitScoutingInfo!A458),"",[1]PitScoutingInfo!A458)</f>
        <v/>
      </c>
      <c r="B458" s="23" t="str">
        <f>IF(ISBLANK([1]PitScoutingInfo!B458),"",[1]PitScoutingInfo!B458)</f>
        <v/>
      </c>
      <c r="C458" s="23" t="str">
        <f>IF(ISBLANK([1]PitScoutingInfo!J458),"",[1]PitScoutingInfo!J458)</f>
        <v/>
      </c>
      <c r="D458" s="23" t="str">
        <f>IF(ISBLANK([1]PitScoutingInfo!M458),"",[1]PitScoutingInfo!M458)</f>
        <v/>
      </c>
      <c r="E458" s="23" t="str">
        <f>IF(ISBLANK([1]PitScoutingInfo!N458),"",[1]PitScoutingInfo!N458)</f>
        <v/>
      </c>
      <c r="F458" s="23" t="str">
        <f>IF(ISBLANK([1]PitScoutingInfo!V458),"",[1]PitScoutingInfo!V458)</f>
        <v/>
      </c>
      <c r="G458" s="23" t="str">
        <f>IF(ISBLANK([1]PitScoutingInfo!W458),"",[1]PitScoutingInfo!W458)</f>
        <v/>
      </c>
      <c r="H458" s="23" t="str">
        <f>IF(ISBLANK([1]PitScoutingInfo!Z458),"",[1]PitScoutingInfo!Z458)</f>
        <v/>
      </c>
    </row>
    <row r="459" spans="1:8" x14ac:dyDescent="0.45">
      <c r="A459" s="23" t="str">
        <f>IF(ISBLANK([1]PitScoutingInfo!A459),"",[1]PitScoutingInfo!A459)</f>
        <v/>
      </c>
      <c r="B459" s="23" t="str">
        <f>IF(ISBLANK([1]PitScoutingInfo!B459),"",[1]PitScoutingInfo!B459)</f>
        <v/>
      </c>
      <c r="C459" s="23" t="str">
        <f>IF(ISBLANK([1]PitScoutingInfo!J459),"",[1]PitScoutingInfo!J459)</f>
        <v/>
      </c>
      <c r="D459" s="23" t="str">
        <f>IF(ISBLANK([1]PitScoutingInfo!M459),"",[1]PitScoutingInfo!M459)</f>
        <v/>
      </c>
      <c r="E459" s="23" t="str">
        <f>IF(ISBLANK([1]PitScoutingInfo!N459),"",[1]PitScoutingInfo!N459)</f>
        <v/>
      </c>
      <c r="F459" s="23" t="str">
        <f>IF(ISBLANK([1]PitScoutingInfo!V459),"",[1]PitScoutingInfo!V459)</f>
        <v/>
      </c>
      <c r="G459" s="23" t="str">
        <f>IF(ISBLANK([1]PitScoutingInfo!W459),"",[1]PitScoutingInfo!W459)</f>
        <v/>
      </c>
      <c r="H459" s="23" t="str">
        <f>IF(ISBLANK([1]PitScoutingInfo!Z459),"",[1]PitScoutingInfo!Z459)</f>
        <v/>
      </c>
    </row>
    <row r="460" spans="1:8" x14ac:dyDescent="0.45">
      <c r="A460" s="23" t="str">
        <f>IF(ISBLANK([1]PitScoutingInfo!A460),"",[1]PitScoutingInfo!A460)</f>
        <v/>
      </c>
      <c r="B460" s="23" t="str">
        <f>IF(ISBLANK([1]PitScoutingInfo!B460),"",[1]PitScoutingInfo!B460)</f>
        <v/>
      </c>
      <c r="C460" s="23" t="str">
        <f>IF(ISBLANK([1]PitScoutingInfo!J460),"",[1]PitScoutingInfo!J460)</f>
        <v/>
      </c>
      <c r="D460" s="23" t="str">
        <f>IF(ISBLANK([1]PitScoutingInfo!M460),"",[1]PitScoutingInfo!M460)</f>
        <v/>
      </c>
      <c r="E460" s="23" t="str">
        <f>IF(ISBLANK([1]PitScoutingInfo!N460),"",[1]PitScoutingInfo!N460)</f>
        <v/>
      </c>
      <c r="F460" s="23" t="str">
        <f>IF(ISBLANK([1]PitScoutingInfo!V460),"",[1]PitScoutingInfo!V460)</f>
        <v/>
      </c>
      <c r="G460" s="23" t="str">
        <f>IF(ISBLANK([1]PitScoutingInfo!W460),"",[1]PitScoutingInfo!W460)</f>
        <v/>
      </c>
      <c r="H460" s="23" t="str">
        <f>IF(ISBLANK([1]PitScoutingInfo!Z460),"",[1]PitScoutingInfo!Z460)</f>
        <v/>
      </c>
    </row>
    <row r="461" spans="1:8" x14ac:dyDescent="0.45">
      <c r="A461" s="23" t="str">
        <f>IF(ISBLANK([1]PitScoutingInfo!A461),"",[1]PitScoutingInfo!A461)</f>
        <v/>
      </c>
      <c r="B461" s="23" t="str">
        <f>IF(ISBLANK([1]PitScoutingInfo!B461),"",[1]PitScoutingInfo!B461)</f>
        <v/>
      </c>
      <c r="C461" s="23" t="str">
        <f>IF(ISBLANK([1]PitScoutingInfo!J461),"",[1]PitScoutingInfo!J461)</f>
        <v/>
      </c>
      <c r="D461" s="23" t="str">
        <f>IF(ISBLANK([1]PitScoutingInfo!M461),"",[1]PitScoutingInfo!M461)</f>
        <v/>
      </c>
      <c r="E461" s="23" t="str">
        <f>IF(ISBLANK([1]PitScoutingInfo!N461),"",[1]PitScoutingInfo!N461)</f>
        <v/>
      </c>
      <c r="F461" s="23" t="str">
        <f>IF(ISBLANK([1]PitScoutingInfo!V461),"",[1]PitScoutingInfo!V461)</f>
        <v/>
      </c>
      <c r="G461" s="23" t="str">
        <f>IF(ISBLANK([1]PitScoutingInfo!W461),"",[1]PitScoutingInfo!W461)</f>
        <v/>
      </c>
      <c r="H461" s="23" t="str">
        <f>IF(ISBLANK([1]PitScoutingInfo!Z461),"",[1]PitScoutingInfo!Z461)</f>
        <v/>
      </c>
    </row>
    <row r="462" spans="1:8" x14ac:dyDescent="0.45">
      <c r="A462" s="23" t="str">
        <f>IF(ISBLANK([1]PitScoutingInfo!A462),"",[1]PitScoutingInfo!A462)</f>
        <v/>
      </c>
      <c r="B462" s="23" t="str">
        <f>IF(ISBLANK([1]PitScoutingInfo!B462),"",[1]PitScoutingInfo!B462)</f>
        <v/>
      </c>
      <c r="C462" s="23" t="str">
        <f>IF(ISBLANK([1]PitScoutingInfo!J462),"",[1]PitScoutingInfo!J462)</f>
        <v/>
      </c>
      <c r="D462" s="23" t="str">
        <f>IF(ISBLANK([1]PitScoutingInfo!M462),"",[1]PitScoutingInfo!M462)</f>
        <v/>
      </c>
      <c r="E462" s="23" t="str">
        <f>IF(ISBLANK([1]PitScoutingInfo!N462),"",[1]PitScoutingInfo!N462)</f>
        <v/>
      </c>
      <c r="F462" s="23" t="str">
        <f>IF(ISBLANK([1]PitScoutingInfo!V462),"",[1]PitScoutingInfo!V462)</f>
        <v/>
      </c>
      <c r="G462" s="23" t="str">
        <f>IF(ISBLANK([1]PitScoutingInfo!W462),"",[1]PitScoutingInfo!W462)</f>
        <v/>
      </c>
      <c r="H462" s="23" t="str">
        <f>IF(ISBLANK([1]PitScoutingInfo!Z462),"",[1]PitScoutingInfo!Z462)</f>
        <v/>
      </c>
    </row>
    <row r="463" spans="1:8" x14ac:dyDescent="0.45">
      <c r="A463" s="23" t="str">
        <f>IF(ISBLANK([1]PitScoutingInfo!A463),"",[1]PitScoutingInfo!A463)</f>
        <v/>
      </c>
      <c r="B463" s="23" t="str">
        <f>IF(ISBLANK([1]PitScoutingInfo!B463),"",[1]PitScoutingInfo!B463)</f>
        <v/>
      </c>
      <c r="C463" s="23" t="str">
        <f>IF(ISBLANK([1]PitScoutingInfo!J463),"",[1]PitScoutingInfo!J463)</f>
        <v/>
      </c>
      <c r="D463" s="23" t="str">
        <f>IF(ISBLANK([1]PitScoutingInfo!M463),"",[1]PitScoutingInfo!M463)</f>
        <v/>
      </c>
      <c r="E463" s="23" t="str">
        <f>IF(ISBLANK([1]PitScoutingInfo!N463),"",[1]PitScoutingInfo!N463)</f>
        <v/>
      </c>
      <c r="F463" s="23" t="str">
        <f>IF(ISBLANK([1]PitScoutingInfo!V463),"",[1]PitScoutingInfo!V463)</f>
        <v/>
      </c>
      <c r="G463" s="23" t="str">
        <f>IF(ISBLANK([1]PitScoutingInfo!W463),"",[1]PitScoutingInfo!W463)</f>
        <v/>
      </c>
      <c r="H463" s="23" t="str">
        <f>IF(ISBLANK([1]PitScoutingInfo!Z463),"",[1]PitScoutingInfo!Z463)</f>
        <v/>
      </c>
    </row>
    <row r="464" spans="1:8" x14ac:dyDescent="0.45">
      <c r="A464" s="23" t="str">
        <f>IF(ISBLANK([1]PitScoutingInfo!A464),"",[1]PitScoutingInfo!A464)</f>
        <v/>
      </c>
      <c r="B464" s="23" t="str">
        <f>IF(ISBLANK([1]PitScoutingInfo!B464),"",[1]PitScoutingInfo!B464)</f>
        <v/>
      </c>
      <c r="C464" s="23" t="str">
        <f>IF(ISBLANK([1]PitScoutingInfo!J464),"",[1]PitScoutingInfo!J464)</f>
        <v/>
      </c>
      <c r="D464" s="23" t="str">
        <f>IF(ISBLANK([1]PitScoutingInfo!M464),"",[1]PitScoutingInfo!M464)</f>
        <v/>
      </c>
      <c r="E464" s="23" t="str">
        <f>IF(ISBLANK([1]PitScoutingInfo!N464),"",[1]PitScoutingInfo!N464)</f>
        <v/>
      </c>
      <c r="F464" s="23" t="str">
        <f>IF(ISBLANK([1]PitScoutingInfo!V464),"",[1]PitScoutingInfo!V464)</f>
        <v/>
      </c>
      <c r="G464" s="23" t="str">
        <f>IF(ISBLANK([1]PitScoutingInfo!W464),"",[1]PitScoutingInfo!W464)</f>
        <v/>
      </c>
      <c r="H464" s="23" t="str">
        <f>IF(ISBLANK([1]PitScoutingInfo!Z464),"",[1]PitScoutingInfo!Z464)</f>
        <v/>
      </c>
    </row>
    <row r="465" spans="1:8" x14ac:dyDescent="0.45">
      <c r="A465" s="23" t="str">
        <f>IF(ISBLANK([1]PitScoutingInfo!A465),"",[1]PitScoutingInfo!A465)</f>
        <v/>
      </c>
      <c r="B465" s="23" t="str">
        <f>IF(ISBLANK([1]PitScoutingInfo!B465),"",[1]PitScoutingInfo!B465)</f>
        <v/>
      </c>
      <c r="C465" s="23" t="str">
        <f>IF(ISBLANK([1]PitScoutingInfo!J465),"",[1]PitScoutingInfo!J465)</f>
        <v/>
      </c>
      <c r="D465" s="23" t="str">
        <f>IF(ISBLANK([1]PitScoutingInfo!M465),"",[1]PitScoutingInfo!M465)</f>
        <v/>
      </c>
      <c r="E465" s="23" t="str">
        <f>IF(ISBLANK([1]PitScoutingInfo!N465),"",[1]PitScoutingInfo!N465)</f>
        <v/>
      </c>
      <c r="F465" s="23" t="str">
        <f>IF(ISBLANK([1]PitScoutingInfo!V465),"",[1]PitScoutingInfo!V465)</f>
        <v/>
      </c>
      <c r="G465" s="23" t="str">
        <f>IF(ISBLANK([1]PitScoutingInfo!W465),"",[1]PitScoutingInfo!W465)</f>
        <v/>
      </c>
      <c r="H465" s="23" t="str">
        <f>IF(ISBLANK([1]PitScoutingInfo!Z465),"",[1]PitScoutingInfo!Z465)</f>
        <v/>
      </c>
    </row>
    <row r="466" spans="1:8" x14ac:dyDescent="0.45">
      <c r="A466" s="23" t="str">
        <f>IF(ISBLANK([1]PitScoutingInfo!A466),"",[1]PitScoutingInfo!A466)</f>
        <v/>
      </c>
      <c r="B466" s="23" t="str">
        <f>IF(ISBLANK([1]PitScoutingInfo!B466),"",[1]PitScoutingInfo!B466)</f>
        <v/>
      </c>
      <c r="C466" s="23" t="str">
        <f>IF(ISBLANK([1]PitScoutingInfo!J466),"",[1]PitScoutingInfo!J466)</f>
        <v/>
      </c>
      <c r="D466" s="23" t="str">
        <f>IF(ISBLANK([1]PitScoutingInfo!M466),"",[1]PitScoutingInfo!M466)</f>
        <v/>
      </c>
      <c r="E466" s="23" t="str">
        <f>IF(ISBLANK([1]PitScoutingInfo!N466),"",[1]PitScoutingInfo!N466)</f>
        <v/>
      </c>
      <c r="F466" s="23" t="str">
        <f>IF(ISBLANK([1]PitScoutingInfo!V466),"",[1]PitScoutingInfo!V466)</f>
        <v/>
      </c>
      <c r="G466" s="23" t="str">
        <f>IF(ISBLANK([1]PitScoutingInfo!W466),"",[1]PitScoutingInfo!W466)</f>
        <v/>
      </c>
      <c r="H466" s="23" t="str">
        <f>IF(ISBLANK([1]PitScoutingInfo!Z466),"",[1]PitScoutingInfo!Z466)</f>
        <v/>
      </c>
    </row>
    <row r="467" spans="1:8" x14ac:dyDescent="0.45">
      <c r="A467" s="23" t="str">
        <f>IF(ISBLANK([1]PitScoutingInfo!A467),"",[1]PitScoutingInfo!A467)</f>
        <v/>
      </c>
      <c r="B467" s="23" t="str">
        <f>IF(ISBLANK([1]PitScoutingInfo!B467),"",[1]PitScoutingInfo!B467)</f>
        <v/>
      </c>
      <c r="C467" s="23" t="str">
        <f>IF(ISBLANK([1]PitScoutingInfo!J467),"",[1]PitScoutingInfo!J467)</f>
        <v/>
      </c>
      <c r="D467" s="23" t="str">
        <f>IF(ISBLANK([1]PitScoutingInfo!M467),"",[1]PitScoutingInfo!M467)</f>
        <v/>
      </c>
      <c r="E467" s="23" t="str">
        <f>IF(ISBLANK([1]PitScoutingInfo!N467),"",[1]PitScoutingInfo!N467)</f>
        <v/>
      </c>
      <c r="F467" s="23" t="str">
        <f>IF(ISBLANK([1]PitScoutingInfo!V467),"",[1]PitScoutingInfo!V467)</f>
        <v/>
      </c>
      <c r="G467" s="23" t="str">
        <f>IF(ISBLANK([1]PitScoutingInfo!W467),"",[1]PitScoutingInfo!W467)</f>
        <v/>
      </c>
      <c r="H467" s="23" t="str">
        <f>IF(ISBLANK([1]PitScoutingInfo!Z467),"",[1]PitScoutingInfo!Z467)</f>
        <v/>
      </c>
    </row>
    <row r="468" spans="1:8" x14ac:dyDescent="0.45">
      <c r="A468" s="23" t="str">
        <f>IF(ISBLANK([1]PitScoutingInfo!A468),"",[1]PitScoutingInfo!A468)</f>
        <v/>
      </c>
      <c r="B468" s="23" t="str">
        <f>IF(ISBLANK([1]PitScoutingInfo!B468),"",[1]PitScoutingInfo!B468)</f>
        <v/>
      </c>
      <c r="C468" s="23" t="str">
        <f>IF(ISBLANK([1]PitScoutingInfo!J468),"",[1]PitScoutingInfo!J468)</f>
        <v/>
      </c>
      <c r="D468" s="23" t="str">
        <f>IF(ISBLANK([1]PitScoutingInfo!M468),"",[1]PitScoutingInfo!M468)</f>
        <v/>
      </c>
      <c r="E468" s="23" t="str">
        <f>IF(ISBLANK([1]PitScoutingInfo!N468),"",[1]PitScoutingInfo!N468)</f>
        <v/>
      </c>
      <c r="F468" s="23" t="str">
        <f>IF(ISBLANK([1]PitScoutingInfo!V468),"",[1]PitScoutingInfo!V468)</f>
        <v/>
      </c>
      <c r="G468" s="23" t="str">
        <f>IF(ISBLANK([1]PitScoutingInfo!W468),"",[1]PitScoutingInfo!W468)</f>
        <v/>
      </c>
      <c r="H468" s="23" t="str">
        <f>IF(ISBLANK([1]PitScoutingInfo!Z468),"",[1]PitScoutingInfo!Z468)</f>
        <v/>
      </c>
    </row>
    <row r="469" spans="1:8" x14ac:dyDescent="0.45">
      <c r="A469" s="23" t="str">
        <f>IF(ISBLANK([1]PitScoutingInfo!A469),"",[1]PitScoutingInfo!A469)</f>
        <v/>
      </c>
      <c r="B469" s="23" t="str">
        <f>IF(ISBLANK([1]PitScoutingInfo!B469),"",[1]PitScoutingInfo!B469)</f>
        <v/>
      </c>
      <c r="C469" s="23" t="str">
        <f>IF(ISBLANK([1]PitScoutingInfo!J469),"",[1]PitScoutingInfo!J469)</f>
        <v/>
      </c>
      <c r="D469" s="23" t="str">
        <f>IF(ISBLANK([1]PitScoutingInfo!M469),"",[1]PitScoutingInfo!M469)</f>
        <v/>
      </c>
      <c r="E469" s="23" t="str">
        <f>IF(ISBLANK([1]PitScoutingInfo!N469),"",[1]PitScoutingInfo!N469)</f>
        <v/>
      </c>
      <c r="F469" s="23" t="str">
        <f>IF(ISBLANK([1]PitScoutingInfo!V469),"",[1]PitScoutingInfo!V469)</f>
        <v/>
      </c>
      <c r="G469" s="23" t="str">
        <f>IF(ISBLANK([1]PitScoutingInfo!W469),"",[1]PitScoutingInfo!W469)</f>
        <v/>
      </c>
      <c r="H469" s="23" t="str">
        <f>IF(ISBLANK([1]PitScoutingInfo!Z469),"",[1]PitScoutingInfo!Z469)</f>
        <v/>
      </c>
    </row>
    <row r="470" spans="1:8" x14ac:dyDescent="0.45">
      <c r="A470" s="23" t="str">
        <f>IF(ISBLANK([1]PitScoutingInfo!A470),"",[1]PitScoutingInfo!A470)</f>
        <v/>
      </c>
      <c r="B470" s="23" t="str">
        <f>IF(ISBLANK([1]PitScoutingInfo!B470),"",[1]PitScoutingInfo!B470)</f>
        <v/>
      </c>
      <c r="C470" s="23" t="str">
        <f>IF(ISBLANK([1]PitScoutingInfo!J470),"",[1]PitScoutingInfo!J470)</f>
        <v/>
      </c>
      <c r="D470" s="23" t="str">
        <f>IF(ISBLANK([1]PitScoutingInfo!M470),"",[1]PitScoutingInfo!M470)</f>
        <v/>
      </c>
      <c r="E470" s="23" t="str">
        <f>IF(ISBLANK([1]PitScoutingInfo!N470),"",[1]PitScoutingInfo!N470)</f>
        <v/>
      </c>
      <c r="F470" s="23" t="str">
        <f>IF(ISBLANK([1]PitScoutingInfo!V470),"",[1]PitScoutingInfo!V470)</f>
        <v/>
      </c>
      <c r="G470" s="23" t="str">
        <f>IF(ISBLANK([1]PitScoutingInfo!W470),"",[1]PitScoutingInfo!W470)</f>
        <v/>
      </c>
      <c r="H470" s="23" t="str">
        <f>IF(ISBLANK([1]PitScoutingInfo!Z470),"",[1]PitScoutingInfo!Z470)</f>
        <v/>
      </c>
    </row>
    <row r="471" spans="1:8" x14ac:dyDescent="0.45">
      <c r="A471" s="23" t="str">
        <f>IF(ISBLANK([1]PitScoutingInfo!A471),"",[1]PitScoutingInfo!A471)</f>
        <v/>
      </c>
      <c r="B471" s="23" t="str">
        <f>IF(ISBLANK([1]PitScoutingInfo!B471),"",[1]PitScoutingInfo!B471)</f>
        <v/>
      </c>
      <c r="C471" s="23" t="str">
        <f>IF(ISBLANK([1]PitScoutingInfo!J471),"",[1]PitScoutingInfo!J471)</f>
        <v/>
      </c>
      <c r="D471" s="23" t="str">
        <f>IF(ISBLANK([1]PitScoutingInfo!M471),"",[1]PitScoutingInfo!M471)</f>
        <v/>
      </c>
      <c r="E471" s="23" t="str">
        <f>IF(ISBLANK([1]PitScoutingInfo!N471),"",[1]PitScoutingInfo!N471)</f>
        <v/>
      </c>
      <c r="F471" s="23" t="str">
        <f>IF(ISBLANK([1]PitScoutingInfo!V471),"",[1]PitScoutingInfo!V471)</f>
        <v/>
      </c>
      <c r="G471" s="23" t="str">
        <f>IF(ISBLANK([1]PitScoutingInfo!W471),"",[1]PitScoutingInfo!W471)</f>
        <v/>
      </c>
      <c r="H471" s="23" t="str">
        <f>IF(ISBLANK([1]PitScoutingInfo!Z471),"",[1]PitScoutingInfo!Z471)</f>
        <v/>
      </c>
    </row>
    <row r="472" spans="1:8" x14ac:dyDescent="0.45">
      <c r="A472" s="23" t="str">
        <f>IF(ISBLANK([1]PitScoutingInfo!A472),"",[1]PitScoutingInfo!A472)</f>
        <v/>
      </c>
      <c r="B472" s="23" t="str">
        <f>IF(ISBLANK([1]PitScoutingInfo!B472),"",[1]PitScoutingInfo!B472)</f>
        <v/>
      </c>
      <c r="C472" s="23" t="str">
        <f>IF(ISBLANK([1]PitScoutingInfo!J472),"",[1]PitScoutingInfo!J472)</f>
        <v/>
      </c>
      <c r="D472" s="23" t="str">
        <f>IF(ISBLANK([1]PitScoutingInfo!M472),"",[1]PitScoutingInfo!M472)</f>
        <v/>
      </c>
      <c r="E472" s="23" t="str">
        <f>IF(ISBLANK([1]PitScoutingInfo!N472),"",[1]PitScoutingInfo!N472)</f>
        <v/>
      </c>
      <c r="F472" s="23" t="str">
        <f>IF(ISBLANK([1]PitScoutingInfo!V472),"",[1]PitScoutingInfo!V472)</f>
        <v/>
      </c>
      <c r="G472" s="23" t="str">
        <f>IF(ISBLANK([1]PitScoutingInfo!W472),"",[1]PitScoutingInfo!W472)</f>
        <v/>
      </c>
      <c r="H472" s="23" t="str">
        <f>IF(ISBLANK([1]PitScoutingInfo!Z472),"",[1]PitScoutingInfo!Z472)</f>
        <v/>
      </c>
    </row>
    <row r="473" spans="1:8" x14ac:dyDescent="0.45">
      <c r="A473" s="23" t="str">
        <f>IF(ISBLANK([1]PitScoutingInfo!A473),"",[1]PitScoutingInfo!A473)</f>
        <v/>
      </c>
      <c r="B473" s="23" t="str">
        <f>IF(ISBLANK([1]PitScoutingInfo!B473),"",[1]PitScoutingInfo!B473)</f>
        <v/>
      </c>
      <c r="C473" s="23" t="str">
        <f>IF(ISBLANK([1]PitScoutingInfo!J473),"",[1]PitScoutingInfo!J473)</f>
        <v/>
      </c>
      <c r="D473" s="23" t="str">
        <f>IF(ISBLANK([1]PitScoutingInfo!M473),"",[1]PitScoutingInfo!M473)</f>
        <v/>
      </c>
      <c r="E473" s="23" t="str">
        <f>IF(ISBLANK([1]PitScoutingInfo!N473),"",[1]PitScoutingInfo!N473)</f>
        <v/>
      </c>
      <c r="F473" s="23" t="str">
        <f>IF(ISBLANK([1]PitScoutingInfo!V473),"",[1]PitScoutingInfo!V473)</f>
        <v/>
      </c>
      <c r="G473" s="23" t="str">
        <f>IF(ISBLANK([1]PitScoutingInfo!W473),"",[1]PitScoutingInfo!W473)</f>
        <v/>
      </c>
      <c r="H473" s="23" t="str">
        <f>IF(ISBLANK([1]PitScoutingInfo!Z473),"",[1]PitScoutingInfo!Z473)</f>
        <v/>
      </c>
    </row>
    <row r="474" spans="1:8" x14ac:dyDescent="0.45">
      <c r="A474" s="23" t="str">
        <f>IF(ISBLANK([1]PitScoutingInfo!A474),"",[1]PitScoutingInfo!A474)</f>
        <v/>
      </c>
      <c r="B474" s="23" t="str">
        <f>IF(ISBLANK([1]PitScoutingInfo!B474),"",[1]PitScoutingInfo!B474)</f>
        <v/>
      </c>
      <c r="C474" s="23" t="str">
        <f>IF(ISBLANK([1]PitScoutingInfo!J474),"",[1]PitScoutingInfo!J474)</f>
        <v/>
      </c>
      <c r="D474" s="23" t="str">
        <f>IF(ISBLANK([1]PitScoutingInfo!M474),"",[1]PitScoutingInfo!M474)</f>
        <v/>
      </c>
      <c r="E474" s="23" t="str">
        <f>IF(ISBLANK([1]PitScoutingInfo!N474),"",[1]PitScoutingInfo!N474)</f>
        <v/>
      </c>
      <c r="F474" s="23" t="str">
        <f>IF(ISBLANK([1]PitScoutingInfo!V474),"",[1]PitScoutingInfo!V474)</f>
        <v/>
      </c>
      <c r="G474" s="23" t="str">
        <f>IF(ISBLANK([1]PitScoutingInfo!W474),"",[1]PitScoutingInfo!W474)</f>
        <v/>
      </c>
      <c r="H474" s="23" t="str">
        <f>IF(ISBLANK([1]PitScoutingInfo!Z474),"",[1]PitScoutingInfo!Z474)</f>
        <v/>
      </c>
    </row>
    <row r="475" spans="1:8" x14ac:dyDescent="0.45">
      <c r="A475" s="23" t="str">
        <f>IF(ISBLANK([1]PitScoutingInfo!A475),"",[1]PitScoutingInfo!A475)</f>
        <v/>
      </c>
      <c r="B475" s="23" t="str">
        <f>IF(ISBLANK([1]PitScoutingInfo!B475),"",[1]PitScoutingInfo!B475)</f>
        <v/>
      </c>
      <c r="C475" s="23" t="str">
        <f>IF(ISBLANK([1]PitScoutingInfo!J475),"",[1]PitScoutingInfo!J475)</f>
        <v/>
      </c>
      <c r="D475" s="23" t="str">
        <f>IF(ISBLANK([1]PitScoutingInfo!M475),"",[1]PitScoutingInfo!M475)</f>
        <v/>
      </c>
      <c r="E475" s="23" t="str">
        <f>IF(ISBLANK([1]PitScoutingInfo!N475),"",[1]PitScoutingInfo!N475)</f>
        <v/>
      </c>
      <c r="F475" s="23" t="str">
        <f>IF(ISBLANK([1]PitScoutingInfo!V475),"",[1]PitScoutingInfo!V475)</f>
        <v/>
      </c>
      <c r="G475" s="23" t="str">
        <f>IF(ISBLANK([1]PitScoutingInfo!W475),"",[1]PitScoutingInfo!W475)</f>
        <v/>
      </c>
      <c r="H475" s="23" t="str">
        <f>IF(ISBLANK([1]PitScoutingInfo!Z475),"",[1]PitScoutingInfo!Z475)</f>
        <v/>
      </c>
    </row>
    <row r="476" spans="1:8" x14ac:dyDescent="0.45">
      <c r="A476" s="23" t="str">
        <f>IF(ISBLANK([1]PitScoutingInfo!A476),"",[1]PitScoutingInfo!A476)</f>
        <v/>
      </c>
      <c r="B476" s="23" t="str">
        <f>IF(ISBLANK([1]PitScoutingInfo!B476),"",[1]PitScoutingInfo!B476)</f>
        <v/>
      </c>
      <c r="C476" s="23" t="str">
        <f>IF(ISBLANK([1]PitScoutingInfo!J476),"",[1]PitScoutingInfo!J476)</f>
        <v/>
      </c>
      <c r="D476" s="23" t="str">
        <f>IF(ISBLANK([1]PitScoutingInfo!M476),"",[1]PitScoutingInfo!M476)</f>
        <v/>
      </c>
      <c r="E476" s="23" t="str">
        <f>IF(ISBLANK([1]PitScoutingInfo!N476),"",[1]PitScoutingInfo!N476)</f>
        <v/>
      </c>
      <c r="F476" s="23" t="str">
        <f>IF(ISBLANK([1]PitScoutingInfo!V476),"",[1]PitScoutingInfo!V476)</f>
        <v/>
      </c>
      <c r="G476" s="23" t="str">
        <f>IF(ISBLANK([1]PitScoutingInfo!W476),"",[1]PitScoutingInfo!W476)</f>
        <v/>
      </c>
      <c r="H476" s="23" t="str">
        <f>IF(ISBLANK([1]PitScoutingInfo!Z476),"",[1]PitScoutingInfo!Z476)</f>
        <v/>
      </c>
    </row>
    <row r="477" spans="1:8" x14ac:dyDescent="0.45">
      <c r="A477" s="23" t="str">
        <f>IF(ISBLANK([1]PitScoutingInfo!A477),"",[1]PitScoutingInfo!A477)</f>
        <v/>
      </c>
      <c r="B477" s="23" t="str">
        <f>IF(ISBLANK([1]PitScoutingInfo!B477),"",[1]PitScoutingInfo!B477)</f>
        <v/>
      </c>
      <c r="C477" s="23" t="str">
        <f>IF(ISBLANK([1]PitScoutingInfo!J477),"",[1]PitScoutingInfo!J477)</f>
        <v/>
      </c>
      <c r="D477" s="23" t="str">
        <f>IF(ISBLANK([1]PitScoutingInfo!M477),"",[1]PitScoutingInfo!M477)</f>
        <v/>
      </c>
      <c r="E477" s="23" t="str">
        <f>IF(ISBLANK([1]PitScoutingInfo!N477),"",[1]PitScoutingInfo!N477)</f>
        <v/>
      </c>
      <c r="F477" s="23" t="str">
        <f>IF(ISBLANK([1]PitScoutingInfo!V477),"",[1]PitScoutingInfo!V477)</f>
        <v/>
      </c>
      <c r="G477" s="23" t="str">
        <f>IF(ISBLANK([1]PitScoutingInfo!W477),"",[1]PitScoutingInfo!W477)</f>
        <v/>
      </c>
      <c r="H477" s="23" t="str">
        <f>IF(ISBLANK([1]PitScoutingInfo!Z477),"",[1]PitScoutingInfo!Z477)</f>
        <v/>
      </c>
    </row>
    <row r="478" spans="1:8" x14ac:dyDescent="0.45">
      <c r="A478" s="23" t="str">
        <f>IF(ISBLANK([1]PitScoutingInfo!A478),"",[1]PitScoutingInfo!A478)</f>
        <v/>
      </c>
      <c r="B478" s="23" t="str">
        <f>IF(ISBLANK([1]PitScoutingInfo!B478),"",[1]PitScoutingInfo!B478)</f>
        <v/>
      </c>
      <c r="C478" s="23" t="str">
        <f>IF(ISBLANK([1]PitScoutingInfo!J478),"",[1]PitScoutingInfo!J478)</f>
        <v/>
      </c>
      <c r="D478" s="23" t="str">
        <f>IF(ISBLANK([1]PitScoutingInfo!M478),"",[1]PitScoutingInfo!M478)</f>
        <v/>
      </c>
      <c r="E478" s="23" t="str">
        <f>IF(ISBLANK([1]PitScoutingInfo!N478),"",[1]PitScoutingInfo!N478)</f>
        <v/>
      </c>
      <c r="F478" s="23" t="str">
        <f>IF(ISBLANK([1]PitScoutingInfo!V478),"",[1]PitScoutingInfo!V478)</f>
        <v/>
      </c>
      <c r="G478" s="23" t="str">
        <f>IF(ISBLANK([1]PitScoutingInfo!W478),"",[1]PitScoutingInfo!W478)</f>
        <v/>
      </c>
      <c r="H478" s="23" t="str">
        <f>IF(ISBLANK([1]PitScoutingInfo!Z478),"",[1]PitScoutingInfo!Z478)</f>
        <v/>
      </c>
    </row>
    <row r="479" spans="1:8" x14ac:dyDescent="0.45">
      <c r="A479" s="23" t="str">
        <f>IF(ISBLANK([1]PitScoutingInfo!A479),"",[1]PitScoutingInfo!A479)</f>
        <v/>
      </c>
      <c r="B479" s="23" t="str">
        <f>IF(ISBLANK([1]PitScoutingInfo!B479),"",[1]PitScoutingInfo!B479)</f>
        <v/>
      </c>
      <c r="C479" s="23" t="str">
        <f>IF(ISBLANK([1]PitScoutingInfo!J479),"",[1]PitScoutingInfo!J479)</f>
        <v/>
      </c>
      <c r="D479" s="23" t="str">
        <f>IF(ISBLANK([1]PitScoutingInfo!M479),"",[1]PitScoutingInfo!M479)</f>
        <v/>
      </c>
      <c r="E479" s="23" t="str">
        <f>IF(ISBLANK([1]PitScoutingInfo!N479),"",[1]PitScoutingInfo!N479)</f>
        <v/>
      </c>
      <c r="F479" s="23" t="str">
        <f>IF(ISBLANK([1]PitScoutingInfo!V479),"",[1]PitScoutingInfo!V479)</f>
        <v/>
      </c>
      <c r="G479" s="23" t="str">
        <f>IF(ISBLANK([1]PitScoutingInfo!W479),"",[1]PitScoutingInfo!W479)</f>
        <v/>
      </c>
      <c r="H479" s="23" t="str">
        <f>IF(ISBLANK([1]PitScoutingInfo!Z479),"",[1]PitScoutingInfo!Z479)</f>
        <v/>
      </c>
    </row>
    <row r="480" spans="1:8" x14ac:dyDescent="0.45">
      <c r="A480" s="23" t="str">
        <f>IF(ISBLANK([1]PitScoutingInfo!A480),"",[1]PitScoutingInfo!A480)</f>
        <v/>
      </c>
      <c r="B480" s="23" t="str">
        <f>IF(ISBLANK([1]PitScoutingInfo!B480),"",[1]PitScoutingInfo!B480)</f>
        <v/>
      </c>
      <c r="C480" s="23" t="str">
        <f>IF(ISBLANK([1]PitScoutingInfo!J480),"",[1]PitScoutingInfo!J480)</f>
        <v/>
      </c>
      <c r="D480" s="23" t="str">
        <f>IF(ISBLANK([1]PitScoutingInfo!M480),"",[1]PitScoutingInfo!M480)</f>
        <v/>
      </c>
      <c r="E480" s="23" t="str">
        <f>IF(ISBLANK([1]PitScoutingInfo!N480),"",[1]PitScoutingInfo!N480)</f>
        <v/>
      </c>
      <c r="F480" s="23" t="str">
        <f>IF(ISBLANK([1]PitScoutingInfo!V480),"",[1]PitScoutingInfo!V480)</f>
        <v/>
      </c>
      <c r="G480" s="23" t="str">
        <f>IF(ISBLANK([1]PitScoutingInfo!W480),"",[1]PitScoutingInfo!W480)</f>
        <v/>
      </c>
      <c r="H480" s="23" t="str">
        <f>IF(ISBLANK([1]PitScoutingInfo!Z480),"",[1]PitScoutingInfo!Z480)</f>
        <v/>
      </c>
    </row>
    <row r="481" spans="1:8" x14ac:dyDescent="0.45">
      <c r="A481" s="23" t="str">
        <f>IF(ISBLANK([1]PitScoutingInfo!A481),"",[1]PitScoutingInfo!A481)</f>
        <v/>
      </c>
      <c r="B481" s="23" t="str">
        <f>IF(ISBLANK([1]PitScoutingInfo!B481),"",[1]PitScoutingInfo!B481)</f>
        <v/>
      </c>
      <c r="C481" s="23" t="str">
        <f>IF(ISBLANK([1]PitScoutingInfo!J481),"",[1]PitScoutingInfo!J481)</f>
        <v/>
      </c>
      <c r="D481" s="23" t="str">
        <f>IF(ISBLANK([1]PitScoutingInfo!M481),"",[1]PitScoutingInfo!M481)</f>
        <v/>
      </c>
      <c r="E481" s="23" t="str">
        <f>IF(ISBLANK([1]PitScoutingInfo!N481),"",[1]PitScoutingInfo!N481)</f>
        <v/>
      </c>
      <c r="F481" s="23" t="str">
        <f>IF(ISBLANK([1]PitScoutingInfo!V481),"",[1]PitScoutingInfo!V481)</f>
        <v/>
      </c>
      <c r="G481" s="23" t="str">
        <f>IF(ISBLANK([1]PitScoutingInfo!W481),"",[1]PitScoutingInfo!W481)</f>
        <v/>
      </c>
      <c r="H481" s="23" t="str">
        <f>IF(ISBLANK([1]PitScoutingInfo!Z481),"",[1]PitScoutingInfo!Z481)</f>
        <v/>
      </c>
    </row>
    <row r="482" spans="1:8" x14ac:dyDescent="0.45">
      <c r="A482" s="23" t="str">
        <f>IF(ISBLANK([1]PitScoutingInfo!A482),"",[1]PitScoutingInfo!A482)</f>
        <v/>
      </c>
      <c r="B482" s="23" t="str">
        <f>IF(ISBLANK([1]PitScoutingInfo!B482),"",[1]PitScoutingInfo!B482)</f>
        <v/>
      </c>
      <c r="C482" s="23" t="str">
        <f>IF(ISBLANK([1]PitScoutingInfo!J482),"",[1]PitScoutingInfo!J482)</f>
        <v/>
      </c>
      <c r="D482" s="23" t="str">
        <f>IF(ISBLANK([1]PitScoutingInfo!M482),"",[1]PitScoutingInfo!M482)</f>
        <v/>
      </c>
      <c r="E482" s="23" t="str">
        <f>IF(ISBLANK([1]PitScoutingInfo!N482),"",[1]PitScoutingInfo!N482)</f>
        <v/>
      </c>
      <c r="F482" s="23" t="str">
        <f>IF(ISBLANK([1]PitScoutingInfo!V482),"",[1]PitScoutingInfo!V482)</f>
        <v/>
      </c>
      <c r="G482" s="23" t="str">
        <f>IF(ISBLANK([1]PitScoutingInfo!W482),"",[1]PitScoutingInfo!W482)</f>
        <v/>
      </c>
      <c r="H482" s="23" t="str">
        <f>IF(ISBLANK([1]PitScoutingInfo!Z482),"",[1]PitScoutingInfo!Z482)</f>
        <v/>
      </c>
    </row>
    <row r="483" spans="1:8" x14ac:dyDescent="0.45">
      <c r="A483" s="23" t="str">
        <f>IF(ISBLANK([1]PitScoutingInfo!A483),"",[1]PitScoutingInfo!A483)</f>
        <v/>
      </c>
      <c r="B483" s="23" t="str">
        <f>IF(ISBLANK([1]PitScoutingInfo!B483),"",[1]PitScoutingInfo!B483)</f>
        <v/>
      </c>
      <c r="C483" s="23" t="str">
        <f>IF(ISBLANK([1]PitScoutingInfo!J483),"",[1]PitScoutingInfo!J483)</f>
        <v/>
      </c>
      <c r="D483" s="23" t="str">
        <f>IF(ISBLANK([1]PitScoutingInfo!M483),"",[1]PitScoutingInfo!M483)</f>
        <v/>
      </c>
      <c r="E483" s="23" t="str">
        <f>IF(ISBLANK([1]PitScoutingInfo!N483),"",[1]PitScoutingInfo!N483)</f>
        <v/>
      </c>
      <c r="F483" s="23" t="str">
        <f>IF(ISBLANK([1]PitScoutingInfo!V483),"",[1]PitScoutingInfo!V483)</f>
        <v/>
      </c>
      <c r="G483" s="23" t="str">
        <f>IF(ISBLANK([1]PitScoutingInfo!W483),"",[1]PitScoutingInfo!W483)</f>
        <v/>
      </c>
      <c r="H483" s="23" t="str">
        <f>IF(ISBLANK([1]PitScoutingInfo!Z483),"",[1]PitScoutingInfo!Z483)</f>
        <v/>
      </c>
    </row>
    <row r="484" spans="1:8" x14ac:dyDescent="0.45">
      <c r="A484" s="23" t="str">
        <f>IF(ISBLANK([1]PitScoutingInfo!A484),"",[1]PitScoutingInfo!A484)</f>
        <v/>
      </c>
      <c r="B484" s="23" t="str">
        <f>IF(ISBLANK([1]PitScoutingInfo!B484),"",[1]PitScoutingInfo!B484)</f>
        <v/>
      </c>
      <c r="C484" s="23" t="str">
        <f>IF(ISBLANK([1]PitScoutingInfo!J484),"",[1]PitScoutingInfo!J484)</f>
        <v/>
      </c>
      <c r="D484" s="23" t="str">
        <f>IF(ISBLANK([1]PitScoutingInfo!M484),"",[1]PitScoutingInfo!M484)</f>
        <v/>
      </c>
      <c r="E484" s="23" t="str">
        <f>IF(ISBLANK([1]PitScoutingInfo!N484),"",[1]PitScoutingInfo!N484)</f>
        <v/>
      </c>
      <c r="F484" s="23" t="str">
        <f>IF(ISBLANK([1]PitScoutingInfo!V484),"",[1]PitScoutingInfo!V484)</f>
        <v/>
      </c>
      <c r="G484" s="23" t="str">
        <f>IF(ISBLANK([1]PitScoutingInfo!W484),"",[1]PitScoutingInfo!W484)</f>
        <v/>
      </c>
      <c r="H484" s="23" t="str">
        <f>IF(ISBLANK([1]PitScoutingInfo!Z484),"",[1]PitScoutingInfo!Z484)</f>
        <v/>
      </c>
    </row>
    <row r="485" spans="1:8" x14ac:dyDescent="0.45">
      <c r="A485" s="23" t="str">
        <f>IF(ISBLANK([1]PitScoutingInfo!A485),"",[1]PitScoutingInfo!A485)</f>
        <v/>
      </c>
      <c r="B485" s="23" t="str">
        <f>IF(ISBLANK([1]PitScoutingInfo!B485),"",[1]PitScoutingInfo!B485)</f>
        <v/>
      </c>
      <c r="C485" s="23" t="str">
        <f>IF(ISBLANK([1]PitScoutingInfo!J485),"",[1]PitScoutingInfo!J485)</f>
        <v/>
      </c>
      <c r="D485" s="23" t="str">
        <f>IF(ISBLANK([1]PitScoutingInfo!M485),"",[1]PitScoutingInfo!M485)</f>
        <v/>
      </c>
      <c r="E485" s="23" t="str">
        <f>IF(ISBLANK([1]PitScoutingInfo!N485),"",[1]PitScoutingInfo!N485)</f>
        <v/>
      </c>
      <c r="F485" s="23" t="str">
        <f>IF(ISBLANK([1]PitScoutingInfo!V485),"",[1]PitScoutingInfo!V485)</f>
        <v/>
      </c>
      <c r="G485" s="23" t="str">
        <f>IF(ISBLANK([1]PitScoutingInfo!W485),"",[1]PitScoutingInfo!W485)</f>
        <v/>
      </c>
      <c r="H485" s="23" t="str">
        <f>IF(ISBLANK([1]PitScoutingInfo!Z485),"",[1]PitScoutingInfo!Z485)</f>
        <v/>
      </c>
    </row>
    <row r="486" spans="1:8" x14ac:dyDescent="0.45">
      <c r="A486" s="23" t="str">
        <f>IF(ISBLANK([1]PitScoutingInfo!A486),"",[1]PitScoutingInfo!A486)</f>
        <v/>
      </c>
      <c r="B486" s="23" t="str">
        <f>IF(ISBLANK([1]PitScoutingInfo!B486),"",[1]PitScoutingInfo!B486)</f>
        <v/>
      </c>
      <c r="C486" s="23" t="str">
        <f>IF(ISBLANK([1]PitScoutingInfo!J486),"",[1]PitScoutingInfo!J486)</f>
        <v/>
      </c>
      <c r="D486" s="23" t="str">
        <f>IF(ISBLANK([1]PitScoutingInfo!M486),"",[1]PitScoutingInfo!M486)</f>
        <v/>
      </c>
      <c r="E486" s="23" t="str">
        <f>IF(ISBLANK([1]PitScoutingInfo!N486),"",[1]PitScoutingInfo!N486)</f>
        <v/>
      </c>
      <c r="F486" s="23" t="str">
        <f>IF(ISBLANK([1]PitScoutingInfo!V486),"",[1]PitScoutingInfo!V486)</f>
        <v/>
      </c>
      <c r="G486" s="23" t="str">
        <f>IF(ISBLANK([1]PitScoutingInfo!W486),"",[1]PitScoutingInfo!W486)</f>
        <v/>
      </c>
      <c r="H486" s="23" t="str">
        <f>IF(ISBLANK([1]PitScoutingInfo!Z486),"",[1]PitScoutingInfo!Z486)</f>
        <v/>
      </c>
    </row>
    <row r="487" spans="1:8" x14ac:dyDescent="0.45">
      <c r="A487" s="23" t="str">
        <f>IF(ISBLANK([1]PitScoutingInfo!A487),"",[1]PitScoutingInfo!A487)</f>
        <v/>
      </c>
      <c r="B487" s="23" t="str">
        <f>IF(ISBLANK([1]PitScoutingInfo!B487),"",[1]PitScoutingInfo!B487)</f>
        <v/>
      </c>
      <c r="C487" s="23" t="str">
        <f>IF(ISBLANK([1]PitScoutingInfo!J487),"",[1]PitScoutingInfo!J487)</f>
        <v/>
      </c>
      <c r="D487" s="23" t="str">
        <f>IF(ISBLANK([1]PitScoutingInfo!M487),"",[1]PitScoutingInfo!M487)</f>
        <v/>
      </c>
      <c r="E487" s="23" t="str">
        <f>IF(ISBLANK([1]PitScoutingInfo!N487),"",[1]PitScoutingInfo!N487)</f>
        <v/>
      </c>
      <c r="F487" s="23" t="str">
        <f>IF(ISBLANK([1]PitScoutingInfo!V487),"",[1]PitScoutingInfo!V487)</f>
        <v/>
      </c>
      <c r="G487" s="23" t="str">
        <f>IF(ISBLANK([1]PitScoutingInfo!W487),"",[1]PitScoutingInfo!W487)</f>
        <v/>
      </c>
      <c r="H487" s="23" t="str">
        <f>IF(ISBLANK([1]PitScoutingInfo!Z487),"",[1]PitScoutingInfo!Z487)</f>
        <v/>
      </c>
    </row>
    <row r="488" spans="1:8" x14ac:dyDescent="0.45">
      <c r="A488" s="23" t="str">
        <f>IF(ISBLANK([1]PitScoutingInfo!A488),"",[1]PitScoutingInfo!A488)</f>
        <v/>
      </c>
      <c r="B488" s="23" t="str">
        <f>IF(ISBLANK([1]PitScoutingInfo!B488),"",[1]PitScoutingInfo!B488)</f>
        <v/>
      </c>
      <c r="C488" s="23" t="str">
        <f>IF(ISBLANK([1]PitScoutingInfo!J488),"",[1]PitScoutingInfo!J488)</f>
        <v/>
      </c>
      <c r="D488" s="23" t="str">
        <f>IF(ISBLANK([1]PitScoutingInfo!M488),"",[1]PitScoutingInfo!M488)</f>
        <v/>
      </c>
      <c r="E488" s="23" t="str">
        <f>IF(ISBLANK([1]PitScoutingInfo!N488),"",[1]PitScoutingInfo!N488)</f>
        <v/>
      </c>
      <c r="F488" s="23" t="str">
        <f>IF(ISBLANK([1]PitScoutingInfo!V488),"",[1]PitScoutingInfo!V488)</f>
        <v/>
      </c>
      <c r="G488" s="23" t="str">
        <f>IF(ISBLANK([1]PitScoutingInfo!W488),"",[1]PitScoutingInfo!W488)</f>
        <v/>
      </c>
      <c r="H488" s="23" t="str">
        <f>IF(ISBLANK([1]PitScoutingInfo!Z488),"",[1]PitScoutingInfo!Z488)</f>
        <v/>
      </c>
    </row>
    <row r="489" spans="1:8" x14ac:dyDescent="0.45">
      <c r="A489" s="23" t="str">
        <f>IF(ISBLANK([1]PitScoutingInfo!A489),"",[1]PitScoutingInfo!A489)</f>
        <v/>
      </c>
      <c r="B489" s="23" t="str">
        <f>IF(ISBLANK([1]PitScoutingInfo!B489),"",[1]PitScoutingInfo!B489)</f>
        <v/>
      </c>
      <c r="C489" s="23" t="str">
        <f>IF(ISBLANK([1]PitScoutingInfo!J489),"",[1]PitScoutingInfo!J489)</f>
        <v/>
      </c>
      <c r="D489" s="23" t="str">
        <f>IF(ISBLANK([1]PitScoutingInfo!M489),"",[1]PitScoutingInfo!M489)</f>
        <v/>
      </c>
      <c r="E489" s="23" t="str">
        <f>IF(ISBLANK([1]PitScoutingInfo!N489),"",[1]PitScoutingInfo!N489)</f>
        <v/>
      </c>
      <c r="F489" s="23" t="str">
        <f>IF(ISBLANK([1]PitScoutingInfo!V489),"",[1]PitScoutingInfo!V489)</f>
        <v/>
      </c>
      <c r="G489" s="23" t="str">
        <f>IF(ISBLANK([1]PitScoutingInfo!W489),"",[1]PitScoutingInfo!W489)</f>
        <v/>
      </c>
      <c r="H489" s="23" t="str">
        <f>IF(ISBLANK([1]PitScoutingInfo!Z489),"",[1]PitScoutingInfo!Z489)</f>
        <v/>
      </c>
    </row>
    <row r="490" spans="1:8" x14ac:dyDescent="0.45">
      <c r="A490" s="23" t="str">
        <f>IF(ISBLANK([1]PitScoutingInfo!A490),"",[1]PitScoutingInfo!A490)</f>
        <v/>
      </c>
      <c r="B490" s="23" t="str">
        <f>IF(ISBLANK([1]PitScoutingInfo!B490),"",[1]PitScoutingInfo!B490)</f>
        <v/>
      </c>
      <c r="C490" s="23" t="str">
        <f>IF(ISBLANK([1]PitScoutingInfo!J490),"",[1]PitScoutingInfo!J490)</f>
        <v/>
      </c>
      <c r="D490" s="23" t="str">
        <f>IF(ISBLANK([1]PitScoutingInfo!M490),"",[1]PitScoutingInfo!M490)</f>
        <v/>
      </c>
      <c r="E490" s="23" t="str">
        <f>IF(ISBLANK([1]PitScoutingInfo!N490),"",[1]PitScoutingInfo!N490)</f>
        <v/>
      </c>
      <c r="F490" s="23" t="str">
        <f>IF(ISBLANK([1]PitScoutingInfo!V490),"",[1]PitScoutingInfo!V490)</f>
        <v/>
      </c>
      <c r="G490" s="23" t="str">
        <f>IF(ISBLANK([1]PitScoutingInfo!W490),"",[1]PitScoutingInfo!W490)</f>
        <v/>
      </c>
      <c r="H490" s="23" t="str">
        <f>IF(ISBLANK([1]PitScoutingInfo!Z490),"",[1]PitScoutingInfo!Z490)</f>
        <v/>
      </c>
    </row>
    <row r="491" spans="1:8" x14ac:dyDescent="0.45">
      <c r="A491" s="23" t="str">
        <f>IF(ISBLANK([1]PitScoutingInfo!A491),"",[1]PitScoutingInfo!A491)</f>
        <v/>
      </c>
      <c r="B491" s="23" t="str">
        <f>IF(ISBLANK([1]PitScoutingInfo!B491),"",[1]PitScoutingInfo!B491)</f>
        <v/>
      </c>
      <c r="C491" s="23" t="str">
        <f>IF(ISBLANK([1]PitScoutingInfo!J491),"",[1]PitScoutingInfo!J491)</f>
        <v/>
      </c>
      <c r="D491" s="23" t="str">
        <f>IF(ISBLANK([1]PitScoutingInfo!M491),"",[1]PitScoutingInfo!M491)</f>
        <v/>
      </c>
      <c r="E491" s="23" t="str">
        <f>IF(ISBLANK([1]PitScoutingInfo!N491),"",[1]PitScoutingInfo!N491)</f>
        <v/>
      </c>
      <c r="F491" s="23" t="str">
        <f>IF(ISBLANK([1]PitScoutingInfo!V491),"",[1]PitScoutingInfo!V491)</f>
        <v/>
      </c>
      <c r="G491" s="23" t="str">
        <f>IF(ISBLANK([1]PitScoutingInfo!W491),"",[1]PitScoutingInfo!W491)</f>
        <v/>
      </c>
      <c r="H491" s="23" t="str">
        <f>IF(ISBLANK([1]PitScoutingInfo!Z491),"",[1]PitScoutingInfo!Z491)</f>
        <v/>
      </c>
    </row>
    <row r="492" spans="1:8" x14ac:dyDescent="0.45">
      <c r="A492" s="23" t="str">
        <f>IF(ISBLANK([1]PitScoutingInfo!A492),"",[1]PitScoutingInfo!A492)</f>
        <v/>
      </c>
      <c r="B492" s="23" t="str">
        <f>IF(ISBLANK([1]PitScoutingInfo!B492),"",[1]PitScoutingInfo!B492)</f>
        <v/>
      </c>
      <c r="C492" s="23" t="str">
        <f>IF(ISBLANK([1]PitScoutingInfo!J492),"",[1]PitScoutingInfo!J492)</f>
        <v/>
      </c>
      <c r="D492" s="23" t="str">
        <f>IF(ISBLANK([1]PitScoutingInfo!M492),"",[1]PitScoutingInfo!M492)</f>
        <v/>
      </c>
      <c r="E492" s="23" t="str">
        <f>IF(ISBLANK([1]PitScoutingInfo!N492),"",[1]PitScoutingInfo!N492)</f>
        <v/>
      </c>
      <c r="F492" s="23" t="str">
        <f>IF(ISBLANK([1]PitScoutingInfo!V492),"",[1]PitScoutingInfo!V492)</f>
        <v/>
      </c>
      <c r="G492" s="23" t="str">
        <f>IF(ISBLANK([1]PitScoutingInfo!W492),"",[1]PitScoutingInfo!W492)</f>
        <v/>
      </c>
      <c r="H492" s="23" t="str">
        <f>IF(ISBLANK([1]PitScoutingInfo!Z492),"",[1]PitScoutingInfo!Z492)</f>
        <v/>
      </c>
    </row>
    <row r="493" spans="1:8" x14ac:dyDescent="0.45">
      <c r="A493" s="23" t="str">
        <f>IF(ISBLANK([1]PitScoutingInfo!A493),"",[1]PitScoutingInfo!A493)</f>
        <v/>
      </c>
      <c r="B493" s="23" t="str">
        <f>IF(ISBLANK([1]PitScoutingInfo!B493),"",[1]PitScoutingInfo!B493)</f>
        <v/>
      </c>
      <c r="C493" s="23" t="str">
        <f>IF(ISBLANK([1]PitScoutingInfo!J493),"",[1]PitScoutingInfo!J493)</f>
        <v/>
      </c>
      <c r="D493" s="23" t="str">
        <f>IF(ISBLANK([1]PitScoutingInfo!M493),"",[1]PitScoutingInfo!M493)</f>
        <v/>
      </c>
      <c r="E493" s="23" t="str">
        <f>IF(ISBLANK([1]PitScoutingInfo!N493),"",[1]PitScoutingInfo!N493)</f>
        <v/>
      </c>
      <c r="F493" s="23" t="str">
        <f>IF(ISBLANK([1]PitScoutingInfo!V493),"",[1]PitScoutingInfo!V493)</f>
        <v/>
      </c>
      <c r="G493" s="23" t="str">
        <f>IF(ISBLANK([1]PitScoutingInfo!W493),"",[1]PitScoutingInfo!W493)</f>
        <v/>
      </c>
      <c r="H493" s="23" t="str">
        <f>IF(ISBLANK([1]PitScoutingInfo!Z493),"",[1]PitScoutingInfo!Z493)</f>
        <v/>
      </c>
    </row>
    <row r="494" spans="1:8" x14ac:dyDescent="0.45">
      <c r="A494" s="23" t="str">
        <f>IF(ISBLANK([1]PitScoutingInfo!A494),"",[1]PitScoutingInfo!A494)</f>
        <v/>
      </c>
      <c r="B494" s="23" t="str">
        <f>IF(ISBLANK([1]PitScoutingInfo!B494),"",[1]PitScoutingInfo!B494)</f>
        <v/>
      </c>
      <c r="C494" s="23" t="str">
        <f>IF(ISBLANK([1]PitScoutingInfo!J494),"",[1]PitScoutingInfo!J494)</f>
        <v/>
      </c>
      <c r="D494" s="23" t="str">
        <f>IF(ISBLANK([1]PitScoutingInfo!M494),"",[1]PitScoutingInfo!M494)</f>
        <v/>
      </c>
      <c r="E494" s="23" t="str">
        <f>IF(ISBLANK([1]PitScoutingInfo!N494),"",[1]PitScoutingInfo!N494)</f>
        <v/>
      </c>
      <c r="F494" s="23" t="str">
        <f>IF(ISBLANK([1]PitScoutingInfo!V494),"",[1]PitScoutingInfo!V494)</f>
        <v/>
      </c>
      <c r="G494" s="23" t="str">
        <f>IF(ISBLANK([1]PitScoutingInfo!W494),"",[1]PitScoutingInfo!W494)</f>
        <v/>
      </c>
      <c r="H494" s="23" t="str">
        <f>IF(ISBLANK([1]PitScoutingInfo!Z494),"",[1]PitScoutingInfo!Z494)</f>
        <v/>
      </c>
    </row>
    <row r="495" spans="1:8" x14ac:dyDescent="0.45">
      <c r="A495" s="23" t="str">
        <f>IF(ISBLANK([1]PitScoutingInfo!A495),"",[1]PitScoutingInfo!A495)</f>
        <v/>
      </c>
      <c r="B495" s="23" t="str">
        <f>IF(ISBLANK([1]PitScoutingInfo!B495),"",[1]PitScoutingInfo!B495)</f>
        <v/>
      </c>
      <c r="C495" s="23" t="str">
        <f>IF(ISBLANK([1]PitScoutingInfo!J495),"",[1]PitScoutingInfo!J495)</f>
        <v/>
      </c>
      <c r="D495" s="23" t="str">
        <f>IF(ISBLANK([1]PitScoutingInfo!M495),"",[1]PitScoutingInfo!M495)</f>
        <v/>
      </c>
      <c r="E495" s="23" t="str">
        <f>IF(ISBLANK([1]PitScoutingInfo!N495),"",[1]PitScoutingInfo!N495)</f>
        <v/>
      </c>
      <c r="F495" s="23" t="str">
        <f>IF(ISBLANK([1]PitScoutingInfo!V495),"",[1]PitScoutingInfo!V495)</f>
        <v/>
      </c>
      <c r="G495" s="23" t="str">
        <f>IF(ISBLANK([1]PitScoutingInfo!W495),"",[1]PitScoutingInfo!W495)</f>
        <v/>
      </c>
      <c r="H495" s="23" t="str">
        <f>IF(ISBLANK([1]PitScoutingInfo!Z495),"",[1]PitScoutingInfo!Z495)</f>
        <v/>
      </c>
    </row>
    <row r="496" spans="1:8" x14ac:dyDescent="0.45">
      <c r="A496" s="23" t="str">
        <f>IF(ISBLANK([1]PitScoutingInfo!A496),"",[1]PitScoutingInfo!A496)</f>
        <v/>
      </c>
      <c r="B496" s="23" t="str">
        <f>IF(ISBLANK([1]PitScoutingInfo!B496),"",[1]PitScoutingInfo!B496)</f>
        <v/>
      </c>
      <c r="C496" s="23" t="str">
        <f>IF(ISBLANK([1]PitScoutingInfo!J496),"",[1]PitScoutingInfo!J496)</f>
        <v/>
      </c>
      <c r="D496" s="23" t="str">
        <f>IF(ISBLANK([1]PitScoutingInfo!M496),"",[1]PitScoutingInfo!M496)</f>
        <v/>
      </c>
      <c r="E496" s="23" t="str">
        <f>IF(ISBLANK([1]PitScoutingInfo!N496),"",[1]PitScoutingInfo!N496)</f>
        <v/>
      </c>
      <c r="F496" s="23" t="str">
        <f>IF(ISBLANK([1]PitScoutingInfo!V496),"",[1]PitScoutingInfo!V496)</f>
        <v/>
      </c>
      <c r="G496" s="23" t="str">
        <f>IF(ISBLANK([1]PitScoutingInfo!W496),"",[1]PitScoutingInfo!W496)</f>
        <v/>
      </c>
      <c r="H496" s="23" t="str">
        <f>IF(ISBLANK([1]PitScoutingInfo!Z496),"",[1]PitScoutingInfo!Z496)</f>
        <v/>
      </c>
    </row>
    <row r="497" spans="1:8" x14ac:dyDescent="0.45">
      <c r="A497" s="23" t="str">
        <f>IF(ISBLANK([1]PitScoutingInfo!A497),"",[1]PitScoutingInfo!A497)</f>
        <v/>
      </c>
      <c r="B497" s="23" t="str">
        <f>IF(ISBLANK([1]PitScoutingInfo!B497),"",[1]PitScoutingInfo!B497)</f>
        <v/>
      </c>
      <c r="C497" s="23" t="str">
        <f>IF(ISBLANK([1]PitScoutingInfo!J497),"",[1]PitScoutingInfo!J497)</f>
        <v/>
      </c>
      <c r="D497" s="23" t="str">
        <f>IF(ISBLANK([1]PitScoutingInfo!M497),"",[1]PitScoutingInfo!M497)</f>
        <v/>
      </c>
      <c r="E497" s="23" t="str">
        <f>IF(ISBLANK([1]PitScoutingInfo!N497),"",[1]PitScoutingInfo!N497)</f>
        <v/>
      </c>
      <c r="F497" s="23" t="str">
        <f>IF(ISBLANK([1]PitScoutingInfo!V497),"",[1]PitScoutingInfo!V497)</f>
        <v/>
      </c>
      <c r="G497" s="23" t="str">
        <f>IF(ISBLANK([1]PitScoutingInfo!W497),"",[1]PitScoutingInfo!W497)</f>
        <v/>
      </c>
      <c r="H497" s="23" t="str">
        <f>IF(ISBLANK([1]PitScoutingInfo!Z497),"",[1]PitScoutingInfo!Z497)</f>
        <v/>
      </c>
    </row>
    <row r="498" spans="1:8" x14ac:dyDescent="0.45">
      <c r="A498" s="23" t="str">
        <f>IF(ISBLANK([1]PitScoutingInfo!A498),"",[1]PitScoutingInfo!A498)</f>
        <v/>
      </c>
      <c r="B498" s="23" t="str">
        <f>IF(ISBLANK([1]PitScoutingInfo!B498),"",[1]PitScoutingInfo!B498)</f>
        <v/>
      </c>
      <c r="C498" s="23" t="str">
        <f>IF(ISBLANK([1]PitScoutingInfo!J498),"",[1]PitScoutingInfo!J498)</f>
        <v/>
      </c>
      <c r="D498" s="23" t="str">
        <f>IF(ISBLANK([1]PitScoutingInfo!M498),"",[1]PitScoutingInfo!M498)</f>
        <v/>
      </c>
      <c r="E498" s="23" t="str">
        <f>IF(ISBLANK([1]PitScoutingInfo!N498),"",[1]PitScoutingInfo!N498)</f>
        <v/>
      </c>
      <c r="F498" s="23" t="str">
        <f>IF(ISBLANK([1]PitScoutingInfo!V498),"",[1]PitScoutingInfo!V498)</f>
        <v/>
      </c>
      <c r="G498" s="23" t="str">
        <f>IF(ISBLANK([1]PitScoutingInfo!W498),"",[1]PitScoutingInfo!W498)</f>
        <v/>
      </c>
      <c r="H498" s="23" t="str">
        <f>IF(ISBLANK([1]PitScoutingInfo!Z498),"",[1]PitScoutingInfo!Z498)</f>
        <v/>
      </c>
    </row>
    <row r="499" spans="1:8" x14ac:dyDescent="0.45">
      <c r="A499" s="23" t="str">
        <f>IF(ISBLANK([1]PitScoutingInfo!A499),"",[1]PitScoutingInfo!A499)</f>
        <v/>
      </c>
      <c r="B499" s="23" t="str">
        <f>IF(ISBLANK([1]PitScoutingInfo!B499),"",[1]PitScoutingInfo!B499)</f>
        <v/>
      </c>
      <c r="C499" s="23" t="str">
        <f>IF(ISBLANK([1]PitScoutingInfo!J499),"",[1]PitScoutingInfo!J499)</f>
        <v/>
      </c>
      <c r="D499" s="23" t="str">
        <f>IF(ISBLANK([1]PitScoutingInfo!M499),"",[1]PitScoutingInfo!M499)</f>
        <v/>
      </c>
      <c r="E499" s="23" t="str">
        <f>IF(ISBLANK([1]PitScoutingInfo!N499),"",[1]PitScoutingInfo!N499)</f>
        <v/>
      </c>
      <c r="F499" s="23" t="str">
        <f>IF(ISBLANK([1]PitScoutingInfo!V499),"",[1]PitScoutingInfo!V499)</f>
        <v/>
      </c>
      <c r="G499" s="23" t="str">
        <f>IF(ISBLANK([1]PitScoutingInfo!W499),"",[1]PitScoutingInfo!W499)</f>
        <v/>
      </c>
      <c r="H499" s="23" t="str">
        <f>IF(ISBLANK([1]PitScoutingInfo!Z499),"",[1]PitScoutingInfo!Z499)</f>
        <v/>
      </c>
    </row>
    <row r="500" spans="1:8" x14ac:dyDescent="0.45">
      <c r="A500" s="23" t="str">
        <f>IF(ISBLANK([1]PitScoutingInfo!A500),"",[1]PitScoutingInfo!A500)</f>
        <v/>
      </c>
      <c r="B500" s="23" t="str">
        <f>IF(ISBLANK([1]PitScoutingInfo!B500),"",[1]PitScoutingInfo!B500)</f>
        <v/>
      </c>
      <c r="C500" s="23" t="str">
        <f>IF(ISBLANK([1]PitScoutingInfo!J500),"",[1]PitScoutingInfo!J500)</f>
        <v/>
      </c>
      <c r="D500" s="23" t="str">
        <f>IF(ISBLANK([1]PitScoutingInfo!M500),"",[1]PitScoutingInfo!M500)</f>
        <v/>
      </c>
      <c r="E500" s="23" t="str">
        <f>IF(ISBLANK([1]PitScoutingInfo!N500),"",[1]PitScoutingInfo!N500)</f>
        <v/>
      </c>
      <c r="F500" s="23" t="str">
        <f>IF(ISBLANK([1]PitScoutingInfo!V500),"",[1]PitScoutingInfo!V500)</f>
        <v/>
      </c>
      <c r="G500" s="23" t="str">
        <f>IF(ISBLANK([1]PitScoutingInfo!W500),"",[1]PitScoutingInfo!W500)</f>
        <v/>
      </c>
      <c r="H500" s="23" t="str">
        <f>IF(ISBLANK([1]PitScoutingInfo!Z500),"",[1]PitScoutingInfo!Z500)</f>
        <v/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436</vt:i4>
      </vt:variant>
    </vt:vector>
  </HeadingPairs>
  <TitlesOfParts>
    <vt:vector size="442" baseType="lpstr">
      <vt:lpstr>HeatMap</vt:lpstr>
      <vt:lpstr>AutoStartPosition</vt:lpstr>
      <vt:lpstr>AutoStartPreference</vt:lpstr>
      <vt:lpstr>ShootingPosition</vt:lpstr>
      <vt:lpstr>ScoutingInfo</vt:lpstr>
      <vt:lpstr>PitScoutingInfo</vt:lpstr>
      <vt:lpstr>AS_POS_1</vt:lpstr>
      <vt:lpstr>AS_POS_10</vt:lpstr>
      <vt:lpstr>AS_POS_11</vt:lpstr>
      <vt:lpstr>AS_POS_12</vt:lpstr>
      <vt:lpstr>AS_POS_13</vt:lpstr>
      <vt:lpstr>AS_POS_14</vt:lpstr>
      <vt:lpstr>AS_POS_15</vt:lpstr>
      <vt:lpstr>AS_POS_16</vt:lpstr>
      <vt:lpstr>AS_POS_17</vt:lpstr>
      <vt:lpstr>AS_POS_18</vt:lpstr>
      <vt:lpstr>AS_POS_19</vt:lpstr>
      <vt:lpstr>AS_POS_2</vt:lpstr>
      <vt:lpstr>AS_POS_20</vt:lpstr>
      <vt:lpstr>AS_POS_21</vt:lpstr>
      <vt:lpstr>AS_POS_22</vt:lpstr>
      <vt:lpstr>AS_POS_23</vt:lpstr>
      <vt:lpstr>AS_POS_24</vt:lpstr>
      <vt:lpstr>AS_POS_25</vt:lpstr>
      <vt:lpstr>AS_POS_26</vt:lpstr>
      <vt:lpstr>AS_POS_27</vt:lpstr>
      <vt:lpstr>AS_POS_28</vt:lpstr>
      <vt:lpstr>AS_POS_29</vt:lpstr>
      <vt:lpstr>AS_POS_3</vt:lpstr>
      <vt:lpstr>AS_POS_30</vt:lpstr>
      <vt:lpstr>AS_POS_31</vt:lpstr>
      <vt:lpstr>AS_POS_32</vt:lpstr>
      <vt:lpstr>AS_POS_33</vt:lpstr>
      <vt:lpstr>AS_POS_34</vt:lpstr>
      <vt:lpstr>AS_POS_35</vt:lpstr>
      <vt:lpstr>AS_POS_36</vt:lpstr>
      <vt:lpstr>AS_POS_37</vt:lpstr>
      <vt:lpstr>AS_POS_38</vt:lpstr>
      <vt:lpstr>AS_POS_39</vt:lpstr>
      <vt:lpstr>AS_POS_4</vt:lpstr>
      <vt:lpstr>AS_POS_40</vt:lpstr>
      <vt:lpstr>AS_POS_41</vt:lpstr>
      <vt:lpstr>AS_POS_42</vt:lpstr>
      <vt:lpstr>AS_POS_43</vt:lpstr>
      <vt:lpstr>AS_POS_44</vt:lpstr>
      <vt:lpstr>AS_POS_45</vt:lpstr>
      <vt:lpstr>AS_POS_46</vt:lpstr>
      <vt:lpstr>AS_POS_47</vt:lpstr>
      <vt:lpstr>AS_POS_48</vt:lpstr>
      <vt:lpstr>AS_POS_49</vt:lpstr>
      <vt:lpstr>AS_POS_5</vt:lpstr>
      <vt:lpstr>AS_POS_50</vt:lpstr>
      <vt:lpstr>AS_POS_51</vt:lpstr>
      <vt:lpstr>AS_POS_52</vt:lpstr>
      <vt:lpstr>AS_POS_53</vt:lpstr>
      <vt:lpstr>AS_POS_54</vt:lpstr>
      <vt:lpstr>AS_POS_55</vt:lpstr>
      <vt:lpstr>AS_POS_56</vt:lpstr>
      <vt:lpstr>AS_POS_57</vt:lpstr>
      <vt:lpstr>AS_POS_58</vt:lpstr>
      <vt:lpstr>AS_POS_59</vt:lpstr>
      <vt:lpstr>AS_POS_6</vt:lpstr>
      <vt:lpstr>AS_POS_60</vt:lpstr>
      <vt:lpstr>AS_POS_61</vt:lpstr>
      <vt:lpstr>AS_POS_62</vt:lpstr>
      <vt:lpstr>AS_POS_63</vt:lpstr>
      <vt:lpstr>AS_POS_64</vt:lpstr>
      <vt:lpstr>AS_POS_65</vt:lpstr>
      <vt:lpstr>AS_POS_66</vt:lpstr>
      <vt:lpstr>AS_POS_67</vt:lpstr>
      <vt:lpstr>AS_POS_68</vt:lpstr>
      <vt:lpstr>AS_POS_69</vt:lpstr>
      <vt:lpstr>AS_POS_7</vt:lpstr>
      <vt:lpstr>AS_POS_70</vt:lpstr>
      <vt:lpstr>AS_POS_71</vt:lpstr>
      <vt:lpstr>AS_POS_72</vt:lpstr>
      <vt:lpstr>AS_POS_8</vt:lpstr>
      <vt:lpstr>AS_POS_9</vt:lpstr>
      <vt:lpstr>AS_PREF_1</vt:lpstr>
      <vt:lpstr>AS_PREF_10</vt:lpstr>
      <vt:lpstr>AS_PREF_11</vt:lpstr>
      <vt:lpstr>AS_PREF_12</vt:lpstr>
      <vt:lpstr>AS_PREF_13</vt:lpstr>
      <vt:lpstr>AS_PREF_14</vt:lpstr>
      <vt:lpstr>AS_PREF_15</vt:lpstr>
      <vt:lpstr>AS_PREF_16</vt:lpstr>
      <vt:lpstr>AS_PREF_17</vt:lpstr>
      <vt:lpstr>AS_PREF_18</vt:lpstr>
      <vt:lpstr>AS_PREF_19</vt:lpstr>
      <vt:lpstr>AS_PREF_2</vt:lpstr>
      <vt:lpstr>AS_PREF_20</vt:lpstr>
      <vt:lpstr>AS_PREF_21</vt:lpstr>
      <vt:lpstr>AS_PREF_22</vt:lpstr>
      <vt:lpstr>AS_PREF_23</vt:lpstr>
      <vt:lpstr>AS_PREF_24</vt:lpstr>
      <vt:lpstr>AS_PREF_25</vt:lpstr>
      <vt:lpstr>AS_PREF_26</vt:lpstr>
      <vt:lpstr>AS_PREF_27</vt:lpstr>
      <vt:lpstr>AS_PREF_28</vt:lpstr>
      <vt:lpstr>AS_PREF_29</vt:lpstr>
      <vt:lpstr>AS_PREF_3</vt:lpstr>
      <vt:lpstr>AS_PREF_30</vt:lpstr>
      <vt:lpstr>AS_PREF_31</vt:lpstr>
      <vt:lpstr>AS_PREF_32</vt:lpstr>
      <vt:lpstr>AS_PREF_33</vt:lpstr>
      <vt:lpstr>AS_PREF_34</vt:lpstr>
      <vt:lpstr>AS_PREF_35</vt:lpstr>
      <vt:lpstr>AS_PREF_36</vt:lpstr>
      <vt:lpstr>AS_PREF_37</vt:lpstr>
      <vt:lpstr>AS_PREF_38</vt:lpstr>
      <vt:lpstr>AS_PREF_39</vt:lpstr>
      <vt:lpstr>AS_PREF_4</vt:lpstr>
      <vt:lpstr>AS_PREF_40</vt:lpstr>
      <vt:lpstr>AS_PREF_41</vt:lpstr>
      <vt:lpstr>AS_PREF_42</vt:lpstr>
      <vt:lpstr>AS_PREF_43</vt:lpstr>
      <vt:lpstr>AS_PREF_44</vt:lpstr>
      <vt:lpstr>AS_PREF_45</vt:lpstr>
      <vt:lpstr>AS_PREF_46</vt:lpstr>
      <vt:lpstr>AS_PREF_47</vt:lpstr>
      <vt:lpstr>AS_PREF_48</vt:lpstr>
      <vt:lpstr>AS_PREF_49</vt:lpstr>
      <vt:lpstr>AS_PREF_5</vt:lpstr>
      <vt:lpstr>AS_PREF_50</vt:lpstr>
      <vt:lpstr>AS_PREF_51</vt:lpstr>
      <vt:lpstr>AS_PREF_52</vt:lpstr>
      <vt:lpstr>AS_PREF_53</vt:lpstr>
      <vt:lpstr>AS_PREF_54</vt:lpstr>
      <vt:lpstr>AS_PREF_55</vt:lpstr>
      <vt:lpstr>AS_PREF_56</vt:lpstr>
      <vt:lpstr>AS_PREF_57</vt:lpstr>
      <vt:lpstr>AS_PREF_58</vt:lpstr>
      <vt:lpstr>AS_PREF_59</vt:lpstr>
      <vt:lpstr>AS_PREF_6</vt:lpstr>
      <vt:lpstr>AS_PREF_60</vt:lpstr>
      <vt:lpstr>AS_PREF_61</vt:lpstr>
      <vt:lpstr>AS_PREF_62</vt:lpstr>
      <vt:lpstr>AS_PREF_63</vt:lpstr>
      <vt:lpstr>AS_PREF_64</vt:lpstr>
      <vt:lpstr>AS_PREF_65</vt:lpstr>
      <vt:lpstr>AS_PREF_66</vt:lpstr>
      <vt:lpstr>AS_PREF_67</vt:lpstr>
      <vt:lpstr>AS_PREF_68</vt:lpstr>
      <vt:lpstr>AS_PREF_69</vt:lpstr>
      <vt:lpstr>AS_PREF_7</vt:lpstr>
      <vt:lpstr>AS_PREF_70</vt:lpstr>
      <vt:lpstr>AS_PREF_71</vt:lpstr>
      <vt:lpstr>AS_PREF_72</vt:lpstr>
      <vt:lpstr>AS_PREF_8</vt:lpstr>
      <vt:lpstr>AS_PREF_9</vt:lpstr>
      <vt:lpstr>HeatMap!HeatMap</vt:lpstr>
      <vt:lpstr>HEATMAP_TEAM_NUM</vt:lpstr>
      <vt:lpstr>HM_1</vt:lpstr>
      <vt:lpstr>HM_10</vt:lpstr>
      <vt:lpstr>HM_11</vt:lpstr>
      <vt:lpstr>HM_12</vt:lpstr>
      <vt:lpstr>HM_13</vt:lpstr>
      <vt:lpstr>HM_14</vt:lpstr>
      <vt:lpstr>HM_15</vt:lpstr>
      <vt:lpstr>HM_16</vt:lpstr>
      <vt:lpstr>HM_17</vt:lpstr>
      <vt:lpstr>HM_18</vt:lpstr>
      <vt:lpstr>HM_19</vt:lpstr>
      <vt:lpstr>HM_2</vt:lpstr>
      <vt:lpstr>HM_20</vt:lpstr>
      <vt:lpstr>HM_21</vt:lpstr>
      <vt:lpstr>HM_22</vt:lpstr>
      <vt:lpstr>HM_23</vt:lpstr>
      <vt:lpstr>HM_24</vt:lpstr>
      <vt:lpstr>HM_25</vt:lpstr>
      <vt:lpstr>HM_26</vt:lpstr>
      <vt:lpstr>HM_27</vt:lpstr>
      <vt:lpstr>HM_28</vt:lpstr>
      <vt:lpstr>HM_29</vt:lpstr>
      <vt:lpstr>HM_3</vt:lpstr>
      <vt:lpstr>HM_30</vt:lpstr>
      <vt:lpstr>HM_31</vt:lpstr>
      <vt:lpstr>HM_32</vt:lpstr>
      <vt:lpstr>HM_33</vt:lpstr>
      <vt:lpstr>HM_34</vt:lpstr>
      <vt:lpstr>HM_35</vt:lpstr>
      <vt:lpstr>HM_36</vt:lpstr>
      <vt:lpstr>HM_37</vt:lpstr>
      <vt:lpstr>HM_38</vt:lpstr>
      <vt:lpstr>HM_39</vt:lpstr>
      <vt:lpstr>HM_4</vt:lpstr>
      <vt:lpstr>HM_40</vt:lpstr>
      <vt:lpstr>HM_41</vt:lpstr>
      <vt:lpstr>HM_42</vt:lpstr>
      <vt:lpstr>HM_43</vt:lpstr>
      <vt:lpstr>HM_44</vt:lpstr>
      <vt:lpstr>HM_45</vt:lpstr>
      <vt:lpstr>HM_46</vt:lpstr>
      <vt:lpstr>HM_47</vt:lpstr>
      <vt:lpstr>HM_48</vt:lpstr>
      <vt:lpstr>HM_49</vt:lpstr>
      <vt:lpstr>HM_5</vt:lpstr>
      <vt:lpstr>HM_50</vt:lpstr>
      <vt:lpstr>HM_51</vt:lpstr>
      <vt:lpstr>HM_52</vt:lpstr>
      <vt:lpstr>HM_53</vt:lpstr>
      <vt:lpstr>HM_54</vt:lpstr>
      <vt:lpstr>HM_55</vt:lpstr>
      <vt:lpstr>HM_56</vt:lpstr>
      <vt:lpstr>HM_57</vt:lpstr>
      <vt:lpstr>HM_58</vt:lpstr>
      <vt:lpstr>HM_59</vt:lpstr>
      <vt:lpstr>HM_6</vt:lpstr>
      <vt:lpstr>HM_60</vt:lpstr>
      <vt:lpstr>HM_61</vt:lpstr>
      <vt:lpstr>HM_62</vt:lpstr>
      <vt:lpstr>HM_63</vt:lpstr>
      <vt:lpstr>HM_64</vt:lpstr>
      <vt:lpstr>HM_65</vt:lpstr>
      <vt:lpstr>HM_66</vt:lpstr>
      <vt:lpstr>HM_67</vt:lpstr>
      <vt:lpstr>HM_68</vt:lpstr>
      <vt:lpstr>HM_69</vt:lpstr>
      <vt:lpstr>HM_7</vt:lpstr>
      <vt:lpstr>HM_70</vt:lpstr>
      <vt:lpstr>HM_71</vt:lpstr>
      <vt:lpstr>HM_72</vt:lpstr>
      <vt:lpstr>HM_8</vt:lpstr>
      <vt:lpstr>HM_9</vt:lpstr>
      <vt:lpstr>PAM_23</vt:lpstr>
      <vt:lpstr>PM_1</vt:lpstr>
      <vt:lpstr>PM_10</vt:lpstr>
      <vt:lpstr>PM_11</vt:lpstr>
      <vt:lpstr>PM_12</vt:lpstr>
      <vt:lpstr>PM_13</vt:lpstr>
      <vt:lpstr>PM_14</vt:lpstr>
      <vt:lpstr>PM_15</vt:lpstr>
      <vt:lpstr>PM_16</vt:lpstr>
      <vt:lpstr>PM_17</vt:lpstr>
      <vt:lpstr>PM_18</vt:lpstr>
      <vt:lpstr>PM_19</vt:lpstr>
      <vt:lpstr>PM_2</vt:lpstr>
      <vt:lpstr>PM_20</vt:lpstr>
      <vt:lpstr>PM_21</vt:lpstr>
      <vt:lpstr>PM_22</vt:lpstr>
      <vt:lpstr>PM_23</vt:lpstr>
      <vt:lpstr>PM_24</vt:lpstr>
      <vt:lpstr>PM_25</vt:lpstr>
      <vt:lpstr>PM_26</vt:lpstr>
      <vt:lpstr>PM_27</vt:lpstr>
      <vt:lpstr>PM_28</vt:lpstr>
      <vt:lpstr>PM_29</vt:lpstr>
      <vt:lpstr>PM_3</vt:lpstr>
      <vt:lpstr>PM_30</vt:lpstr>
      <vt:lpstr>PM_31</vt:lpstr>
      <vt:lpstr>PM_32</vt:lpstr>
      <vt:lpstr>PM_33</vt:lpstr>
      <vt:lpstr>PM_34</vt:lpstr>
      <vt:lpstr>PM_35</vt:lpstr>
      <vt:lpstr>PM_36</vt:lpstr>
      <vt:lpstr>PM_37</vt:lpstr>
      <vt:lpstr>PM_38</vt:lpstr>
      <vt:lpstr>PM_39</vt:lpstr>
      <vt:lpstr>PM_4</vt:lpstr>
      <vt:lpstr>PM_40</vt:lpstr>
      <vt:lpstr>PM_41</vt:lpstr>
      <vt:lpstr>PM_42</vt:lpstr>
      <vt:lpstr>PM_43</vt:lpstr>
      <vt:lpstr>PM_44</vt:lpstr>
      <vt:lpstr>PM_45</vt:lpstr>
      <vt:lpstr>PM_46</vt:lpstr>
      <vt:lpstr>PM_47</vt:lpstr>
      <vt:lpstr>PM_48</vt:lpstr>
      <vt:lpstr>PM_49</vt:lpstr>
      <vt:lpstr>PM_5</vt:lpstr>
      <vt:lpstr>PM_50</vt:lpstr>
      <vt:lpstr>PM_51</vt:lpstr>
      <vt:lpstr>PM_52</vt:lpstr>
      <vt:lpstr>PM_53</vt:lpstr>
      <vt:lpstr>PM_54</vt:lpstr>
      <vt:lpstr>PM_55</vt:lpstr>
      <vt:lpstr>PM_56</vt:lpstr>
      <vt:lpstr>PM_57</vt:lpstr>
      <vt:lpstr>PM_58</vt:lpstr>
      <vt:lpstr>PM_59</vt:lpstr>
      <vt:lpstr>PM_6</vt:lpstr>
      <vt:lpstr>PM_60</vt:lpstr>
      <vt:lpstr>PM_61</vt:lpstr>
      <vt:lpstr>PM_62</vt:lpstr>
      <vt:lpstr>PM_63</vt:lpstr>
      <vt:lpstr>PM_64</vt:lpstr>
      <vt:lpstr>PM_65</vt:lpstr>
      <vt:lpstr>PM_66</vt:lpstr>
      <vt:lpstr>PM_67</vt:lpstr>
      <vt:lpstr>PM_68</vt:lpstr>
      <vt:lpstr>PM_69</vt:lpstr>
      <vt:lpstr>PM_7</vt:lpstr>
      <vt:lpstr>PM_70</vt:lpstr>
      <vt:lpstr>PM_71</vt:lpstr>
      <vt:lpstr>PM_72</vt:lpstr>
      <vt:lpstr>PM_8</vt:lpstr>
      <vt:lpstr>PM_9</vt:lpstr>
      <vt:lpstr>PM_99</vt:lpstr>
      <vt:lpstr>SH_POS_1</vt:lpstr>
      <vt:lpstr>SH_POS_10</vt:lpstr>
      <vt:lpstr>SH_POS_11</vt:lpstr>
      <vt:lpstr>SH_POS_12</vt:lpstr>
      <vt:lpstr>SH_POS_13</vt:lpstr>
      <vt:lpstr>SH_POS_14</vt:lpstr>
      <vt:lpstr>SH_POS_15</vt:lpstr>
      <vt:lpstr>SH_POS_16</vt:lpstr>
      <vt:lpstr>SH_POS_17</vt:lpstr>
      <vt:lpstr>SH_POS_18</vt:lpstr>
      <vt:lpstr>SH_POS_19</vt:lpstr>
      <vt:lpstr>SH_POS_2</vt:lpstr>
      <vt:lpstr>SH_POS_20</vt:lpstr>
      <vt:lpstr>SH_POS_21</vt:lpstr>
      <vt:lpstr>SH_POS_22</vt:lpstr>
      <vt:lpstr>SH_POS_23</vt:lpstr>
      <vt:lpstr>SH_POS_24</vt:lpstr>
      <vt:lpstr>SH_POS_25</vt:lpstr>
      <vt:lpstr>SH_POS_26</vt:lpstr>
      <vt:lpstr>SH_POS_27</vt:lpstr>
      <vt:lpstr>SH_POS_28</vt:lpstr>
      <vt:lpstr>SH_POS_29</vt:lpstr>
      <vt:lpstr>SH_POS_3</vt:lpstr>
      <vt:lpstr>SH_POS_30</vt:lpstr>
      <vt:lpstr>SH_POS_31</vt:lpstr>
      <vt:lpstr>SH_POS_32</vt:lpstr>
      <vt:lpstr>SH_POS_33</vt:lpstr>
      <vt:lpstr>SH_POS_34</vt:lpstr>
      <vt:lpstr>SH_POS_35</vt:lpstr>
      <vt:lpstr>SH_POS_36</vt:lpstr>
      <vt:lpstr>SH_POS_37</vt:lpstr>
      <vt:lpstr>SH_POS_38</vt:lpstr>
      <vt:lpstr>SH_POS_39</vt:lpstr>
      <vt:lpstr>SH_POS_4</vt:lpstr>
      <vt:lpstr>SH_POS_40</vt:lpstr>
      <vt:lpstr>SH_POS_41</vt:lpstr>
      <vt:lpstr>SH_POS_42</vt:lpstr>
      <vt:lpstr>SH_POS_43</vt:lpstr>
      <vt:lpstr>SH_POS_44</vt:lpstr>
      <vt:lpstr>SH_POS_45</vt:lpstr>
      <vt:lpstr>SH_POS_46</vt:lpstr>
      <vt:lpstr>SH_POS_47</vt:lpstr>
      <vt:lpstr>SH_POS_48</vt:lpstr>
      <vt:lpstr>SH_POS_49</vt:lpstr>
      <vt:lpstr>SH_POS_5</vt:lpstr>
      <vt:lpstr>SH_POS_50</vt:lpstr>
      <vt:lpstr>SH_POS_51</vt:lpstr>
      <vt:lpstr>SH_POS_52</vt:lpstr>
      <vt:lpstr>SH_POS_53</vt:lpstr>
      <vt:lpstr>SH_POS_54</vt:lpstr>
      <vt:lpstr>SH_POS_55</vt:lpstr>
      <vt:lpstr>SH_POS_56</vt:lpstr>
      <vt:lpstr>SH_POS_57</vt:lpstr>
      <vt:lpstr>SH_POS_58</vt:lpstr>
      <vt:lpstr>SH_POS_59</vt:lpstr>
      <vt:lpstr>SH_POS_6</vt:lpstr>
      <vt:lpstr>SH_POS_60</vt:lpstr>
      <vt:lpstr>SH_POS_61</vt:lpstr>
      <vt:lpstr>SH_POS_62</vt:lpstr>
      <vt:lpstr>SH_POS_63</vt:lpstr>
      <vt:lpstr>SH_POS_64</vt:lpstr>
      <vt:lpstr>SH_POS_65</vt:lpstr>
      <vt:lpstr>SH_POS_66</vt:lpstr>
      <vt:lpstr>SH_POS_67</vt:lpstr>
      <vt:lpstr>SH_POS_68</vt:lpstr>
      <vt:lpstr>SH_POS_69</vt:lpstr>
      <vt:lpstr>SH_POS_7</vt:lpstr>
      <vt:lpstr>SH_POS_70</vt:lpstr>
      <vt:lpstr>SH_POS_71</vt:lpstr>
      <vt:lpstr>SH_POS_72</vt:lpstr>
      <vt:lpstr>SH_POS_8</vt:lpstr>
      <vt:lpstr>SH_POS_9</vt:lpstr>
      <vt:lpstr>SM_1</vt:lpstr>
      <vt:lpstr>SM_10</vt:lpstr>
      <vt:lpstr>SM_11</vt:lpstr>
      <vt:lpstr>SM_12</vt:lpstr>
      <vt:lpstr>SM_13</vt:lpstr>
      <vt:lpstr>SM_14</vt:lpstr>
      <vt:lpstr>SM_15</vt:lpstr>
      <vt:lpstr>SM_16</vt:lpstr>
      <vt:lpstr>SM_17</vt:lpstr>
      <vt:lpstr>SM_18</vt:lpstr>
      <vt:lpstr>SM_19</vt:lpstr>
      <vt:lpstr>SM_2</vt:lpstr>
      <vt:lpstr>SM_20</vt:lpstr>
      <vt:lpstr>SM_21</vt:lpstr>
      <vt:lpstr>SM_22</vt:lpstr>
      <vt:lpstr>SM_23</vt:lpstr>
      <vt:lpstr>SM_24</vt:lpstr>
      <vt:lpstr>SM_25</vt:lpstr>
      <vt:lpstr>SM_26</vt:lpstr>
      <vt:lpstr>SM_27</vt:lpstr>
      <vt:lpstr>SM_28</vt:lpstr>
      <vt:lpstr>SM_29</vt:lpstr>
      <vt:lpstr>SM_3</vt:lpstr>
      <vt:lpstr>SM_30</vt:lpstr>
      <vt:lpstr>SM_31</vt:lpstr>
      <vt:lpstr>SM_32</vt:lpstr>
      <vt:lpstr>SM_33</vt:lpstr>
      <vt:lpstr>SM_34</vt:lpstr>
      <vt:lpstr>SM_35</vt:lpstr>
      <vt:lpstr>SM_36</vt:lpstr>
      <vt:lpstr>SM_37</vt:lpstr>
      <vt:lpstr>SM_38</vt:lpstr>
      <vt:lpstr>SM_39</vt:lpstr>
      <vt:lpstr>SM_4</vt:lpstr>
      <vt:lpstr>SM_40</vt:lpstr>
      <vt:lpstr>SM_41</vt:lpstr>
      <vt:lpstr>SM_42</vt:lpstr>
      <vt:lpstr>SM_43</vt:lpstr>
      <vt:lpstr>SM_44</vt:lpstr>
      <vt:lpstr>SM_45</vt:lpstr>
      <vt:lpstr>SM_46</vt:lpstr>
      <vt:lpstr>SM_47</vt:lpstr>
      <vt:lpstr>SM_48</vt:lpstr>
      <vt:lpstr>SM_49</vt:lpstr>
      <vt:lpstr>SM_5</vt:lpstr>
      <vt:lpstr>SM_50</vt:lpstr>
      <vt:lpstr>SM_51</vt:lpstr>
      <vt:lpstr>SM_52</vt:lpstr>
      <vt:lpstr>SM_53</vt:lpstr>
      <vt:lpstr>SM_54</vt:lpstr>
      <vt:lpstr>SM_55</vt:lpstr>
      <vt:lpstr>SM_56</vt:lpstr>
      <vt:lpstr>SM_57</vt:lpstr>
      <vt:lpstr>SM_58</vt:lpstr>
      <vt:lpstr>SM_59</vt:lpstr>
      <vt:lpstr>SM_6</vt:lpstr>
      <vt:lpstr>SM_60</vt:lpstr>
      <vt:lpstr>SM_61</vt:lpstr>
      <vt:lpstr>SM_62</vt:lpstr>
      <vt:lpstr>SM_63</vt:lpstr>
      <vt:lpstr>SM_64</vt:lpstr>
      <vt:lpstr>SM_65</vt:lpstr>
      <vt:lpstr>SM_66</vt:lpstr>
      <vt:lpstr>SM_67</vt:lpstr>
      <vt:lpstr>SM_68</vt:lpstr>
      <vt:lpstr>SM_69</vt:lpstr>
      <vt:lpstr>SM_7</vt:lpstr>
      <vt:lpstr>SM_70</vt:lpstr>
      <vt:lpstr>SM_71</vt:lpstr>
      <vt:lpstr>SM_72</vt:lpstr>
      <vt:lpstr>SM_8</vt:lpstr>
      <vt:lpstr>SM_9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Andrews</dc:creator>
  <cp:lastModifiedBy>Carlos Andrews</cp:lastModifiedBy>
  <dcterms:created xsi:type="dcterms:W3CDTF">2015-06-05T18:17:20Z</dcterms:created>
  <dcterms:modified xsi:type="dcterms:W3CDTF">2024-03-22T22:21:56Z</dcterms:modified>
</cp:coreProperties>
</file>